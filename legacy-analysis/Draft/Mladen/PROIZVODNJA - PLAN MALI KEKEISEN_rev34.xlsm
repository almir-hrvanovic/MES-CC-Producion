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charts/chart1.xml" ContentType="application/vnd.openxmlformats-officedocument.drawingml.chart+xml"/>
  <Override PartName="/xl/tables/table3.xml" ContentType="application/vnd.openxmlformats-officedocument.spreadsheetml.table+xml"/>
  <Override PartName="/xl/queryTables/queryTable2.xml" ContentType="application/vnd.openxmlformats-officedocument.spreadsheetml.queryTable+xml"/>
  <Override PartName="/xl/drawings/drawing3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4.xml" ContentType="application/vnd.openxmlformats-officedocument.drawing+xml"/>
  <Override PartName="/xl/charts/chart2.xml" ContentType="application/vnd.openxmlformats-officedocument.drawingml.chart+xml"/>
  <Override PartName="/xl/drawings/drawing5.xml" ContentType="application/vnd.openxmlformats-officedocument.drawingml.chartshapes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730" codeName="{80610A8E-5010-04F8-B4C4-4C4527662162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printgs-my.sharepoint.com/personal/ahrvanovic_printgs_onmicrosoft_com/Documents/Desktop/Mladen/"/>
    </mc:Choice>
  </mc:AlternateContent>
  <xr:revisionPtr revIDLastSave="22" documentId="13_ncr:1_{1BD7C2D4-A4BD-426B-88A6-86D118170A10}" xr6:coauthVersionLast="47" xr6:coauthVersionMax="47" xr10:uidLastSave="{46B697C5-7076-4327-AF73-24A056F7DE98}"/>
  <bookViews>
    <workbookView xWindow="760" yWindow="-16310" windowWidth="29020" windowHeight="15700" tabRatio="613" firstSheet="1" activeTab="2" xr2:uid="{00000000-000D-0000-FFFF-FFFF00000000}"/>
  </bookViews>
  <sheets>
    <sheet name="PRINT" sheetId="21" r:id="rId1"/>
    <sheet name="QUERY" sheetId="28" r:id="rId2"/>
    <sheet name="NOVO" sheetId="12" r:id="rId3"/>
    <sheet name="KALENDAR MASINA" sheetId="7" r:id="rId4"/>
    <sheet name="MASINE" sheetId="5" r:id="rId5"/>
    <sheet name="KVAR MASINE" sheetId="17" r:id="rId6"/>
    <sheet name="PROMJENA" sheetId="14" r:id="rId7"/>
    <sheet name="REDOSLIJED" sheetId="15" r:id="rId8"/>
    <sheet name="TIME" sheetId="20" r:id="rId9"/>
    <sheet name="GANT" sheetId="24" r:id="rId10"/>
  </sheets>
  <definedNames>
    <definedName name="_xlnm._FilterDatabase" localSheetId="3" hidden="1">'KALENDAR MASINA'!$I$2:$J$2157</definedName>
    <definedName name="_xlnm._FilterDatabase" localSheetId="2" hidden="1">NOVO!$A:$O</definedName>
    <definedName name="_xlnm._FilterDatabase" localSheetId="0" hidden="1">PRINT!$A$4:$U$541</definedName>
    <definedName name="_xlnm._FilterDatabase" localSheetId="6" hidden="1">PROMJENA!#REF!</definedName>
    <definedName name="ExternalData_1" localSheetId="1" hidden="1">QUERY!$A$1:$P$833</definedName>
    <definedName name="FORMAT" localSheetId="0">INDIRECT(PRINT!A:U)</definedName>
    <definedName name="_xlnm.Print_Area" localSheetId="0">PRINT!$C$4:$T$106</definedName>
    <definedName name="Query_from_Mladen" localSheetId="4" hidden="1">MASINE!$A$1:$B$224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U530" i="21" l="1"/>
  <c r="U529" i="21"/>
  <c r="U528" i="21"/>
  <c r="U527" i="21"/>
  <c r="U526" i="21"/>
  <c r="U525" i="21"/>
  <c r="U524" i="21"/>
  <c r="U523" i="21"/>
  <c r="U522" i="21"/>
  <c r="U521" i="21"/>
  <c r="U520" i="21"/>
  <c r="U519" i="21"/>
  <c r="U518" i="21"/>
  <c r="U517" i="21"/>
  <c r="U516" i="21"/>
  <c r="U515" i="21"/>
  <c r="U514" i="21"/>
  <c r="U513" i="21"/>
  <c r="U512" i="21"/>
  <c r="U511" i="21"/>
  <c r="U510" i="21"/>
  <c r="U509" i="21"/>
  <c r="U508" i="21"/>
  <c r="U507" i="21"/>
  <c r="U506" i="21"/>
  <c r="U505" i="21"/>
  <c r="U504" i="21"/>
  <c r="U503" i="21"/>
  <c r="U502" i="21"/>
  <c r="U501" i="21"/>
  <c r="U500" i="21"/>
  <c r="U499" i="21"/>
  <c r="U498" i="21"/>
  <c r="U497" i="21"/>
  <c r="U496" i="21"/>
  <c r="U495" i="21"/>
  <c r="U494" i="21"/>
  <c r="U493" i="21"/>
  <c r="U492" i="21"/>
  <c r="U491" i="21"/>
  <c r="U490" i="21"/>
  <c r="U489" i="21"/>
  <c r="U488" i="21"/>
  <c r="U487" i="21"/>
  <c r="U486" i="21"/>
  <c r="U485" i="21"/>
  <c r="U484" i="21"/>
  <c r="U483" i="21"/>
  <c r="U482" i="21"/>
  <c r="U481" i="21"/>
  <c r="U480" i="21"/>
  <c r="U479" i="21"/>
  <c r="U478" i="21"/>
  <c r="U477" i="21"/>
  <c r="U476" i="21"/>
  <c r="U475" i="21"/>
  <c r="U474" i="21"/>
  <c r="U473" i="21"/>
  <c r="U472" i="21"/>
  <c r="U471" i="21"/>
  <c r="U470" i="21"/>
  <c r="U469" i="21"/>
  <c r="U468" i="21"/>
  <c r="U467" i="21"/>
  <c r="U466" i="21"/>
  <c r="U465" i="21"/>
  <c r="U464" i="21"/>
  <c r="U463" i="21"/>
  <c r="U462" i="21"/>
  <c r="U461" i="21"/>
  <c r="U460" i="21"/>
  <c r="U459" i="21"/>
  <c r="U458" i="21"/>
  <c r="U457" i="21"/>
  <c r="U456" i="21"/>
  <c r="U455" i="21"/>
  <c r="U454" i="21"/>
  <c r="U453" i="21"/>
  <c r="U452" i="21"/>
  <c r="U451" i="21"/>
  <c r="U450" i="21"/>
  <c r="U449" i="21"/>
  <c r="U448" i="21"/>
  <c r="U447" i="21"/>
  <c r="U446" i="21"/>
  <c r="U445" i="21"/>
  <c r="U444" i="21"/>
  <c r="U443" i="21"/>
  <c r="U442" i="21"/>
  <c r="U441" i="21"/>
  <c r="U440" i="21"/>
  <c r="U439" i="21"/>
  <c r="U438" i="21"/>
  <c r="U437" i="21"/>
  <c r="U436" i="21"/>
  <c r="U435" i="21"/>
  <c r="U434" i="21"/>
  <c r="U433" i="21"/>
  <c r="U432" i="21"/>
  <c r="U431" i="21"/>
  <c r="U430" i="21"/>
  <c r="U429" i="21"/>
  <c r="U428" i="21"/>
  <c r="U427" i="21"/>
  <c r="U426" i="21"/>
  <c r="U425" i="21"/>
  <c r="U424" i="21"/>
  <c r="U423" i="21"/>
  <c r="U422" i="21"/>
  <c r="U421" i="21"/>
  <c r="U420" i="21"/>
  <c r="U419" i="21"/>
  <c r="U418" i="21"/>
  <c r="U417" i="21"/>
  <c r="U416" i="21"/>
  <c r="U415" i="21"/>
  <c r="U414" i="21"/>
  <c r="U413" i="21"/>
  <c r="U412" i="21"/>
  <c r="U411" i="21"/>
  <c r="U410" i="21"/>
  <c r="U409" i="21"/>
  <c r="U408" i="21"/>
  <c r="U407" i="21"/>
  <c r="U406" i="21"/>
  <c r="U405" i="21"/>
  <c r="U404" i="21"/>
  <c r="U403" i="21"/>
  <c r="U402" i="21"/>
  <c r="U401" i="21"/>
  <c r="U400" i="21"/>
  <c r="U399" i="21"/>
  <c r="U398" i="21"/>
  <c r="U397" i="21"/>
  <c r="U396" i="21"/>
  <c r="U395" i="21"/>
  <c r="U394" i="21"/>
  <c r="U393" i="21"/>
  <c r="U392" i="21"/>
  <c r="U391" i="21"/>
  <c r="U390" i="21"/>
  <c r="U389" i="21"/>
  <c r="U388" i="21"/>
  <c r="U387" i="21"/>
  <c r="U386" i="21"/>
  <c r="U385" i="21"/>
  <c r="U384" i="21"/>
  <c r="U383" i="21"/>
  <c r="U382" i="21"/>
  <c r="U381" i="21"/>
  <c r="U380" i="21"/>
  <c r="U379" i="21"/>
  <c r="U378" i="21"/>
  <c r="U377" i="21"/>
  <c r="U376" i="21"/>
  <c r="U375" i="21"/>
  <c r="U374" i="21"/>
  <c r="U373" i="21"/>
  <c r="U372" i="21"/>
  <c r="U371" i="21"/>
  <c r="U370" i="21"/>
  <c r="U369" i="21"/>
  <c r="U368" i="21"/>
  <c r="U367" i="21"/>
  <c r="U366" i="21"/>
  <c r="U365" i="21"/>
  <c r="U364" i="21"/>
  <c r="U363" i="21"/>
  <c r="U362" i="21"/>
  <c r="U361" i="21"/>
  <c r="U360" i="21"/>
  <c r="U359" i="21"/>
  <c r="U358" i="21"/>
  <c r="U357" i="21"/>
  <c r="U356" i="21"/>
  <c r="U355" i="21"/>
  <c r="U354" i="21"/>
  <c r="U353" i="21"/>
  <c r="U352" i="21"/>
  <c r="U351" i="21"/>
  <c r="U350" i="21"/>
  <c r="U349" i="21"/>
  <c r="U348" i="21"/>
  <c r="U347" i="21"/>
  <c r="U346" i="21"/>
  <c r="U345" i="21"/>
  <c r="U344" i="21"/>
  <c r="U343" i="21"/>
  <c r="U342" i="21"/>
  <c r="U341" i="21"/>
  <c r="U340" i="21"/>
  <c r="U339" i="21"/>
  <c r="U338" i="21"/>
  <c r="U337" i="21"/>
  <c r="U336" i="21"/>
  <c r="U335" i="21"/>
  <c r="U334" i="21"/>
  <c r="U333" i="21"/>
  <c r="U332" i="21"/>
  <c r="U331" i="21"/>
  <c r="U330" i="21"/>
  <c r="U329" i="21"/>
  <c r="U328" i="21"/>
  <c r="U327" i="21"/>
  <c r="U326" i="21"/>
  <c r="U325" i="21"/>
  <c r="U324" i="21"/>
  <c r="U323" i="21"/>
  <c r="U322" i="21"/>
  <c r="U321" i="21"/>
  <c r="U320" i="21"/>
  <c r="U319" i="21"/>
  <c r="U318" i="21"/>
  <c r="U317" i="21"/>
  <c r="U316" i="21"/>
  <c r="U315" i="21"/>
  <c r="U314" i="21"/>
  <c r="U313" i="21"/>
  <c r="U312" i="21"/>
  <c r="U311" i="21"/>
  <c r="U310" i="21"/>
  <c r="U309" i="21"/>
  <c r="U308" i="21"/>
  <c r="U307" i="21"/>
  <c r="U306" i="21"/>
  <c r="U305" i="21"/>
  <c r="U304" i="21"/>
  <c r="U303" i="21"/>
  <c r="U302" i="21"/>
  <c r="U301" i="21"/>
  <c r="U300" i="21"/>
  <c r="U299" i="21"/>
  <c r="U298" i="21"/>
  <c r="U297" i="21"/>
  <c r="U296" i="21"/>
  <c r="U295" i="21"/>
  <c r="U294" i="21"/>
  <c r="U293" i="21"/>
  <c r="U292" i="21"/>
  <c r="U291" i="21"/>
  <c r="U290" i="21"/>
  <c r="U289" i="21"/>
  <c r="U288" i="21"/>
  <c r="U287" i="21"/>
  <c r="U286" i="21"/>
  <c r="U285" i="21"/>
  <c r="U284" i="21"/>
  <c r="U283" i="21"/>
  <c r="U282" i="21"/>
  <c r="U281" i="21"/>
  <c r="U280" i="21"/>
  <c r="U279" i="21"/>
  <c r="U278" i="21"/>
  <c r="U277" i="21"/>
  <c r="U276" i="21"/>
  <c r="U275" i="21"/>
  <c r="U274" i="21"/>
  <c r="U273" i="21"/>
  <c r="U272" i="21"/>
  <c r="U271" i="21"/>
  <c r="U270" i="21"/>
  <c r="U269" i="21"/>
  <c r="U268" i="21"/>
  <c r="U267" i="21"/>
  <c r="U266" i="21"/>
  <c r="U265" i="21"/>
  <c r="U264" i="21"/>
  <c r="U263" i="21"/>
  <c r="U262" i="21"/>
  <c r="U261" i="21"/>
  <c r="U260" i="21"/>
  <c r="U259" i="21"/>
  <c r="U258" i="21"/>
  <c r="U257" i="21"/>
  <c r="U256" i="21"/>
  <c r="U255" i="21"/>
  <c r="U254" i="21"/>
  <c r="U253" i="21"/>
  <c r="U252" i="21"/>
  <c r="U251" i="21"/>
  <c r="U250" i="21"/>
  <c r="U249" i="21"/>
  <c r="U248" i="21"/>
  <c r="U247" i="21"/>
  <c r="U246" i="21"/>
  <c r="U245" i="21"/>
  <c r="U244" i="21"/>
  <c r="U243" i="21"/>
  <c r="U242" i="21"/>
  <c r="U241" i="21"/>
  <c r="U240" i="21"/>
  <c r="U239" i="21"/>
  <c r="U238" i="21"/>
  <c r="U237" i="21"/>
  <c r="U236" i="21"/>
  <c r="U235" i="21"/>
  <c r="U234" i="21"/>
  <c r="U233" i="21"/>
  <c r="U232" i="21"/>
  <c r="U231" i="21"/>
  <c r="U230" i="21"/>
  <c r="U229" i="21"/>
  <c r="U228" i="21"/>
  <c r="U227" i="21"/>
  <c r="U226" i="21"/>
  <c r="U225" i="21"/>
  <c r="U224" i="21"/>
  <c r="U223" i="21"/>
  <c r="U222" i="21"/>
  <c r="U221" i="21"/>
  <c r="U220" i="21"/>
  <c r="U219" i="21"/>
  <c r="U218" i="21"/>
  <c r="U217" i="21"/>
  <c r="U216" i="21"/>
  <c r="U215" i="21"/>
  <c r="U214" i="21"/>
  <c r="U213" i="21"/>
  <c r="U212" i="21"/>
  <c r="U211" i="21"/>
  <c r="U210" i="21"/>
  <c r="U209" i="21"/>
  <c r="U208" i="21"/>
  <c r="U207" i="21"/>
  <c r="U206" i="21"/>
  <c r="U205" i="21"/>
  <c r="U204" i="21"/>
  <c r="U203" i="21"/>
  <c r="U202" i="21"/>
  <c r="U201" i="21"/>
  <c r="U200" i="21"/>
  <c r="U199" i="21"/>
  <c r="U198" i="21"/>
  <c r="U197" i="21"/>
  <c r="U196" i="21"/>
  <c r="U195" i="21"/>
  <c r="U194" i="21"/>
  <c r="U193" i="21"/>
  <c r="U192" i="21"/>
  <c r="U191" i="21"/>
  <c r="U190" i="21"/>
  <c r="U189" i="21"/>
  <c r="U188" i="21"/>
  <c r="U187" i="21"/>
  <c r="U186" i="21"/>
  <c r="U185" i="21"/>
  <c r="U184" i="21"/>
  <c r="U183" i="21"/>
  <c r="U182" i="21"/>
  <c r="U181" i="21"/>
  <c r="U180" i="21"/>
  <c r="U179" i="21"/>
  <c r="U178" i="21"/>
  <c r="U177" i="21"/>
  <c r="U176" i="21"/>
  <c r="U175" i="21"/>
  <c r="U174" i="21"/>
  <c r="U173" i="21"/>
  <c r="U172" i="21"/>
  <c r="U171" i="21"/>
  <c r="U170" i="21"/>
  <c r="U169" i="21"/>
  <c r="U168" i="21"/>
  <c r="U167" i="21"/>
  <c r="U166" i="21"/>
  <c r="U165" i="21"/>
  <c r="U164" i="21"/>
  <c r="U163" i="21"/>
  <c r="U162" i="21"/>
  <c r="U161" i="21"/>
  <c r="U160" i="21"/>
  <c r="U159" i="21"/>
  <c r="U158" i="21"/>
  <c r="U157" i="21"/>
  <c r="U156" i="21"/>
  <c r="U155" i="21"/>
  <c r="U154" i="21"/>
  <c r="U153" i="21"/>
  <c r="U152" i="21"/>
  <c r="U151" i="21"/>
  <c r="U150" i="21"/>
  <c r="U149" i="21"/>
  <c r="U148" i="21"/>
  <c r="U147" i="21"/>
  <c r="U146" i="21"/>
  <c r="U145" i="21"/>
  <c r="U144" i="21"/>
  <c r="U143" i="21"/>
  <c r="U142" i="21"/>
  <c r="U141" i="21"/>
  <c r="U140" i="21"/>
  <c r="U139" i="21"/>
  <c r="U138" i="21"/>
  <c r="U137" i="21"/>
  <c r="U136" i="21"/>
  <c r="U135" i="21"/>
  <c r="U134" i="21"/>
  <c r="U133" i="21"/>
  <c r="U132" i="21"/>
  <c r="U131" i="21"/>
  <c r="U130" i="21"/>
  <c r="U129" i="21"/>
  <c r="U128" i="21"/>
  <c r="U127" i="21"/>
  <c r="U126" i="21"/>
  <c r="U125" i="21"/>
  <c r="U124" i="21"/>
  <c r="U123" i="21"/>
  <c r="U122" i="21"/>
  <c r="U121" i="21"/>
  <c r="U120" i="21"/>
  <c r="U119" i="21"/>
  <c r="U118" i="21"/>
  <c r="U117" i="21"/>
  <c r="U116" i="21"/>
  <c r="U115" i="21"/>
  <c r="U114" i="21"/>
  <c r="U113" i="21"/>
  <c r="U112" i="21"/>
  <c r="U111" i="21"/>
  <c r="U110" i="21"/>
  <c r="U109" i="21"/>
  <c r="U108" i="21"/>
  <c r="U107" i="21"/>
  <c r="U106" i="21"/>
  <c r="U105" i="21"/>
  <c r="U104" i="21"/>
  <c r="U103" i="21"/>
  <c r="U102" i="21"/>
  <c r="U101" i="21"/>
  <c r="U100" i="21"/>
  <c r="U99" i="21"/>
  <c r="U98" i="21"/>
  <c r="U97" i="21"/>
  <c r="U96" i="21"/>
  <c r="U95" i="21"/>
  <c r="U94" i="21"/>
  <c r="U93" i="21"/>
  <c r="U92" i="21"/>
  <c r="U91" i="21"/>
  <c r="U90" i="21"/>
  <c r="U89" i="21"/>
  <c r="U88" i="21"/>
  <c r="U87" i="21"/>
  <c r="U86" i="21"/>
  <c r="U85" i="21"/>
  <c r="U84" i="21"/>
  <c r="U83" i="21"/>
  <c r="U82" i="21"/>
  <c r="U81" i="21"/>
  <c r="U80" i="21"/>
  <c r="U79" i="21"/>
  <c r="U78" i="21"/>
  <c r="U77" i="21"/>
  <c r="U76" i="21"/>
  <c r="U75" i="21"/>
  <c r="U74" i="21"/>
  <c r="U73" i="21"/>
  <c r="U72" i="21"/>
  <c r="U71" i="21"/>
  <c r="U70" i="21"/>
  <c r="U69" i="21"/>
  <c r="U68" i="21"/>
  <c r="U67" i="21"/>
  <c r="U66" i="21"/>
  <c r="U65" i="21"/>
  <c r="U64" i="21"/>
  <c r="U63" i="21"/>
  <c r="U62" i="21"/>
  <c r="U61" i="21"/>
  <c r="U60" i="21"/>
  <c r="U59" i="21"/>
  <c r="U58" i="21"/>
  <c r="U57" i="21"/>
  <c r="U56" i="21"/>
  <c r="U55" i="21"/>
  <c r="U54" i="21"/>
  <c r="U53" i="21"/>
  <c r="U52" i="21"/>
  <c r="U51" i="21"/>
  <c r="U50" i="21"/>
  <c r="U49" i="21"/>
  <c r="U48" i="21"/>
  <c r="U47" i="21"/>
  <c r="U46" i="21"/>
  <c r="U45" i="21"/>
  <c r="U44" i="21"/>
  <c r="U43" i="21"/>
  <c r="U42" i="21"/>
  <c r="U41" i="21"/>
  <c r="U40" i="21"/>
  <c r="U39" i="21"/>
  <c r="U38" i="21"/>
  <c r="U37" i="21"/>
  <c r="U36" i="21"/>
  <c r="U35" i="21"/>
  <c r="U34" i="21"/>
  <c r="U33" i="21"/>
  <c r="U32" i="21"/>
  <c r="U31" i="21"/>
  <c r="U30" i="21"/>
  <c r="U29" i="21"/>
  <c r="U28" i="21"/>
  <c r="U27" i="21"/>
  <c r="U26" i="21"/>
  <c r="U25" i="21"/>
  <c r="U24" i="21"/>
  <c r="U23" i="21"/>
  <c r="U22" i="21"/>
  <c r="U21" i="21"/>
  <c r="U20" i="21"/>
  <c r="U19" i="21"/>
  <c r="U18" i="21"/>
  <c r="U17" i="21"/>
  <c r="U16" i="21"/>
  <c r="U15" i="21"/>
  <c r="U14" i="21"/>
  <c r="U13" i="21"/>
  <c r="U12" i="21"/>
  <c r="U11" i="21"/>
  <c r="U10" i="21"/>
  <c r="U9" i="21"/>
  <c r="U8" i="21"/>
  <c r="U7" i="21"/>
  <c r="U6" i="21"/>
  <c r="U5" i="21"/>
  <c r="U532" i="21"/>
  <c r="U531" i="21"/>
  <c r="M2" i="28"/>
  <c r="M3" i="28"/>
  <c r="M4" i="28"/>
  <c r="M5" i="28"/>
  <c r="M6" i="28"/>
  <c r="M7" i="28"/>
  <c r="M8" i="28"/>
  <c r="M9" i="28"/>
  <c r="M10" i="28"/>
  <c r="M11" i="28"/>
  <c r="M12" i="28"/>
  <c r="M13" i="28"/>
  <c r="M14" i="28"/>
  <c r="M15" i="28"/>
  <c r="M16" i="28"/>
  <c r="M17" i="28"/>
  <c r="M18" i="28"/>
  <c r="M19" i="28"/>
  <c r="M20" i="28"/>
  <c r="M21" i="28"/>
  <c r="M22" i="28"/>
  <c r="M23" i="28"/>
  <c r="M24" i="28"/>
  <c r="M25" i="28"/>
  <c r="M26" i="28"/>
  <c r="M27" i="28"/>
  <c r="M28" i="28"/>
  <c r="M29" i="28"/>
  <c r="M30" i="28"/>
  <c r="M31" i="28"/>
  <c r="M32" i="28"/>
  <c r="M33" i="28"/>
  <c r="M34" i="28"/>
  <c r="M35" i="28"/>
  <c r="M36" i="28"/>
  <c r="M37" i="28"/>
  <c r="M38" i="28"/>
  <c r="M39" i="28"/>
  <c r="M40" i="28"/>
  <c r="M41" i="28"/>
  <c r="M42" i="28"/>
  <c r="M43" i="28"/>
  <c r="M44" i="28"/>
  <c r="M45" i="28"/>
  <c r="M46" i="28"/>
  <c r="M47" i="28"/>
  <c r="M48" i="28"/>
  <c r="M49" i="28"/>
  <c r="M50" i="28"/>
  <c r="M51" i="28"/>
  <c r="M52" i="28"/>
  <c r="M53" i="28"/>
  <c r="M54" i="28"/>
  <c r="M55" i="28"/>
  <c r="M56" i="28"/>
  <c r="M57" i="28"/>
  <c r="M58" i="28"/>
  <c r="M59" i="28"/>
  <c r="M60" i="28"/>
  <c r="M61" i="28"/>
  <c r="M62" i="28"/>
  <c r="M63" i="28"/>
  <c r="M64" i="28"/>
  <c r="M65" i="28"/>
  <c r="M66" i="28"/>
  <c r="M67" i="28"/>
  <c r="M68" i="28"/>
  <c r="M69" i="28"/>
  <c r="M70" i="28"/>
  <c r="M71" i="28"/>
  <c r="M72" i="28"/>
  <c r="M73" i="28"/>
  <c r="M74" i="28"/>
  <c r="M75" i="28"/>
  <c r="M76" i="28"/>
  <c r="M77" i="28"/>
  <c r="M78" i="28"/>
  <c r="M79" i="28"/>
  <c r="M80" i="28"/>
  <c r="M81" i="28"/>
  <c r="M82" i="28"/>
  <c r="M83" i="28"/>
  <c r="M84" i="28"/>
  <c r="M85" i="28"/>
  <c r="M86" i="28"/>
  <c r="M87" i="28"/>
  <c r="M88" i="28"/>
  <c r="M89" i="28"/>
  <c r="M90" i="28"/>
  <c r="M91" i="28"/>
  <c r="M92" i="28"/>
  <c r="M93" i="28"/>
  <c r="M94" i="28"/>
  <c r="M95" i="28"/>
  <c r="M96" i="28"/>
  <c r="M97" i="28"/>
  <c r="M98" i="28"/>
  <c r="M99" i="28"/>
  <c r="M100" i="28"/>
  <c r="M101" i="28"/>
  <c r="M102" i="28"/>
  <c r="M103" i="28"/>
  <c r="M104" i="28"/>
  <c r="M105" i="28"/>
  <c r="M106" i="28"/>
  <c r="M107" i="28"/>
  <c r="M108" i="28"/>
  <c r="M109" i="28"/>
  <c r="M110" i="28"/>
  <c r="M111" i="28"/>
  <c r="M112" i="28"/>
  <c r="M113" i="28"/>
  <c r="M114" i="28"/>
  <c r="M115" i="28"/>
  <c r="M116" i="28"/>
  <c r="M117" i="28"/>
  <c r="M118" i="28"/>
  <c r="M119" i="28"/>
  <c r="M120" i="28"/>
  <c r="M121" i="28"/>
  <c r="M122" i="28"/>
  <c r="M123" i="28"/>
  <c r="M124" i="28"/>
  <c r="M125" i="28"/>
  <c r="M126" i="28"/>
  <c r="M127" i="28"/>
  <c r="M128" i="28"/>
  <c r="M129" i="28"/>
  <c r="M130" i="28"/>
  <c r="M131" i="28"/>
  <c r="M132" i="28"/>
  <c r="M133" i="28"/>
  <c r="M134" i="28"/>
  <c r="M135" i="28"/>
  <c r="M136" i="28"/>
  <c r="M137" i="28"/>
  <c r="M138" i="28"/>
  <c r="M139" i="28"/>
  <c r="M140" i="28"/>
  <c r="M141" i="28"/>
  <c r="M142" i="28"/>
  <c r="M143" i="28"/>
  <c r="M144" i="28"/>
  <c r="M145" i="28"/>
  <c r="M146" i="28"/>
  <c r="M147" i="28"/>
  <c r="M148" i="28"/>
  <c r="M149" i="28"/>
  <c r="M150" i="28"/>
  <c r="M151" i="28"/>
  <c r="M152" i="28"/>
  <c r="M153" i="28"/>
  <c r="M154" i="28"/>
  <c r="M155" i="28"/>
  <c r="M156" i="28"/>
  <c r="M157" i="28"/>
  <c r="M158" i="28"/>
  <c r="M159" i="28"/>
  <c r="M160" i="28"/>
  <c r="M161" i="28"/>
  <c r="M162" i="28"/>
  <c r="M163" i="28"/>
  <c r="M164" i="28"/>
  <c r="M165" i="28"/>
  <c r="M166" i="28"/>
  <c r="M167" i="28"/>
  <c r="M168" i="28"/>
  <c r="M169" i="28"/>
  <c r="M170" i="28"/>
  <c r="M171" i="28"/>
  <c r="M172" i="28"/>
  <c r="M173" i="28"/>
  <c r="M174" i="28"/>
  <c r="M175" i="28"/>
  <c r="M176" i="28"/>
  <c r="M177" i="28"/>
  <c r="M178" i="28"/>
  <c r="M179" i="28"/>
  <c r="M180" i="28"/>
  <c r="M181" i="28"/>
  <c r="M182" i="28"/>
  <c r="M183" i="28"/>
  <c r="M184" i="28"/>
  <c r="M185" i="28"/>
  <c r="M186" i="28"/>
  <c r="M187" i="28"/>
  <c r="M188" i="28"/>
  <c r="M189" i="28"/>
  <c r="M190" i="28"/>
  <c r="M191" i="28"/>
  <c r="M192" i="28"/>
  <c r="M193" i="28"/>
  <c r="M194" i="28"/>
  <c r="M195" i="28"/>
  <c r="M196" i="28"/>
  <c r="M197" i="28"/>
  <c r="M198" i="28"/>
  <c r="M199" i="28"/>
  <c r="M200" i="28"/>
  <c r="M201" i="28"/>
  <c r="M202" i="28"/>
  <c r="M203" i="28"/>
  <c r="M204" i="28"/>
  <c r="M205" i="28"/>
  <c r="M206" i="28"/>
  <c r="M207" i="28"/>
  <c r="M208" i="28"/>
  <c r="M209" i="28"/>
  <c r="M210" i="28"/>
  <c r="M211" i="28"/>
  <c r="M212" i="28"/>
  <c r="M213" i="28"/>
  <c r="M214" i="28"/>
  <c r="M215" i="28"/>
  <c r="M216" i="28"/>
  <c r="M217" i="28"/>
  <c r="M218" i="28"/>
  <c r="M219" i="28"/>
  <c r="M220" i="28"/>
  <c r="M221" i="28"/>
  <c r="M222" i="28"/>
  <c r="M223" i="28"/>
  <c r="M224" i="28"/>
  <c r="M225" i="28"/>
  <c r="M226" i="28"/>
  <c r="M227" i="28"/>
  <c r="M228" i="28"/>
  <c r="M229" i="28"/>
  <c r="M230" i="28"/>
  <c r="M231" i="28"/>
  <c r="M232" i="28"/>
  <c r="M233" i="28"/>
  <c r="M234" i="28"/>
  <c r="M235" i="28"/>
  <c r="M236" i="28"/>
  <c r="M237" i="28"/>
  <c r="M238" i="28"/>
  <c r="M239" i="28"/>
  <c r="M240" i="28"/>
  <c r="M241" i="28"/>
  <c r="M242" i="28"/>
  <c r="M243" i="28"/>
  <c r="M244" i="28"/>
  <c r="M245" i="28"/>
  <c r="M246" i="28"/>
  <c r="M247" i="28"/>
  <c r="M248" i="28"/>
  <c r="M249" i="28"/>
  <c r="M250" i="28"/>
  <c r="M251" i="28"/>
  <c r="M252" i="28"/>
  <c r="M253" i="28"/>
  <c r="M254" i="28"/>
  <c r="M255" i="28"/>
  <c r="M256" i="28"/>
  <c r="M257" i="28"/>
  <c r="M258" i="28"/>
  <c r="M259" i="28"/>
  <c r="M260" i="28"/>
  <c r="M261" i="28"/>
  <c r="M262" i="28"/>
  <c r="M263" i="28"/>
  <c r="M264" i="28"/>
  <c r="M265" i="28"/>
  <c r="M266" i="28"/>
  <c r="M267" i="28"/>
  <c r="M268" i="28"/>
  <c r="M269" i="28"/>
  <c r="M270" i="28"/>
  <c r="M271" i="28"/>
  <c r="M272" i="28"/>
  <c r="M273" i="28"/>
  <c r="M274" i="28"/>
  <c r="M275" i="28"/>
  <c r="M276" i="28"/>
  <c r="M277" i="28"/>
  <c r="M278" i="28"/>
  <c r="M279" i="28"/>
  <c r="M280" i="28"/>
  <c r="M281" i="28"/>
  <c r="M282" i="28"/>
  <c r="M283" i="28"/>
  <c r="M284" i="28"/>
  <c r="M285" i="28"/>
  <c r="M286" i="28"/>
  <c r="M287" i="28"/>
  <c r="M288" i="28"/>
  <c r="M289" i="28"/>
  <c r="M290" i="28"/>
  <c r="M291" i="28"/>
  <c r="M292" i="28"/>
  <c r="M293" i="28"/>
  <c r="M294" i="28"/>
  <c r="M295" i="28"/>
  <c r="M296" i="28"/>
  <c r="M297" i="28"/>
  <c r="M298" i="28"/>
  <c r="M299" i="28"/>
  <c r="M300" i="28"/>
  <c r="M301" i="28"/>
  <c r="M302" i="28"/>
  <c r="M303" i="28"/>
  <c r="M304" i="28"/>
  <c r="M305" i="28"/>
  <c r="M306" i="28"/>
  <c r="M307" i="28"/>
  <c r="M308" i="28"/>
  <c r="M309" i="28"/>
  <c r="M310" i="28"/>
  <c r="M311" i="28"/>
  <c r="M312" i="28"/>
  <c r="M313" i="28"/>
  <c r="M314" i="28"/>
  <c r="M315" i="28"/>
  <c r="M316" i="28"/>
  <c r="M317" i="28"/>
  <c r="M318" i="28"/>
  <c r="M319" i="28"/>
  <c r="M320" i="28"/>
  <c r="M321" i="28"/>
  <c r="M322" i="28"/>
  <c r="M323" i="28"/>
  <c r="M324" i="28"/>
  <c r="M325" i="28"/>
  <c r="M326" i="28"/>
  <c r="M327" i="28"/>
  <c r="M328" i="28"/>
  <c r="M329" i="28"/>
  <c r="M330" i="28"/>
  <c r="M331" i="28"/>
  <c r="M332" i="28"/>
  <c r="M333" i="28"/>
  <c r="M334" i="28"/>
  <c r="M335" i="28"/>
  <c r="M336" i="28"/>
  <c r="M337" i="28"/>
  <c r="M338" i="28"/>
  <c r="M339" i="28"/>
  <c r="M340" i="28"/>
  <c r="M341" i="28"/>
  <c r="M342" i="28"/>
  <c r="M343" i="28"/>
  <c r="M344" i="28"/>
  <c r="M345" i="28"/>
  <c r="M346" i="28"/>
  <c r="M347" i="28"/>
  <c r="M348" i="28"/>
  <c r="M349" i="28"/>
  <c r="M350" i="28"/>
  <c r="M351" i="28"/>
  <c r="M352" i="28"/>
  <c r="M353" i="28"/>
  <c r="M354" i="28"/>
  <c r="M355" i="28"/>
  <c r="M356" i="28"/>
  <c r="M357" i="28"/>
  <c r="M358" i="28"/>
  <c r="M359" i="28"/>
  <c r="M360" i="28"/>
  <c r="M361" i="28"/>
  <c r="M362" i="28"/>
  <c r="M363" i="28"/>
  <c r="M364" i="28"/>
  <c r="M365" i="28"/>
  <c r="M366" i="28"/>
  <c r="M367" i="28"/>
  <c r="M368" i="28"/>
  <c r="M369" i="28"/>
  <c r="M370" i="28"/>
  <c r="M371" i="28"/>
  <c r="M372" i="28"/>
  <c r="M373" i="28"/>
  <c r="M374" i="28"/>
  <c r="M375" i="28"/>
  <c r="M376" i="28"/>
  <c r="M377" i="28"/>
  <c r="M378" i="28"/>
  <c r="M379" i="28"/>
  <c r="M380" i="28"/>
  <c r="M381" i="28"/>
  <c r="M382" i="28"/>
  <c r="M383" i="28"/>
  <c r="M384" i="28"/>
  <c r="M385" i="28"/>
  <c r="M386" i="28"/>
  <c r="M387" i="28"/>
  <c r="M388" i="28"/>
  <c r="M389" i="28"/>
  <c r="M390" i="28"/>
  <c r="M391" i="28"/>
  <c r="M392" i="28"/>
  <c r="M393" i="28"/>
  <c r="M394" i="28"/>
  <c r="M395" i="28"/>
  <c r="M396" i="28"/>
  <c r="M397" i="28"/>
  <c r="M398" i="28"/>
  <c r="M399" i="28"/>
  <c r="M400" i="28"/>
  <c r="M401" i="28"/>
  <c r="M402" i="28"/>
  <c r="M403" i="28"/>
  <c r="M404" i="28"/>
  <c r="M405" i="28"/>
  <c r="M406" i="28"/>
  <c r="M407" i="28"/>
  <c r="M408" i="28"/>
  <c r="M409" i="28"/>
  <c r="M410" i="28"/>
  <c r="M411" i="28"/>
  <c r="M412" i="28"/>
  <c r="M413" i="28"/>
  <c r="M414" i="28"/>
  <c r="M415" i="28"/>
  <c r="M416" i="28"/>
  <c r="M417" i="28"/>
  <c r="M418" i="28"/>
  <c r="M419" i="28"/>
  <c r="M420" i="28"/>
  <c r="M421" i="28"/>
  <c r="M422" i="28"/>
  <c r="M423" i="28"/>
  <c r="M424" i="28"/>
  <c r="M425" i="28"/>
  <c r="M426" i="28"/>
  <c r="M427" i="28"/>
  <c r="M428" i="28"/>
  <c r="M429" i="28"/>
  <c r="M430" i="28"/>
  <c r="M431" i="28"/>
  <c r="M432" i="28"/>
  <c r="M433" i="28"/>
  <c r="M434" i="28"/>
  <c r="M435" i="28"/>
  <c r="M436" i="28"/>
  <c r="M437" i="28"/>
  <c r="M438" i="28"/>
  <c r="M439" i="28"/>
  <c r="M440" i="28"/>
  <c r="M441" i="28"/>
  <c r="M442" i="28"/>
  <c r="M443" i="28"/>
  <c r="M444" i="28"/>
  <c r="M445" i="28"/>
  <c r="M446" i="28"/>
  <c r="M447" i="28"/>
  <c r="M448" i="28"/>
  <c r="M449" i="28"/>
  <c r="M450" i="28"/>
  <c r="M451" i="28"/>
  <c r="M452" i="28"/>
  <c r="M453" i="28"/>
  <c r="M454" i="28"/>
  <c r="M455" i="28"/>
  <c r="M456" i="28"/>
  <c r="M457" i="28"/>
  <c r="M458" i="28"/>
  <c r="M459" i="28"/>
  <c r="M460" i="28"/>
  <c r="M461" i="28"/>
  <c r="M462" i="28"/>
  <c r="M463" i="28"/>
  <c r="M464" i="28"/>
  <c r="M465" i="28"/>
  <c r="M466" i="28"/>
  <c r="M467" i="28"/>
  <c r="M468" i="28"/>
  <c r="M469" i="28"/>
  <c r="M470" i="28"/>
  <c r="M471" i="28"/>
  <c r="M472" i="28"/>
  <c r="M473" i="28"/>
  <c r="M474" i="28"/>
  <c r="M475" i="28"/>
  <c r="M476" i="28"/>
  <c r="M477" i="28"/>
  <c r="M478" i="28"/>
  <c r="M479" i="28"/>
  <c r="M480" i="28"/>
  <c r="M481" i="28"/>
  <c r="M482" i="28"/>
  <c r="M483" i="28"/>
  <c r="M484" i="28"/>
  <c r="M485" i="28"/>
  <c r="M486" i="28"/>
  <c r="M487" i="28"/>
  <c r="M488" i="28"/>
  <c r="M489" i="28"/>
  <c r="M490" i="28"/>
  <c r="M491" i="28"/>
  <c r="M492" i="28"/>
  <c r="M493" i="28"/>
  <c r="M494" i="28"/>
  <c r="M495" i="28"/>
  <c r="M496" i="28"/>
  <c r="M497" i="28"/>
  <c r="M498" i="28"/>
  <c r="M499" i="28"/>
  <c r="M500" i="28"/>
  <c r="M501" i="28"/>
  <c r="M502" i="28"/>
  <c r="M503" i="28"/>
  <c r="M504" i="28"/>
  <c r="M505" i="28"/>
  <c r="M506" i="28"/>
  <c r="M507" i="28"/>
  <c r="M508" i="28"/>
  <c r="M509" i="28"/>
  <c r="M510" i="28"/>
  <c r="M511" i="28"/>
  <c r="M512" i="28"/>
  <c r="M513" i="28"/>
  <c r="M514" i="28"/>
  <c r="M515" i="28"/>
  <c r="M516" i="28"/>
  <c r="M517" i="28"/>
  <c r="M518" i="28"/>
  <c r="M519" i="28"/>
  <c r="M520" i="28"/>
  <c r="M521" i="28"/>
  <c r="M522" i="28"/>
  <c r="M523" i="28"/>
  <c r="M524" i="28"/>
  <c r="M525" i="28"/>
  <c r="M526" i="28"/>
  <c r="M527" i="28"/>
  <c r="M528" i="28"/>
  <c r="M529" i="28"/>
  <c r="M530" i="28"/>
  <c r="M531" i="28"/>
  <c r="M532" i="28"/>
  <c r="M533" i="28"/>
  <c r="M534" i="28"/>
  <c r="M535" i="28"/>
  <c r="M536" i="28"/>
  <c r="M537" i="28"/>
  <c r="M538" i="28"/>
  <c r="M539" i="28"/>
  <c r="M540" i="28"/>
  <c r="M541" i="28"/>
  <c r="M542" i="28"/>
  <c r="M543" i="28"/>
  <c r="M544" i="28"/>
  <c r="M545" i="28"/>
  <c r="M546" i="28"/>
  <c r="M547" i="28"/>
  <c r="M548" i="28"/>
  <c r="M549" i="28"/>
  <c r="M550" i="28"/>
  <c r="M551" i="28"/>
  <c r="M552" i="28"/>
  <c r="M553" i="28"/>
  <c r="M554" i="28"/>
  <c r="M555" i="28"/>
  <c r="M556" i="28"/>
  <c r="M557" i="28"/>
  <c r="M558" i="28"/>
  <c r="M559" i="28"/>
  <c r="M560" i="28"/>
  <c r="M561" i="28"/>
  <c r="M562" i="28"/>
  <c r="M563" i="28"/>
  <c r="M564" i="28"/>
  <c r="M565" i="28"/>
  <c r="M566" i="28"/>
  <c r="M567" i="28"/>
  <c r="M568" i="28"/>
  <c r="M569" i="28"/>
  <c r="M570" i="28"/>
  <c r="M571" i="28"/>
  <c r="M572" i="28"/>
  <c r="M573" i="28"/>
  <c r="M574" i="28"/>
  <c r="M575" i="28"/>
  <c r="M576" i="28"/>
  <c r="M577" i="28"/>
  <c r="M578" i="28"/>
  <c r="M579" i="28"/>
  <c r="M580" i="28"/>
  <c r="M581" i="28"/>
  <c r="M582" i="28"/>
  <c r="M583" i="28"/>
  <c r="M584" i="28"/>
  <c r="M585" i="28"/>
  <c r="M586" i="28"/>
  <c r="M587" i="28"/>
  <c r="M588" i="28"/>
  <c r="M589" i="28"/>
  <c r="M590" i="28"/>
  <c r="M591" i="28"/>
  <c r="M592" i="28"/>
  <c r="M593" i="28"/>
  <c r="M594" i="28"/>
  <c r="M595" i="28"/>
  <c r="M596" i="28"/>
  <c r="M597" i="28"/>
  <c r="M598" i="28"/>
  <c r="M599" i="28"/>
  <c r="M600" i="28"/>
  <c r="M601" i="28"/>
  <c r="M602" i="28"/>
  <c r="M603" i="28"/>
  <c r="M604" i="28"/>
  <c r="M605" i="28"/>
  <c r="M606" i="28"/>
  <c r="M607" i="28"/>
  <c r="M608" i="28"/>
  <c r="M609" i="28"/>
  <c r="M610" i="28"/>
  <c r="M611" i="28"/>
  <c r="M612" i="28"/>
  <c r="M613" i="28"/>
  <c r="M614" i="28"/>
  <c r="M615" i="28"/>
  <c r="M616" i="28"/>
  <c r="M617" i="28"/>
  <c r="M618" i="28"/>
  <c r="M619" i="28"/>
  <c r="M620" i="28"/>
  <c r="M621" i="28"/>
  <c r="M622" i="28"/>
  <c r="M623" i="28"/>
  <c r="M624" i="28"/>
  <c r="M625" i="28"/>
  <c r="M626" i="28"/>
  <c r="M627" i="28"/>
  <c r="M628" i="28"/>
  <c r="M629" i="28"/>
  <c r="M630" i="28"/>
  <c r="M631" i="28"/>
  <c r="M632" i="28"/>
  <c r="M633" i="28"/>
  <c r="M634" i="28"/>
  <c r="M635" i="28"/>
  <c r="M636" i="28"/>
  <c r="M637" i="28"/>
  <c r="M638" i="28"/>
  <c r="M639" i="28"/>
  <c r="M640" i="28"/>
  <c r="M641" i="28"/>
  <c r="M642" i="28"/>
  <c r="M643" i="28"/>
  <c r="M644" i="28"/>
  <c r="M645" i="28"/>
  <c r="M646" i="28"/>
  <c r="M647" i="28"/>
  <c r="M648" i="28"/>
  <c r="M649" i="28"/>
  <c r="M650" i="28"/>
  <c r="M651" i="28"/>
  <c r="M652" i="28"/>
  <c r="M653" i="28"/>
  <c r="M654" i="28"/>
  <c r="M655" i="28"/>
  <c r="M656" i="28"/>
  <c r="M657" i="28"/>
  <c r="M658" i="28"/>
  <c r="M659" i="28"/>
  <c r="M660" i="28"/>
  <c r="M661" i="28"/>
  <c r="M662" i="28"/>
  <c r="M663" i="28"/>
  <c r="M664" i="28"/>
  <c r="M665" i="28"/>
  <c r="M666" i="28"/>
  <c r="M667" i="28"/>
  <c r="M668" i="28"/>
  <c r="M669" i="28"/>
  <c r="M670" i="28"/>
  <c r="M671" i="28"/>
  <c r="M672" i="28"/>
  <c r="M673" i="28"/>
  <c r="M674" i="28"/>
  <c r="M675" i="28"/>
  <c r="M676" i="28"/>
  <c r="M677" i="28"/>
  <c r="M678" i="28"/>
  <c r="M679" i="28"/>
  <c r="M680" i="28"/>
  <c r="M681" i="28"/>
  <c r="M682" i="28"/>
  <c r="M683" i="28"/>
  <c r="M684" i="28"/>
  <c r="M685" i="28"/>
  <c r="M686" i="28"/>
  <c r="M687" i="28"/>
  <c r="M688" i="28"/>
  <c r="M689" i="28"/>
  <c r="M690" i="28"/>
  <c r="M691" i="28"/>
  <c r="M692" i="28"/>
  <c r="M693" i="28"/>
  <c r="M694" i="28"/>
  <c r="M695" i="28"/>
  <c r="M696" i="28"/>
  <c r="M697" i="28"/>
  <c r="M698" i="28"/>
  <c r="M699" i="28"/>
  <c r="M700" i="28"/>
  <c r="M701" i="28"/>
  <c r="M702" i="28"/>
  <c r="M703" i="28"/>
  <c r="M704" i="28"/>
  <c r="M705" i="28"/>
  <c r="M706" i="28"/>
  <c r="M707" i="28"/>
  <c r="M708" i="28"/>
  <c r="M709" i="28"/>
  <c r="M710" i="28"/>
  <c r="M711" i="28"/>
  <c r="M712" i="28"/>
  <c r="M713" i="28"/>
  <c r="M714" i="28"/>
  <c r="M715" i="28"/>
  <c r="M716" i="28"/>
  <c r="M717" i="28"/>
  <c r="M718" i="28"/>
  <c r="M719" i="28"/>
  <c r="M720" i="28"/>
  <c r="M721" i="28"/>
  <c r="M722" i="28"/>
  <c r="M723" i="28"/>
  <c r="M724" i="28"/>
  <c r="M725" i="28"/>
  <c r="M726" i="28"/>
  <c r="M727" i="28"/>
  <c r="M728" i="28"/>
  <c r="M729" i="28"/>
  <c r="M730" i="28"/>
  <c r="M731" i="28"/>
  <c r="M732" i="28"/>
  <c r="M733" i="28"/>
  <c r="M734" i="28"/>
  <c r="M735" i="28"/>
  <c r="M736" i="28"/>
  <c r="M737" i="28"/>
  <c r="M738" i="28"/>
  <c r="M739" i="28"/>
  <c r="M740" i="28"/>
  <c r="M741" i="28"/>
  <c r="M742" i="28"/>
  <c r="M743" i="28"/>
  <c r="M744" i="28"/>
  <c r="M745" i="28"/>
  <c r="M746" i="28"/>
  <c r="M747" i="28"/>
  <c r="M748" i="28"/>
  <c r="M749" i="28"/>
  <c r="M750" i="28"/>
  <c r="M751" i="28"/>
  <c r="M752" i="28"/>
  <c r="M753" i="28"/>
  <c r="M754" i="28"/>
  <c r="M755" i="28"/>
  <c r="M756" i="28"/>
  <c r="M757" i="28"/>
  <c r="M758" i="28"/>
  <c r="M759" i="28"/>
  <c r="M760" i="28"/>
  <c r="M761" i="28"/>
  <c r="M762" i="28"/>
  <c r="M763" i="28"/>
  <c r="M764" i="28"/>
  <c r="M765" i="28"/>
  <c r="M766" i="28"/>
  <c r="M767" i="28"/>
  <c r="M768" i="28"/>
  <c r="M769" i="28"/>
  <c r="M770" i="28"/>
  <c r="M771" i="28"/>
  <c r="M772" i="28"/>
  <c r="M773" i="28"/>
  <c r="M774" i="28"/>
  <c r="M775" i="28"/>
  <c r="M776" i="28"/>
  <c r="M777" i="28"/>
  <c r="M778" i="28"/>
  <c r="M779" i="28"/>
  <c r="M780" i="28"/>
  <c r="M781" i="28"/>
  <c r="M782" i="28"/>
  <c r="M783" i="28"/>
  <c r="M784" i="28"/>
  <c r="M785" i="28"/>
  <c r="M786" i="28"/>
  <c r="M787" i="28"/>
  <c r="M788" i="28"/>
  <c r="M789" i="28"/>
  <c r="M790" i="28"/>
  <c r="M791" i="28"/>
  <c r="M792" i="28"/>
  <c r="M793" i="28"/>
  <c r="M794" i="28"/>
  <c r="M795" i="28"/>
  <c r="M796" i="28"/>
  <c r="M797" i="28"/>
  <c r="M798" i="28"/>
  <c r="M799" i="28"/>
  <c r="M800" i="28"/>
  <c r="M801" i="28"/>
  <c r="M802" i="28"/>
  <c r="M803" i="28"/>
  <c r="M804" i="28"/>
  <c r="M805" i="28"/>
  <c r="M806" i="28"/>
  <c r="M807" i="28"/>
  <c r="M808" i="28"/>
  <c r="M809" i="28"/>
  <c r="M810" i="28"/>
  <c r="M811" i="28"/>
  <c r="M812" i="28"/>
  <c r="M813" i="28"/>
  <c r="M814" i="28"/>
  <c r="M815" i="28"/>
  <c r="M816" i="28"/>
  <c r="M817" i="28"/>
  <c r="M818" i="28"/>
  <c r="M819" i="28"/>
  <c r="M820" i="28"/>
  <c r="M821" i="28"/>
  <c r="M822" i="28"/>
  <c r="M823" i="28"/>
  <c r="M824" i="28"/>
  <c r="M825" i="28"/>
  <c r="M826" i="28"/>
  <c r="M827" i="28"/>
  <c r="M828" i="28"/>
  <c r="M829" i="28"/>
  <c r="M830" i="28"/>
  <c r="M831" i="28"/>
  <c r="M832" i="28"/>
  <c r="M833" i="28"/>
  <c r="O2" i="28"/>
  <c r="O3" i="28"/>
  <c r="O4" i="28"/>
  <c r="O5" i="28"/>
  <c r="O6" i="28"/>
  <c r="O7" i="28"/>
  <c r="O8" i="28"/>
  <c r="O9" i="28"/>
  <c r="O10" i="28"/>
  <c r="O11" i="28"/>
  <c r="O12" i="28"/>
  <c r="O13" i="28"/>
  <c r="O14" i="28"/>
  <c r="O15" i="28"/>
  <c r="O16" i="28"/>
  <c r="O17" i="28"/>
  <c r="O18" i="28"/>
  <c r="O19" i="28"/>
  <c r="O20" i="28"/>
  <c r="O21" i="28"/>
  <c r="O22" i="28"/>
  <c r="O23" i="28"/>
  <c r="O24" i="28"/>
  <c r="O25" i="28"/>
  <c r="O26" i="28"/>
  <c r="O27" i="28"/>
  <c r="O28" i="28"/>
  <c r="O29" i="28"/>
  <c r="O30" i="28"/>
  <c r="O31" i="28"/>
  <c r="O32" i="28"/>
  <c r="O33" i="28"/>
  <c r="O34" i="28"/>
  <c r="O35" i="28"/>
  <c r="O36" i="28"/>
  <c r="O37" i="28"/>
  <c r="O38" i="28"/>
  <c r="O39" i="28"/>
  <c r="O40" i="28"/>
  <c r="O41" i="28"/>
  <c r="O42" i="28"/>
  <c r="O43" i="28"/>
  <c r="O44" i="28"/>
  <c r="O45" i="28"/>
  <c r="O46" i="28"/>
  <c r="O47" i="28"/>
  <c r="O48" i="28"/>
  <c r="O49" i="28"/>
  <c r="O50" i="28"/>
  <c r="O51" i="28"/>
  <c r="O52" i="28"/>
  <c r="O53" i="28"/>
  <c r="O54" i="28"/>
  <c r="O55" i="28"/>
  <c r="O56" i="28"/>
  <c r="O57" i="28"/>
  <c r="O58" i="28"/>
  <c r="O59" i="28"/>
  <c r="O60" i="28"/>
  <c r="O61" i="28"/>
  <c r="O62" i="28"/>
  <c r="O63" i="28"/>
  <c r="O64" i="28"/>
  <c r="O65" i="28"/>
  <c r="O66" i="28"/>
  <c r="O67" i="28"/>
  <c r="O68" i="28"/>
  <c r="O69" i="28"/>
  <c r="O70" i="28"/>
  <c r="O71" i="28"/>
  <c r="O72" i="28"/>
  <c r="O73" i="28"/>
  <c r="O74" i="28"/>
  <c r="O75" i="28"/>
  <c r="O76" i="28"/>
  <c r="O77" i="28"/>
  <c r="O78" i="28"/>
  <c r="O79" i="28"/>
  <c r="O80" i="28"/>
  <c r="O81" i="28"/>
  <c r="O82" i="28"/>
  <c r="O83" i="28"/>
  <c r="O84" i="28"/>
  <c r="O85" i="28"/>
  <c r="O86" i="28"/>
  <c r="O87" i="28"/>
  <c r="O88" i="28"/>
  <c r="O89" i="28"/>
  <c r="O90" i="28"/>
  <c r="O91" i="28"/>
  <c r="O92" i="28"/>
  <c r="O93" i="28"/>
  <c r="O94" i="28"/>
  <c r="O95" i="28"/>
  <c r="O96" i="28"/>
  <c r="O97" i="28"/>
  <c r="O98" i="28"/>
  <c r="O99" i="28"/>
  <c r="O100" i="28"/>
  <c r="O101" i="28"/>
  <c r="O102" i="28"/>
  <c r="O103" i="28"/>
  <c r="O104" i="28"/>
  <c r="O105" i="28"/>
  <c r="O106" i="28"/>
  <c r="O107" i="28"/>
  <c r="O108" i="28"/>
  <c r="O109" i="28"/>
  <c r="O110" i="28"/>
  <c r="O111" i="28"/>
  <c r="O112" i="28"/>
  <c r="O113" i="28"/>
  <c r="O114" i="28"/>
  <c r="O115" i="28"/>
  <c r="O116" i="28"/>
  <c r="O117" i="28"/>
  <c r="O118" i="28"/>
  <c r="O119" i="28"/>
  <c r="O120" i="28"/>
  <c r="O121" i="28"/>
  <c r="O122" i="28"/>
  <c r="O123" i="28"/>
  <c r="O124" i="28"/>
  <c r="O125" i="28"/>
  <c r="O126" i="28"/>
  <c r="O127" i="28"/>
  <c r="O128" i="28"/>
  <c r="O129" i="28"/>
  <c r="O130" i="28"/>
  <c r="O131" i="28"/>
  <c r="O132" i="28"/>
  <c r="O133" i="28"/>
  <c r="O134" i="28"/>
  <c r="O135" i="28"/>
  <c r="O136" i="28"/>
  <c r="O137" i="28"/>
  <c r="O138" i="28"/>
  <c r="O139" i="28"/>
  <c r="O140" i="28"/>
  <c r="O141" i="28"/>
  <c r="O142" i="28"/>
  <c r="O143" i="28"/>
  <c r="O144" i="28"/>
  <c r="O145" i="28"/>
  <c r="O146" i="28"/>
  <c r="O147" i="28"/>
  <c r="O148" i="28"/>
  <c r="O149" i="28"/>
  <c r="O150" i="28"/>
  <c r="O151" i="28"/>
  <c r="O152" i="28"/>
  <c r="O153" i="28"/>
  <c r="O154" i="28"/>
  <c r="O155" i="28"/>
  <c r="O156" i="28"/>
  <c r="O157" i="28"/>
  <c r="O158" i="28"/>
  <c r="O159" i="28"/>
  <c r="O160" i="28"/>
  <c r="O161" i="28"/>
  <c r="O162" i="28"/>
  <c r="O163" i="28"/>
  <c r="O164" i="28"/>
  <c r="O165" i="28"/>
  <c r="O166" i="28"/>
  <c r="O167" i="28"/>
  <c r="O168" i="28"/>
  <c r="O169" i="28"/>
  <c r="O170" i="28"/>
  <c r="O171" i="28"/>
  <c r="O172" i="28"/>
  <c r="O173" i="28"/>
  <c r="O174" i="28"/>
  <c r="O175" i="28"/>
  <c r="O176" i="28"/>
  <c r="O177" i="28"/>
  <c r="O178" i="28"/>
  <c r="O179" i="28"/>
  <c r="O180" i="28"/>
  <c r="O181" i="28"/>
  <c r="O182" i="28"/>
  <c r="O183" i="28"/>
  <c r="O184" i="28"/>
  <c r="O185" i="28"/>
  <c r="O186" i="28"/>
  <c r="O187" i="28"/>
  <c r="O188" i="28"/>
  <c r="O189" i="28"/>
  <c r="O190" i="28"/>
  <c r="O191" i="28"/>
  <c r="O192" i="28"/>
  <c r="O193" i="28"/>
  <c r="O194" i="28"/>
  <c r="O195" i="28"/>
  <c r="O196" i="28"/>
  <c r="O197" i="28"/>
  <c r="O198" i="28"/>
  <c r="O199" i="28"/>
  <c r="O200" i="28"/>
  <c r="O201" i="28"/>
  <c r="O202" i="28"/>
  <c r="O203" i="28"/>
  <c r="O204" i="28"/>
  <c r="O205" i="28"/>
  <c r="O206" i="28"/>
  <c r="O207" i="28"/>
  <c r="O208" i="28"/>
  <c r="O209" i="28"/>
  <c r="O210" i="28"/>
  <c r="O211" i="28"/>
  <c r="O212" i="28"/>
  <c r="O213" i="28"/>
  <c r="O214" i="28"/>
  <c r="O215" i="28"/>
  <c r="O216" i="28"/>
  <c r="O217" i="28"/>
  <c r="O218" i="28"/>
  <c r="O219" i="28"/>
  <c r="O220" i="28"/>
  <c r="O221" i="28"/>
  <c r="O222" i="28"/>
  <c r="O223" i="28"/>
  <c r="O224" i="28"/>
  <c r="O225" i="28"/>
  <c r="O226" i="28"/>
  <c r="O227" i="28"/>
  <c r="O228" i="28"/>
  <c r="O229" i="28"/>
  <c r="O230" i="28"/>
  <c r="O231" i="28"/>
  <c r="O232" i="28"/>
  <c r="O233" i="28"/>
  <c r="O234" i="28"/>
  <c r="O235" i="28"/>
  <c r="O236" i="28"/>
  <c r="O237" i="28"/>
  <c r="O238" i="28"/>
  <c r="O239" i="28"/>
  <c r="O240" i="28"/>
  <c r="O241" i="28"/>
  <c r="O242" i="28"/>
  <c r="O243" i="28"/>
  <c r="O244" i="28"/>
  <c r="O245" i="28"/>
  <c r="O246" i="28"/>
  <c r="O247" i="28"/>
  <c r="O248" i="28"/>
  <c r="O249" i="28"/>
  <c r="O250" i="28"/>
  <c r="O251" i="28"/>
  <c r="O252" i="28"/>
  <c r="O253" i="28"/>
  <c r="O254" i="28"/>
  <c r="O255" i="28"/>
  <c r="O256" i="28"/>
  <c r="O257" i="28"/>
  <c r="O258" i="28"/>
  <c r="O259" i="28"/>
  <c r="O260" i="28"/>
  <c r="O261" i="28"/>
  <c r="O262" i="28"/>
  <c r="O263" i="28"/>
  <c r="O264" i="28"/>
  <c r="O265" i="28"/>
  <c r="O266" i="28"/>
  <c r="O267" i="28"/>
  <c r="O268" i="28"/>
  <c r="O269" i="28"/>
  <c r="O270" i="28"/>
  <c r="O271" i="28"/>
  <c r="O272" i="28"/>
  <c r="O273" i="28"/>
  <c r="O274" i="28"/>
  <c r="O275" i="28"/>
  <c r="O276" i="28"/>
  <c r="O277" i="28"/>
  <c r="O278" i="28"/>
  <c r="O279" i="28"/>
  <c r="O280" i="28"/>
  <c r="O281" i="28"/>
  <c r="O282" i="28"/>
  <c r="O283" i="28"/>
  <c r="O284" i="28"/>
  <c r="O285" i="28"/>
  <c r="O286" i="28"/>
  <c r="O287" i="28"/>
  <c r="O288" i="28"/>
  <c r="O289" i="28"/>
  <c r="O290" i="28"/>
  <c r="O291" i="28"/>
  <c r="O292" i="28"/>
  <c r="O293" i="28"/>
  <c r="O294" i="28"/>
  <c r="O295" i="28"/>
  <c r="O296" i="28"/>
  <c r="O297" i="28"/>
  <c r="O298" i="28"/>
  <c r="O299" i="28"/>
  <c r="O300" i="28"/>
  <c r="O301" i="28"/>
  <c r="O302" i="28"/>
  <c r="O303" i="28"/>
  <c r="O304" i="28"/>
  <c r="O305" i="28"/>
  <c r="O306" i="28"/>
  <c r="O307" i="28"/>
  <c r="O308" i="28"/>
  <c r="O309" i="28"/>
  <c r="O310" i="28"/>
  <c r="O311" i="28"/>
  <c r="O312" i="28"/>
  <c r="O313" i="28"/>
  <c r="O314" i="28"/>
  <c r="O315" i="28"/>
  <c r="O316" i="28"/>
  <c r="O317" i="28"/>
  <c r="O318" i="28"/>
  <c r="O319" i="28"/>
  <c r="O320" i="28"/>
  <c r="O321" i="28"/>
  <c r="O322" i="28"/>
  <c r="O323" i="28"/>
  <c r="O324" i="28"/>
  <c r="O325" i="28"/>
  <c r="O326" i="28"/>
  <c r="O327" i="28"/>
  <c r="O328" i="28"/>
  <c r="O329" i="28"/>
  <c r="O330" i="28"/>
  <c r="O331" i="28"/>
  <c r="O332" i="28"/>
  <c r="O333" i="28"/>
  <c r="O334" i="28"/>
  <c r="O335" i="28"/>
  <c r="O336" i="28"/>
  <c r="O337" i="28"/>
  <c r="O338" i="28"/>
  <c r="O339" i="28"/>
  <c r="O340" i="28"/>
  <c r="O341" i="28"/>
  <c r="O342" i="28"/>
  <c r="O343" i="28"/>
  <c r="O344" i="28"/>
  <c r="O345" i="28"/>
  <c r="O346" i="28"/>
  <c r="O347" i="28"/>
  <c r="O348" i="28"/>
  <c r="O349" i="28"/>
  <c r="O350" i="28"/>
  <c r="O351" i="28"/>
  <c r="O352" i="28"/>
  <c r="O353" i="28"/>
  <c r="O354" i="28"/>
  <c r="O355" i="28"/>
  <c r="O356" i="28"/>
  <c r="O357" i="28"/>
  <c r="O358" i="28"/>
  <c r="O359" i="28"/>
  <c r="O360" i="28"/>
  <c r="O361" i="28"/>
  <c r="O362" i="28"/>
  <c r="O363" i="28"/>
  <c r="O364" i="28"/>
  <c r="O365" i="28"/>
  <c r="O366" i="28"/>
  <c r="O367" i="28"/>
  <c r="O368" i="28"/>
  <c r="O369" i="28"/>
  <c r="O370" i="28"/>
  <c r="O371" i="28"/>
  <c r="O372" i="28"/>
  <c r="O373" i="28"/>
  <c r="O374" i="28"/>
  <c r="O375" i="28"/>
  <c r="O376" i="28"/>
  <c r="O377" i="28"/>
  <c r="O378" i="28"/>
  <c r="O379" i="28"/>
  <c r="O380" i="28"/>
  <c r="O381" i="28"/>
  <c r="O382" i="28"/>
  <c r="O383" i="28"/>
  <c r="O384" i="28"/>
  <c r="O385" i="28"/>
  <c r="O386" i="28"/>
  <c r="O387" i="28"/>
  <c r="O388" i="28"/>
  <c r="O389" i="28"/>
  <c r="O390" i="28"/>
  <c r="O391" i="28"/>
  <c r="O392" i="28"/>
  <c r="O393" i="28"/>
  <c r="O394" i="28"/>
  <c r="O395" i="28"/>
  <c r="O396" i="28"/>
  <c r="O397" i="28"/>
  <c r="O398" i="28"/>
  <c r="O399" i="28"/>
  <c r="O400" i="28"/>
  <c r="O401" i="28"/>
  <c r="O402" i="28"/>
  <c r="O403" i="28"/>
  <c r="O404" i="28"/>
  <c r="O405" i="28"/>
  <c r="O406" i="28"/>
  <c r="O407" i="28"/>
  <c r="O408" i="28"/>
  <c r="O409" i="28"/>
  <c r="O410" i="28"/>
  <c r="O411" i="28"/>
  <c r="O412" i="28"/>
  <c r="O413" i="28"/>
  <c r="O414" i="28"/>
  <c r="O415" i="28"/>
  <c r="O416" i="28"/>
  <c r="O417" i="28"/>
  <c r="O418" i="28"/>
  <c r="O419" i="28"/>
  <c r="O420" i="28"/>
  <c r="O421" i="28"/>
  <c r="O422" i="28"/>
  <c r="O423" i="28"/>
  <c r="O424" i="28"/>
  <c r="O425" i="28"/>
  <c r="O426" i="28"/>
  <c r="O427" i="28"/>
  <c r="O428" i="28"/>
  <c r="O429" i="28"/>
  <c r="O430" i="28"/>
  <c r="O431" i="28"/>
  <c r="O432" i="28"/>
  <c r="O433" i="28"/>
  <c r="O434" i="28"/>
  <c r="O435" i="28"/>
  <c r="O436" i="28"/>
  <c r="O437" i="28"/>
  <c r="O438" i="28"/>
  <c r="O439" i="28"/>
  <c r="O440" i="28"/>
  <c r="O441" i="28"/>
  <c r="O442" i="28"/>
  <c r="O443" i="28"/>
  <c r="O444" i="28"/>
  <c r="O445" i="28"/>
  <c r="O446" i="28"/>
  <c r="O447" i="28"/>
  <c r="O448" i="28"/>
  <c r="O449" i="28"/>
  <c r="O450" i="28"/>
  <c r="O451" i="28"/>
  <c r="O452" i="28"/>
  <c r="O453" i="28"/>
  <c r="O454" i="28"/>
  <c r="O455" i="28"/>
  <c r="O456" i="28"/>
  <c r="O457" i="28"/>
  <c r="O458" i="28"/>
  <c r="O459" i="28"/>
  <c r="O460" i="28"/>
  <c r="O461" i="28"/>
  <c r="O462" i="28"/>
  <c r="O463" i="28"/>
  <c r="O464" i="28"/>
  <c r="O465" i="28"/>
  <c r="O466" i="28"/>
  <c r="O467" i="28"/>
  <c r="O468" i="28"/>
  <c r="O469" i="28"/>
  <c r="O470" i="28"/>
  <c r="O471" i="28"/>
  <c r="O472" i="28"/>
  <c r="O473" i="28"/>
  <c r="O474" i="28"/>
  <c r="O475" i="28"/>
  <c r="O476" i="28"/>
  <c r="O477" i="28"/>
  <c r="O478" i="28"/>
  <c r="O479" i="28"/>
  <c r="O480" i="28"/>
  <c r="O481" i="28"/>
  <c r="O482" i="28"/>
  <c r="O483" i="28"/>
  <c r="O484" i="28"/>
  <c r="O485" i="28"/>
  <c r="O486" i="28"/>
  <c r="O487" i="28"/>
  <c r="O488" i="28"/>
  <c r="O489" i="28"/>
  <c r="O490" i="28"/>
  <c r="O491" i="28"/>
  <c r="O492" i="28"/>
  <c r="O493" i="28"/>
  <c r="O494" i="28"/>
  <c r="O495" i="28"/>
  <c r="O496" i="28"/>
  <c r="O497" i="28"/>
  <c r="O498" i="28"/>
  <c r="O499" i="28"/>
  <c r="O500" i="28"/>
  <c r="O501" i="28"/>
  <c r="O502" i="28"/>
  <c r="O503" i="28"/>
  <c r="O504" i="28"/>
  <c r="O505" i="28"/>
  <c r="O506" i="28"/>
  <c r="O507" i="28"/>
  <c r="O508" i="28"/>
  <c r="O509" i="28"/>
  <c r="O510" i="28"/>
  <c r="O511" i="28"/>
  <c r="O512" i="28"/>
  <c r="O513" i="28"/>
  <c r="O514" i="28"/>
  <c r="O515" i="28"/>
  <c r="O516" i="28"/>
  <c r="O517" i="28"/>
  <c r="O518" i="28"/>
  <c r="O519" i="28"/>
  <c r="O520" i="28"/>
  <c r="O521" i="28"/>
  <c r="O522" i="28"/>
  <c r="O523" i="28"/>
  <c r="O524" i="28"/>
  <c r="O525" i="28"/>
  <c r="O526" i="28"/>
  <c r="O527" i="28"/>
  <c r="O528" i="28"/>
  <c r="O529" i="28"/>
  <c r="O530" i="28"/>
  <c r="O531" i="28"/>
  <c r="O532" i="28"/>
  <c r="O533" i="28"/>
  <c r="O534" i="28"/>
  <c r="O535" i="28"/>
  <c r="O536" i="28"/>
  <c r="O537" i="28"/>
  <c r="O538" i="28"/>
  <c r="O539" i="28"/>
  <c r="O540" i="28"/>
  <c r="O541" i="28"/>
  <c r="O542" i="28"/>
  <c r="O543" i="28"/>
  <c r="O544" i="28"/>
  <c r="O545" i="28"/>
  <c r="O546" i="28"/>
  <c r="O547" i="28"/>
  <c r="O548" i="28"/>
  <c r="O549" i="28"/>
  <c r="O550" i="28"/>
  <c r="O551" i="28"/>
  <c r="O552" i="28"/>
  <c r="O553" i="28"/>
  <c r="O554" i="28"/>
  <c r="O555" i="28"/>
  <c r="O556" i="28"/>
  <c r="O557" i="28"/>
  <c r="O558" i="28"/>
  <c r="O559" i="28"/>
  <c r="O560" i="28"/>
  <c r="O561" i="28"/>
  <c r="O562" i="28"/>
  <c r="O563" i="28"/>
  <c r="O564" i="28"/>
  <c r="O565" i="28"/>
  <c r="O566" i="28"/>
  <c r="O567" i="28"/>
  <c r="O568" i="28"/>
  <c r="O569" i="28"/>
  <c r="O570" i="28"/>
  <c r="O571" i="28"/>
  <c r="O572" i="28"/>
  <c r="O573" i="28"/>
  <c r="O574" i="28"/>
  <c r="O575" i="28"/>
  <c r="O576" i="28"/>
  <c r="O577" i="28"/>
  <c r="O578" i="28"/>
  <c r="O579" i="28"/>
  <c r="O580" i="28"/>
  <c r="O581" i="28"/>
  <c r="O582" i="28"/>
  <c r="O583" i="28"/>
  <c r="O584" i="28"/>
  <c r="O585" i="28"/>
  <c r="O586" i="28"/>
  <c r="O587" i="28"/>
  <c r="O588" i="28"/>
  <c r="O589" i="28"/>
  <c r="O590" i="28"/>
  <c r="O591" i="28"/>
  <c r="O592" i="28"/>
  <c r="O593" i="28"/>
  <c r="O594" i="28"/>
  <c r="O595" i="28"/>
  <c r="O596" i="28"/>
  <c r="O597" i="28"/>
  <c r="O598" i="28"/>
  <c r="O599" i="28"/>
  <c r="O600" i="28"/>
  <c r="O601" i="28"/>
  <c r="O602" i="28"/>
  <c r="O603" i="28"/>
  <c r="O604" i="28"/>
  <c r="O605" i="28"/>
  <c r="O606" i="28"/>
  <c r="O607" i="28"/>
  <c r="O608" i="28"/>
  <c r="O609" i="28"/>
  <c r="O610" i="28"/>
  <c r="O611" i="28"/>
  <c r="O612" i="28"/>
  <c r="O613" i="28"/>
  <c r="O614" i="28"/>
  <c r="O615" i="28"/>
  <c r="O616" i="28"/>
  <c r="O617" i="28"/>
  <c r="O618" i="28"/>
  <c r="O619" i="28"/>
  <c r="O620" i="28"/>
  <c r="O621" i="28"/>
  <c r="O622" i="28"/>
  <c r="O623" i="28"/>
  <c r="O624" i="28"/>
  <c r="O625" i="28"/>
  <c r="O626" i="28"/>
  <c r="O627" i="28"/>
  <c r="O628" i="28"/>
  <c r="O629" i="28"/>
  <c r="O630" i="28"/>
  <c r="O631" i="28"/>
  <c r="O632" i="28"/>
  <c r="O633" i="28"/>
  <c r="O634" i="28"/>
  <c r="O635" i="28"/>
  <c r="O636" i="28"/>
  <c r="O637" i="28"/>
  <c r="O638" i="28"/>
  <c r="O639" i="28"/>
  <c r="O640" i="28"/>
  <c r="O641" i="28"/>
  <c r="O642" i="28"/>
  <c r="O643" i="28"/>
  <c r="O644" i="28"/>
  <c r="O645" i="28"/>
  <c r="O646" i="28"/>
  <c r="O647" i="28"/>
  <c r="O648" i="28"/>
  <c r="O649" i="28"/>
  <c r="O650" i="28"/>
  <c r="O651" i="28"/>
  <c r="O652" i="28"/>
  <c r="O653" i="28"/>
  <c r="O654" i="28"/>
  <c r="O655" i="28"/>
  <c r="O656" i="28"/>
  <c r="O657" i="28"/>
  <c r="O658" i="28"/>
  <c r="O659" i="28"/>
  <c r="O660" i="28"/>
  <c r="O661" i="28"/>
  <c r="O662" i="28"/>
  <c r="O663" i="28"/>
  <c r="O664" i="28"/>
  <c r="O665" i="28"/>
  <c r="O666" i="28"/>
  <c r="O667" i="28"/>
  <c r="O668" i="28"/>
  <c r="O669" i="28"/>
  <c r="O670" i="28"/>
  <c r="O671" i="28"/>
  <c r="O672" i="28"/>
  <c r="O673" i="28"/>
  <c r="O674" i="28"/>
  <c r="O675" i="28"/>
  <c r="O676" i="28"/>
  <c r="O677" i="28"/>
  <c r="O678" i="28"/>
  <c r="O679" i="28"/>
  <c r="O680" i="28"/>
  <c r="O681" i="28"/>
  <c r="O682" i="28"/>
  <c r="O683" i="28"/>
  <c r="O684" i="28"/>
  <c r="O685" i="28"/>
  <c r="O686" i="28"/>
  <c r="O687" i="28"/>
  <c r="O688" i="28"/>
  <c r="O689" i="28"/>
  <c r="O690" i="28"/>
  <c r="O691" i="28"/>
  <c r="O692" i="28"/>
  <c r="O693" i="28"/>
  <c r="O694" i="28"/>
  <c r="O695" i="28"/>
  <c r="O696" i="28"/>
  <c r="O697" i="28"/>
  <c r="O698" i="28"/>
  <c r="O699" i="28"/>
  <c r="O700" i="28"/>
  <c r="O701" i="28"/>
  <c r="O702" i="28"/>
  <c r="O703" i="28"/>
  <c r="O704" i="28"/>
  <c r="O705" i="28"/>
  <c r="O706" i="28"/>
  <c r="O707" i="28"/>
  <c r="O708" i="28"/>
  <c r="O709" i="28"/>
  <c r="O710" i="28"/>
  <c r="O711" i="28"/>
  <c r="O712" i="28"/>
  <c r="O713" i="28"/>
  <c r="O714" i="28"/>
  <c r="O715" i="28"/>
  <c r="O716" i="28"/>
  <c r="O717" i="28"/>
  <c r="O718" i="28"/>
  <c r="O719" i="28"/>
  <c r="O720" i="28"/>
  <c r="O721" i="28"/>
  <c r="O722" i="28"/>
  <c r="O723" i="28"/>
  <c r="O724" i="28"/>
  <c r="O725" i="28"/>
  <c r="O726" i="28"/>
  <c r="O727" i="28"/>
  <c r="O728" i="28"/>
  <c r="O729" i="28"/>
  <c r="O730" i="28"/>
  <c r="O731" i="28"/>
  <c r="O732" i="28"/>
  <c r="O733" i="28"/>
  <c r="O734" i="28"/>
  <c r="O735" i="28"/>
  <c r="O736" i="28"/>
  <c r="O737" i="28"/>
  <c r="O738" i="28"/>
  <c r="O739" i="28"/>
  <c r="O740" i="28"/>
  <c r="O741" i="28"/>
  <c r="O742" i="28"/>
  <c r="O743" i="28"/>
  <c r="O744" i="28"/>
  <c r="O745" i="28"/>
  <c r="O746" i="28"/>
  <c r="O747" i="28"/>
  <c r="O748" i="28"/>
  <c r="O749" i="28"/>
  <c r="O750" i="28"/>
  <c r="O751" i="28"/>
  <c r="O752" i="28"/>
  <c r="O753" i="28"/>
  <c r="O754" i="28"/>
  <c r="O755" i="28"/>
  <c r="O756" i="28"/>
  <c r="O757" i="28"/>
  <c r="O758" i="28"/>
  <c r="O759" i="28"/>
  <c r="O760" i="28"/>
  <c r="O761" i="28"/>
  <c r="O762" i="28"/>
  <c r="O763" i="28"/>
  <c r="O764" i="28"/>
  <c r="O765" i="28"/>
  <c r="O766" i="28"/>
  <c r="O767" i="28"/>
  <c r="O768" i="28"/>
  <c r="O769" i="28"/>
  <c r="O770" i="28"/>
  <c r="O771" i="28"/>
  <c r="O772" i="28"/>
  <c r="O773" i="28"/>
  <c r="O774" i="28"/>
  <c r="O775" i="28"/>
  <c r="O776" i="28"/>
  <c r="O777" i="28"/>
  <c r="O778" i="28"/>
  <c r="O779" i="28"/>
  <c r="O780" i="28"/>
  <c r="O781" i="28"/>
  <c r="O782" i="28"/>
  <c r="O783" i="28"/>
  <c r="O784" i="28"/>
  <c r="O785" i="28"/>
  <c r="O786" i="28"/>
  <c r="O787" i="28"/>
  <c r="O788" i="28"/>
  <c r="O789" i="28"/>
  <c r="O790" i="28"/>
  <c r="O791" i="28"/>
  <c r="O792" i="28"/>
  <c r="O793" i="28"/>
  <c r="O794" i="28"/>
  <c r="O795" i="28"/>
  <c r="O796" i="28"/>
  <c r="O797" i="28"/>
  <c r="O798" i="28"/>
  <c r="O799" i="28"/>
  <c r="O800" i="28"/>
  <c r="O801" i="28"/>
  <c r="O802" i="28"/>
  <c r="O803" i="28"/>
  <c r="O804" i="28"/>
  <c r="O805" i="28"/>
  <c r="O806" i="28"/>
  <c r="O807" i="28"/>
  <c r="O808" i="28"/>
  <c r="O809" i="28"/>
  <c r="O810" i="28"/>
  <c r="O811" i="28"/>
  <c r="O812" i="28"/>
  <c r="O813" i="28"/>
  <c r="O814" i="28"/>
  <c r="O815" i="28"/>
  <c r="O816" i="28"/>
  <c r="O817" i="28"/>
  <c r="O818" i="28"/>
  <c r="O819" i="28"/>
  <c r="O820" i="28"/>
  <c r="O821" i="28"/>
  <c r="O822" i="28"/>
  <c r="O823" i="28"/>
  <c r="O824" i="28"/>
  <c r="O825" i="28"/>
  <c r="O826" i="28"/>
  <c r="O827" i="28"/>
  <c r="O828" i="28"/>
  <c r="O829" i="28"/>
  <c r="O830" i="28"/>
  <c r="O831" i="28"/>
  <c r="O832" i="28"/>
  <c r="O833" i="28"/>
  <c r="Q2" i="28"/>
  <c r="Q3" i="28"/>
  <c r="Q4" i="28"/>
  <c r="Q5" i="28"/>
  <c r="Q6" i="28"/>
  <c r="Q7" i="28"/>
  <c r="Q8" i="28"/>
  <c r="Q9" i="28"/>
  <c r="Q10" i="28"/>
  <c r="Q11" i="28"/>
  <c r="Q12" i="28"/>
  <c r="Q13" i="28"/>
  <c r="Q14" i="28"/>
  <c r="Q15" i="28"/>
  <c r="Q16" i="28"/>
  <c r="Q17" i="28"/>
  <c r="Q18" i="28"/>
  <c r="Q19" i="28"/>
  <c r="Q20" i="28"/>
  <c r="Q21" i="28"/>
  <c r="Q22" i="28"/>
  <c r="Q23" i="28"/>
  <c r="Q24" i="28"/>
  <c r="Q25" i="28"/>
  <c r="Q26" i="28"/>
  <c r="Q27" i="28"/>
  <c r="Q28" i="28"/>
  <c r="Q29" i="28"/>
  <c r="Q30" i="28"/>
  <c r="Q31" i="28"/>
  <c r="Q32" i="28"/>
  <c r="Q33" i="28"/>
  <c r="Q34" i="28"/>
  <c r="Q35" i="28"/>
  <c r="Q36" i="28"/>
  <c r="Q37" i="28"/>
  <c r="Q38" i="28"/>
  <c r="Q39" i="28"/>
  <c r="Q40" i="28"/>
  <c r="Q41" i="28"/>
  <c r="Q42" i="28"/>
  <c r="Q43" i="28"/>
  <c r="Q44" i="28"/>
  <c r="Q45" i="28"/>
  <c r="Q46" i="28"/>
  <c r="Q47" i="28"/>
  <c r="Q48" i="28"/>
  <c r="Q49" i="28"/>
  <c r="Q50" i="28"/>
  <c r="Q51" i="28"/>
  <c r="Q52" i="28"/>
  <c r="Q53" i="28"/>
  <c r="Q54" i="28"/>
  <c r="Q55" i="28"/>
  <c r="Q56" i="28"/>
  <c r="Q57" i="28"/>
  <c r="Q58" i="28"/>
  <c r="Q59" i="28"/>
  <c r="Q60" i="28"/>
  <c r="Q61" i="28"/>
  <c r="Q62" i="28"/>
  <c r="Q63" i="28"/>
  <c r="Q64" i="28"/>
  <c r="Q65" i="28"/>
  <c r="Q66" i="28"/>
  <c r="Q67" i="28"/>
  <c r="Q68" i="28"/>
  <c r="Q69" i="28"/>
  <c r="Q70" i="28"/>
  <c r="Q71" i="28"/>
  <c r="Q72" i="28"/>
  <c r="Q73" i="28"/>
  <c r="Q74" i="28"/>
  <c r="Q75" i="28"/>
  <c r="Q76" i="28"/>
  <c r="Q77" i="28"/>
  <c r="Q78" i="28"/>
  <c r="Q79" i="28"/>
  <c r="Q80" i="28"/>
  <c r="Q81" i="28"/>
  <c r="Q82" i="28"/>
  <c r="Q83" i="28"/>
  <c r="Q84" i="28"/>
  <c r="Q85" i="28"/>
  <c r="Q86" i="28"/>
  <c r="Q87" i="28"/>
  <c r="Q88" i="28"/>
  <c r="Q89" i="28"/>
  <c r="Q90" i="28"/>
  <c r="Q91" i="28"/>
  <c r="Q92" i="28"/>
  <c r="Q93" i="28"/>
  <c r="Q94" i="28"/>
  <c r="Q95" i="28"/>
  <c r="Q96" i="28"/>
  <c r="Q97" i="28"/>
  <c r="Q98" i="28"/>
  <c r="Q99" i="28"/>
  <c r="Q100" i="28"/>
  <c r="Q101" i="28"/>
  <c r="Q102" i="28"/>
  <c r="Q103" i="28"/>
  <c r="Q104" i="28"/>
  <c r="Q105" i="28"/>
  <c r="Q106" i="28"/>
  <c r="Q107" i="28"/>
  <c r="Q108" i="28"/>
  <c r="Q109" i="28"/>
  <c r="Q110" i="28"/>
  <c r="Q111" i="28"/>
  <c r="Q112" i="28"/>
  <c r="Q113" i="28"/>
  <c r="Q114" i="28"/>
  <c r="Q115" i="28"/>
  <c r="Q116" i="28"/>
  <c r="Q117" i="28"/>
  <c r="Q118" i="28"/>
  <c r="Q119" i="28"/>
  <c r="Q120" i="28"/>
  <c r="Q121" i="28"/>
  <c r="Q122" i="28"/>
  <c r="Q123" i="28"/>
  <c r="Q124" i="28"/>
  <c r="Q125" i="28"/>
  <c r="Q126" i="28"/>
  <c r="Q127" i="28"/>
  <c r="Q128" i="28"/>
  <c r="Q129" i="28"/>
  <c r="Q130" i="28"/>
  <c r="Q131" i="28"/>
  <c r="Q132" i="28"/>
  <c r="Q133" i="28"/>
  <c r="Q134" i="28"/>
  <c r="Q135" i="28"/>
  <c r="Q136" i="28"/>
  <c r="Q137" i="28"/>
  <c r="Q138" i="28"/>
  <c r="Q139" i="28"/>
  <c r="Q140" i="28"/>
  <c r="Q141" i="28"/>
  <c r="Q142" i="28"/>
  <c r="Q143" i="28"/>
  <c r="Q144" i="28"/>
  <c r="Q145" i="28"/>
  <c r="Q146" i="28"/>
  <c r="Q147" i="28"/>
  <c r="Q148" i="28"/>
  <c r="Q149" i="28"/>
  <c r="Q150" i="28"/>
  <c r="Q151" i="28"/>
  <c r="Q152" i="28"/>
  <c r="Q153" i="28"/>
  <c r="Q154" i="28"/>
  <c r="Q155" i="28"/>
  <c r="Q156" i="28"/>
  <c r="Q157" i="28"/>
  <c r="Q158" i="28"/>
  <c r="Q159" i="28"/>
  <c r="Q160" i="28"/>
  <c r="Q161" i="28"/>
  <c r="Q162" i="28"/>
  <c r="Q163" i="28"/>
  <c r="Q164" i="28"/>
  <c r="Q165" i="28"/>
  <c r="Q166" i="28"/>
  <c r="Q167" i="28"/>
  <c r="Q168" i="28"/>
  <c r="Q169" i="28"/>
  <c r="Q170" i="28"/>
  <c r="Q171" i="28"/>
  <c r="Q172" i="28"/>
  <c r="Q173" i="28"/>
  <c r="Q174" i="28"/>
  <c r="Q175" i="28"/>
  <c r="Q176" i="28"/>
  <c r="Q177" i="28"/>
  <c r="Q178" i="28"/>
  <c r="Q179" i="28"/>
  <c r="Q180" i="28"/>
  <c r="Q181" i="28"/>
  <c r="Q182" i="28"/>
  <c r="Q183" i="28"/>
  <c r="Q184" i="28"/>
  <c r="Q185" i="28"/>
  <c r="Q186" i="28"/>
  <c r="Q187" i="28"/>
  <c r="Q188" i="28"/>
  <c r="Q189" i="28"/>
  <c r="Q190" i="28"/>
  <c r="Q191" i="28"/>
  <c r="Q192" i="28"/>
  <c r="Q193" i="28"/>
  <c r="Q194" i="28"/>
  <c r="Q195" i="28"/>
  <c r="Q196" i="28"/>
  <c r="Q197" i="28"/>
  <c r="Q198" i="28"/>
  <c r="Q199" i="28"/>
  <c r="Q200" i="28"/>
  <c r="Q201" i="28"/>
  <c r="Q202" i="28"/>
  <c r="Q203" i="28"/>
  <c r="Q204" i="28"/>
  <c r="Q205" i="28"/>
  <c r="Q206" i="28"/>
  <c r="Q207" i="28"/>
  <c r="Q208" i="28"/>
  <c r="Q209" i="28"/>
  <c r="Q210" i="28"/>
  <c r="Q211" i="28"/>
  <c r="Q212" i="28"/>
  <c r="Q213" i="28"/>
  <c r="Q214" i="28"/>
  <c r="Q215" i="28"/>
  <c r="Q216" i="28"/>
  <c r="Q217" i="28"/>
  <c r="Q218" i="28"/>
  <c r="Q219" i="28"/>
  <c r="Q220" i="28"/>
  <c r="Q221" i="28"/>
  <c r="Q222" i="28"/>
  <c r="Q223" i="28"/>
  <c r="Q224" i="28"/>
  <c r="Q225" i="28"/>
  <c r="Q226" i="28"/>
  <c r="Q227" i="28"/>
  <c r="Q228" i="28"/>
  <c r="Q229" i="28"/>
  <c r="Q230" i="28"/>
  <c r="Q231" i="28"/>
  <c r="Q232" i="28"/>
  <c r="Q233" i="28"/>
  <c r="Q234" i="28"/>
  <c r="Q235" i="28"/>
  <c r="Q236" i="28"/>
  <c r="Q237" i="28"/>
  <c r="Q238" i="28"/>
  <c r="Q239" i="28"/>
  <c r="Q240" i="28"/>
  <c r="Q241" i="28"/>
  <c r="Q242" i="28"/>
  <c r="Q243" i="28"/>
  <c r="Q244" i="28"/>
  <c r="Q245" i="28"/>
  <c r="Q246" i="28"/>
  <c r="Q247" i="28"/>
  <c r="Q248" i="28"/>
  <c r="Q249" i="28"/>
  <c r="Q250" i="28"/>
  <c r="Q251" i="28"/>
  <c r="Q252" i="28"/>
  <c r="Q253" i="28"/>
  <c r="Q254" i="28"/>
  <c r="Q255" i="28"/>
  <c r="Q256" i="28"/>
  <c r="Q257" i="28"/>
  <c r="Q258" i="28"/>
  <c r="Q259" i="28"/>
  <c r="Q260" i="28"/>
  <c r="Q261" i="28"/>
  <c r="Q262" i="28"/>
  <c r="Q263" i="28"/>
  <c r="Q264" i="28"/>
  <c r="Q265" i="28"/>
  <c r="Q266" i="28"/>
  <c r="Q267" i="28"/>
  <c r="Q268" i="28"/>
  <c r="Q269" i="28"/>
  <c r="Q270" i="28"/>
  <c r="Q271" i="28"/>
  <c r="Q272" i="28"/>
  <c r="Q273" i="28"/>
  <c r="Q274" i="28"/>
  <c r="Q275" i="28"/>
  <c r="Q276" i="28"/>
  <c r="Q277" i="28"/>
  <c r="Q278" i="28"/>
  <c r="Q279" i="28"/>
  <c r="Q280" i="28"/>
  <c r="Q281" i="28"/>
  <c r="Q282" i="28"/>
  <c r="Q283" i="28"/>
  <c r="Q284" i="28"/>
  <c r="Q285" i="28"/>
  <c r="Q286" i="28"/>
  <c r="Q287" i="28"/>
  <c r="Q288" i="28"/>
  <c r="Q289" i="28"/>
  <c r="Q290" i="28"/>
  <c r="Q291" i="28"/>
  <c r="Q292" i="28"/>
  <c r="Q293" i="28"/>
  <c r="Q294" i="28"/>
  <c r="Q295" i="28"/>
  <c r="Q296" i="28"/>
  <c r="Q297" i="28"/>
  <c r="Q298" i="28"/>
  <c r="Q299" i="28"/>
  <c r="Q300" i="28"/>
  <c r="Q301" i="28"/>
  <c r="Q302" i="28"/>
  <c r="Q303" i="28"/>
  <c r="Q304" i="28"/>
  <c r="Q305" i="28"/>
  <c r="Q306" i="28"/>
  <c r="Q307" i="28"/>
  <c r="Q308" i="28"/>
  <c r="Q309" i="28"/>
  <c r="Q310" i="28"/>
  <c r="Q311" i="28"/>
  <c r="Q312" i="28"/>
  <c r="Q313" i="28"/>
  <c r="Q314" i="28"/>
  <c r="Q315" i="28"/>
  <c r="Q316" i="28"/>
  <c r="Q317" i="28"/>
  <c r="Q318" i="28"/>
  <c r="Q319" i="28"/>
  <c r="Q320" i="28"/>
  <c r="Q321" i="28"/>
  <c r="Q322" i="28"/>
  <c r="Q323" i="28"/>
  <c r="Q324" i="28"/>
  <c r="Q325" i="28"/>
  <c r="Q326" i="28"/>
  <c r="Q327" i="28"/>
  <c r="Q328" i="28"/>
  <c r="Q329" i="28"/>
  <c r="Q330" i="28"/>
  <c r="Q331" i="28"/>
  <c r="Q332" i="28"/>
  <c r="Q333" i="28"/>
  <c r="Q334" i="28"/>
  <c r="Q335" i="28"/>
  <c r="Q336" i="28"/>
  <c r="Q337" i="28"/>
  <c r="Q338" i="28"/>
  <c r="Q339" i="28"/>
  <c r="Q340" i="28"/>
  <c r="Q341" i="28"/>
  <c r="Q342" i="28"/>
  <c r="Q343" i="28"/>
  <c r="Q344" i="28"/>
  <c r="Q345" i="28"/>
  <c r="Q346" i="28"/>
  <c r="Q347" i="28"/>
  <c r="Q348" i="28"/>
  <c r="Q349" i="28"/>
  <c r="Q350" i="28"/>
  <c r="Q351" i="28"/>
  <c r="Q352" i="28"/>
  <c r="Q353" i="28"/>
  <c r="Q354" i="28"/>
  <c r="Q355" i="28"/>
  <c r="Q356" i="28"/>
  <c r="Q357" i="28"/>
  <c r="Q358" i="28"/>
  <c r="Q359" i="28"/>
  <c r="Q360" i="28"/>
  <c r="Q361" i="28"/>
  <c r="Q362" i="28"/>
  <c r="Q363" i="28"/>
  <c r="Q364" i="28"/>
  <c r="Q365" i="28"/>
  <c r="Q366" i="28"/>
  <c r="Q367" i="28"/>
  <c r="Q368" i="28"/>
  <c r="Q369" i="28"/>
  <c r="Q370" i="28"/>
  <c r="Q371" i="28"/>
  <c r="Q372" i="28"/>
  <c r="Q373" i="28"/>
  <c r="Q374" i="28"/>
  <c r="Q375" i="28"/>
  <c r="Q376" i="28"/>
  <c r="Q377" i="28"/>
  <c r="Q378" i="28"/>
  <c r="Q379" i="28"/>
  <c r="Q380" i="28"/>
  <c r="Q381" i="28"/>
  <c r="Q382" i="28"/>
  <c r="Q383" i="28"/>
  <c r="Q384" i="28"/>
  <c r="Q385" i="28"/>
  <c r="Q386" i="28"/>
  <c r="Q387" i="28"/>
  <c r="Q388" i="28"/>
  <c r="Q389" i="28"/>
  <c r="Q390" i="28"/>
  <c r="Q391" i="28"/>
  <c r="Q392" i="28"/>
  <c r="Q393" i="28"/>
  <c r="Q394" i="28"/>
  <c r="Q395" i="28"/>
  <c r="Q396" i="28"/>
  <c r="Q397" i="28"/>
  <c r="Q398" i="28"/>
  <c r="Q399" i="28"/>
  <c r="Q400" i="28"/>
  <c r="Q401" i="28"/>
  <c r="Q402" i="28"/>
  <c r="Q403" i="28"/>
  <c r="Q404" i="28"/>
  <c r="Q405" i="28"/>
  <c r="Q406" i="28"/>
  <c r="Q407" i="28"/>
  <c r="Q408" i="28"/>
  <c r="Q409" i="28"/>
  <c r="Q410" i="28"/>
  <c r="Q411" i="28"/>
  <c r="Q412" i="28"/>
  <c r="Q413" i="28"/>
  <c r="Q414" i="28"/>
  <c r="Q415" i="28"/>
  <c r="Q416" i="28"/>
  <c r="Q417" i="28"/>
  <c r="Q418" i="28"/>
  <c r="Q419" i="28"/>
  <c r="Q420" i="28"/>
  <c r="Q421" i="28"/>
  <c r="Q422" i="28"/>
  <c r="Q423" i="28"/>
  <c r="Q424" i="28"/>
  <c r="Q425" i="28"/>
  <c r="Q426" i="28"/>
  <c r="Q427" i="28"/>
  <c r="Q428" i="28"/>
  <c r="Q429" i="28"/>
  <c r="Q430" i="28"/>
  <c r="Q431" i="28"/>
  <c r="Q432" i="28"/>
  <c r="Q433" i="28"/>
  <c r="Q434" i="28"/>
  <c r="Q435" i="28"/>
  <c r="Q436" i="28"/>
  <c r="Q437" i="28"/>
  <c r="Q438" i="28"/>
  <c r="Q439" i="28"/>
  <c r="Q440" i="28"/>
  <c r="Q441" i="28"/>
  <c r="Q442" i="28"/>
  <c r="Q443" i="28"/>
  <c r="Q444" i="28"/>
  <c r="Q445" i="28"/>
  <c r="Q446" i="28"/>
  <c r="Q447" i="28"/>
  <c r="Q448" i="28"/>
  <c r="Q449" i="28"/>
  <c r="Q450" i="28"/>
  <c r="Q451" i="28"/>
  <c r="Q452" i="28"/>
  <c r="Q453" i="28"/>
  <c r="Q454" i="28"/>
  <c r="Q455" i="28"/>
  <c r="Q456" i="28"/>
  <c r="Q457" i="28"/>
  <c r="Q458" i="28"/>
  <c r="Q459" i="28"/>
  <c r="Q460" i="28"/>
  <c r="Q461" i="28"/>
  <c r="Q462" i="28"/>
  <c r="Q463" i="28"/>
  <c r="Q464" i="28"/>
  <c r="Q465" i="28"/>
  <c r="Q466" i="28"/>
  <c r="Q467" i="28"/>
  <c r="Q468" i="28"/>
  <c r="Q469" i="28"/>
  <c r="Q470" i="28"/>
  <c r="Q471" i="28"/>
  <c r="Q472" i="28"/>
  <c r="Q473" i="28"/>
  <c r="Q474" i="28"/>
  <c r="Q475" i="28"/>
  <c r="Q476" i="28"/>
  <c r="Q477" i="28"/>
  <c r="Q478" i="28"/>
  <c r="Q479" i="28"/>
  <c r="Q480" i="28"/>
  <c r="Q481" i="28"/>
  <c r="Q482" i="28"/>
  <c r="Q483" i="28"/>
  <c r="Q484" i="28"/>
  <c r="Q485" i="28"/>
  <c r="Q486" i="28"/>
  <c r="Q487" i="28"/>
  <c r="Q488" i="28"/>
  <c r="Q489" i="28"/>
  <c r="Q490" i="28"/>
  <c r="Q491" i="28"/>
  <c r="Q492" i="28"/>
  <c r="Q493" i="28"/>
  <c r="Q494" i="28"/>
  <c r="Q495" i="28"/>
  <c r="Q496" i="28"/>
  <c r="Q497" i="28"/>
  <c r="Q498" i="28"/>
  <c r="Q499" i="28"/>
  <c r="Q500" i="28"/>
  <c r="Q501" i="28"/>
  <c r="Q502" i="28"/>
  <c r="Q503" i="28"/>
  <c r="Q504" i="28"/>
  <c r="Q505" i="28"/>
  <c r="Q506" i="28"/>
  <c r="Q507" i="28"/>
  <c r="Q508" i="28"/>
  <c r="Q509" i="28"/>
  <c r="Q510" i="28"/>
  <c r="Q511" i="28"/>
  <c r="Q512" i="28"/>
  <c r="Q513" i="28"/>
  <c r="Q514" i="28"/>
  <c r="Q515" i="28"/>
  <c r="Q516" i="28"/>
  <c r="Q517" i="28"/>
  <c r="Q518" i="28"/>
  <c r="Q519" i="28"/>
  <c r="Q520" i="28"/>
  <c r="Q521" i="28"/>
  <c r="Q522" i="28"/>
  <c r="Q523" i="28"/>
  <c r="Q524" i="28"/>
  <c r="Q525" i="28"/>
  <c r="Q526" i="28"/>
  <c r="Q527" i="28"/>
  <c r="Q528" i="28"/>
  <c r="Q529" i="28"/>
  <c r="Q530" i="28"/>
  <c r="Q531" i="28"/>
  <c r="Q532" i="28"/>
  <c r="Q533" i="28"/>
  <c r="Q534" i="28"/>
  <c r="Q535" i="28"/>
  <c r="Q536" i="28"/>
  <c r="Q537" i="28"/>
  <c r="Q538" i="28"/>
  <c r="Q539" i="28"/>
  <c r="Q540" i="28"/>
  <c r="Q541" i="28"/>
  <c r="Q542" i="28"/>
  <c r="Q543" i="28"/>
  <c r="Q544" i="28"/>
  <c r="Q545" i="28"/>
  <c r="Q546" i="28"/>
  <c r="Q547" i="28"/>
  <c r="Q548" i="28"/>
  <c r="Q549" i="28"/>
  <c r="Q550" i="28"/>
  <c r="Q551" i="28"/>
  <c r="Q552" i="28"/>
  <c r="Q553" i="28"/>
  <c r="Q554" i="28"/>
  <c r="Q555" i="28"/>
  <c r="Q556" i="28"/>
  <c r="Q557" i="28"/>
  <c r="Q558" i="28"/>
  <c r="Q559" i="28"/>
  <c r="Q560" i="28"/>
  <c r="Q561" i="28"/>
  <c r="Q562" i="28"/>
  <c r="Q563" i="28"/>
  <c r="Q564" i="28"/>
  <c r="Q565" i="28"/>
  <c r="Q566" i="28"/>
  <c r="Q567" i="28"/>
  <c r="Q568" i="28"/>
  <c r="Q569" i="28"/>
  <c r="Q570" i="28"/>
  <c r="Q571" i="28"/>
  <c r="Q572" i="28"/>
  <c r="Q573" i="28"/>
  <c r="Q574" i="28"/>
  <c r="Q575" i="28"/>
  <c r="Q576" i="28"/>
  <c r="Q577" i="28"/>
  <c r="Q578" i="28"/>
  <c r="Q579" i="28"/>
  <c r="Q580" i="28"/>
  <c r="Q581" i="28"/>
  <c r="Q582" i="28"/>
  <c r="Q583" i="28"/>
  <c r="Q584" i="28"/>
  <c r="Q585" i="28"/>
  <c r="Q586" i="28"/>
  <c r="Q587" i="28"/>
  <c r="Q588" i="28"/>
  <c r="Q589" i="28"/>
  <c r="Q590" i="28"/>
  <c r="Q591" i="28"/>
  <c r="Q592" i="28"/>
  <c r="Q593" i="28"/>
  <c r="Q594" i="28"/>
  <c r="Q595" i="28"/>
  <c r="Q596" i="28"/>
  <c r="Q597" i="28"/>
  <c r="Q598" i="28"/>
  <c r="Q599" i="28"/>
  <c r="Q600" i="28"/>
  <c r="Q601" i="28"/>
  <c r="Q602" i="28"/>
  <c r="Q603" i="28"/>
  <c r="Q604" i="28"/>
  <c r="Q605" i="28"/>
  <c r="Q606" i="28"/>
  <c r="Q607" i="28"/>
  <c r="Q608" i="28"/>
  <c r="Q609" i="28"/>
  <c r="Q610" i="28"/>
  <c r="Q611" i="28"/>
  <c r="Q612" i="28"/>
  <c r="Q613" i="28"/>
  <c r="Q614" i="28"/>
  <c r="Q615" i="28"/>
  <c r="Q616" i="28"/>
  <c r="Q617" i="28"/>
  <c r="Q618" i="28"/>
  <c r="Q619" i="28"/>
  <c r="Q620" i="28"/>
  <c r="Q621" i="28"/>
  <c r="Q622" i="28"/>
  <c r="Q623" i="28"/>
  <c r="Q624" i="28"/>
  <c r="Q625" i="28"/>
  <c r="Q626" i="28"/>
  <c r="Q627" i="28"/>
  <c r="Q628" i="28"/>
  <c r="Q629" i="28"/>
  <c r="Q630" i="28"/>
  <c r="Q631" i="28"/>
  <c r="Q632" i="28"/>
  <c r="Q633" i="28"/>
  <c r="Q634" i="28"/>
  <c r="Q635" i="28"/>
  <c r="Q636" i="28"/>
  <c r="Q637" i="28"/>
  <c r="Q638" i="28"/>
  <c r="Q639" i="28"/>
  <c r="Q640" i="28"/>
  <c r="Q641" i="28"/>
  <c r="Q642" i="28"/>
  <c r="Q643" i="28"/>
  <c r="Q644" i="28"/>
  <c r="Q645" i="28"/>
  <c r="Q646" i="28"/>
  <c r="Q647" i="28"/>
  <c r="Q648" i="28"/>
  <c r="Q649" i="28"/>
  <c r="Q650" i="28"/>
  <c r="Q651" i="28"/>
  <c r="Q652" i="28"/>
  <c r="Q653" i="28"/>
  <c r="Q654" i="28"/>
  <c r="Q655" i="28"/>
  <c r="Q656" i="28"/>
  <c r="Q657" i="28"/>
  <c r="Q658" i="28"/>
  <c r="Q659" i="28"/>
  <c r="Q660" i="28"/>
  <c r="Q661" i="28"/>
  <c r="Q662" i="28"/>
  <c r="Q663" i="28"/>
  <c r="Q664" i="28"/>
  <c r="Q665" i="28"/>
  <c r="Q666" i="28"/>
  <c r="Q667" i="28"/>
  <c r="Q668" i="28"/>
  <c r="Q669" i="28"/>
  <c r="Q670" i="28"/>
  <c r="Q671" i="28"/>
  <c r="Q672" i="28"/>
  <c r="Q673" i="28"/>
  <c r="Q674" i="28"/>
  <c r="Q675" i="28"/>
  <c r="Q676" i="28"/>
  <c r="Q677" i="28"/>
  <c r="Q678" i="28"/>
  <c r="Q679" i="28"/>
  <c r="Q680" i="28"/>
  <c r="Q681" i="28"/>
  <c r="Q682" i="28"/>
  <c r="Q683" i="28"/>
  <c r="Q684" i="28"/>
  <c r="Q685" i="28"/>
  <c r="Q686" i="28"/>
  <c r="Q687" i="28"/>
  <c r="Q688" i="28"/>
  <c r="Q689" i="28"/>
  <c r="Q690" i="28"/>
  <c r="Q691" i="28"/>
  <c r="Q692" i="28"/>
  <c r="Q693" i="28"/>
  <c r="Q694" i="28"/>
  <c r="Q695" i="28"/>
  <c r="Q696" i="28"/>
  <c r="Q697" i="28"/>
  <c r="Q698" i="28"/>
  <c r="Q699" i="28"/>
  <c r="Q700" i="28"/>
  <c r="Q701" i="28"/>
  <c r="Q702" i="28"/>
  <c r="Q703" i="28"/>
  <c r="Q704" i="28"/>
  <c r="Q705" i="28"/>
  <c r="Q706" i="28"/>
  <c r="Q707" i="28"/>
  <c r="Q708" i="28"/>
  <c r="Q709" i="28"/>
  <c r="Q710" i="28"/>
  <c r="Q711" i="28"/>
  <c r="Q712" i="28"/>
  <c r="Q713" i="28"/>
  <c r="Q714" i="28"/>
  <c r="Q715" i="28"/>
  <c r="Q716" i="28"/>
  <c r="Q717" i="28"/>
  <c r="Q718" i="28"/>
  <c r="Q719" i="28"/>
  <c r="Q720" i="28"/>
  <c r="Q721" i="28"/>
  <c r="Q722" i="28"/>
  <c r="Q723" i="28"/>
  <c r="Q724" i="28"/>
  <c r="Q725" i="28"/>
  <c r="Q726" i="28"/>
  <c r="Q727" i="28"/>
  <c r="Q728" i="28"/>
  <c r="Q729" i="28"/>
  <c r="Q730" i="28"/>
  <c r="Q731" i="28"/>
  <c r="Q732" i="28"/>
  <c r="Q733" i="28"/>
  <c r="Q734" i="28"/>
  <c r="Q735" i="28"/>
  <c r="Q736" i="28"/>
  <c r="Q737" i="28"/>
  <c r="Q738" i="28"/>
  <c r="Q739" i="28"/>
  <c r="Q740" i="28"/>
  <c r="Q741" i="28"/>
  <c r="Q742" i="28"/>
  <c r="Q743" i="28"/>
  <c r="Q744" i="28"/>
  <c r="Q745" i="28"/>
  <c r="Q746" i="28"/>
  <c r="Q747" i="28"/>
  <c r="Q748" i="28"/>
  <c r="Q749" i="28"/>
  <c r="Q750" i="28"/>
  <c r="Q751" i="28"/>
  <c r="Q752" i="28"/>
  <c r="Q753" i="28"/>
  <c r="Q754" i="28"/>
  <c r="Q755" i="28"/>
  <c r="Q756" i="28"/>
  <c r="Q757" i="28"/>
  <c r="Q758" i="28"/>
  <c r="Q759" i="28"/>
  <c r="Q760" i="28"/>
  <c r="Q761" i="28"/>
  <c r="Q762" i="28"/>
  <c r="Q763" i="28"/>
  <c r="Q764" i="28"/>
  <c r="Q765" i="28"/>
  <c r="Q766" i="28"/>
  <c r="Q767" i="28"/>
  <c r="Q768" i="28"/>
  <c r="Q769" i="28"/>
  <c r="Q770" i="28"/>
  <c r="Q771" i="28"/>
  <c r="Q772" i="28"/>
  <c r="Q773" i="28"/>
  <c r="Q774" i="28"/>
  <c r="Q775" i="28"/>
  <c r="Q776" i="28"/>
  <c r="Q777" i="28"/>
  <c r="Q778" i="28"/>
  <c r="Q779" i="28"/>
  <c r="Q780" i="28"/>
  <c r="Q781" i="28"/>
  <c r="Q782" i="28"/>
  <c r="Q783" i="28"/>
  <c r="Q784" i="28"/>
  <c r="Q785" i="28"/>
  <c r="Q786" i="28"/>
  <c r="Q787" i="28"/>
  <c r="Q788" i="28"/>
  <c r="Q789" i="28"/>
  <c r="Q790" i="28"/>
  <c r="Q791" i="28"/>
  <c r="Q792" i="28"/>
  <c r="Q793" i="28"/>
  <c r="Q794" i="28"/>
  <c r="Q795" i="28"/>
  <c r="Q796" i="28"/>
  <c r="Q797" i="28"/>
  <c r="Q798" i="28"/>
  <c r="Q799" i="28"/>
  <c r="Q800" i="28"/>
  <c r="Q801" i="28"/>
  <c r="Q802" i="28"/>
  <c r="Q803" i="28"/>
  <c r="Q804" i="28"/>
  <c r="Q805" i="28"/>
  <c r="Q806" i="28"/>
  <c r="Q807" i="28"/>
  <c r="Q808" i="28"/>
  <c r="Q809" i="28"/>
  <c r="Q810" i="28"/>
  <c r="Q811" i="28"/>
  <c r="Q812" i="28"/>
  <c r="Q813" i="28"/>
  <c r="Q814" i="28"/>
  <c r="Q815" i="28"/>
  <c r="Q816" i="28"/>
  <c r="Q817" i="28"/>
  <c r="Q818" i="28"/>
  <c r="Q819" i="28"/>
  <c r="Q820" i="28"/>
  <c r="Q821" i="28"/>
  <c r="Q822" i="28"/>
  <c r="Q823" i="28"/>
  <c r="Q824" i="28"/>
  <c r="Q825" i="28"/>
  <c r="Q826" i="28"/>
  <c r="Q827" i="28"/>
  <c r="Q828" i="28"/>
  <c r="Q829" i="28"/>
  <c r="Q830" i="28"/>
  <c r="Q831" i="28"/>
  <c r="Q832" i="28"/>
  <c r="Q833" i="28"/>
  <c r="R2" i="28"/>
  <c r="R3" i="28"/>
  <c r="R4" i="28"/>
  <c r="R5" i="28"/>
  <c r="R6" i="28"/>
  <c r="R7" i="28"/>
  <c r="R8" i="28"/>
  <c r="R9" i="28"/>
  <c r="R10" i="28"/>
  <c r="R11" i="28"/>
  <c r="R12" i="28"/>
  <c r="R13" i="28"/>
  <c r="R14" i="28"/>
  <c r="R15" i="28"/>
  <c r="R16" i="28"/>
  <c r="R17" i="28"/>
  <c r="R18" i="28"/>
  <c r="R19" i="28"/>
  <c r="R20" i="28"/>
  <c r="R21" i="28"/>
  <c r="R22" i="28"/>
  <c r="R23" i="28"/>
  <c r="R24" i="28"/>
  <c r="R25" i="28"/>
  <c r="R26" i="28"/>
  <c r="R27" i="28"/>
  <c r="R28" i="28"/>
  <c r="R29" i="28"/>
  <c r="R30" i="28"/>
  <c r="R31" i="28"/>
  <c r="R32" i="28"/>
  <c r="R33" i="28"/>
  <c r="R34" i="28"/>
  <c r="R35" i="28"/>
  <c r="R36" i="28"/>
  <c r="R37" i="28"/>
  <c r="R38" i="28"/>
  <c r="R39" i="28"/>
  <c r="R40" i="28"/>
  <c r="R41" i="28"/>
  <c r="R42" i="28"/>
  <c r="R43" i="28"/>
  <c r="R44" i="28"/>
  <c r="R45" i="28"/>
  <c r="R46" i="28"/>
  <c r="R47" i="28"/>
  <c r="R48" i="28"/>
  <c r="R49" i="28"/>
  <c r="R50" i="28"/>
  <c r="R51" i="28"/>
  <c r="R52" i="28"/>
  <c r="R53" i="28"/>
  <c r="R54" i="28"/>
  <c r="R55" i="28"/>
  <c r="R56" i="28"/>
  <c r="R57" i="28"/>
  <c r="R58" i="28"/>
  <c r="R59" i="28"/>
  <c r="R60" i="28"/>
  <c r="R61" i="28"/>
  <c r="R62" i="28"/>
  <c r="R63" i="28"/>
  <c r="R64" i="28"/>
  <c r="R65" i="28"/>
  <c r="R66" i="28"/>
  <c r="R67" i="28"/>
  <c r="R68" i="28"/>
  <c r="R69" i="28"/>
  <c r="R70" i="28"/>
  <c r="R71" i="28"/>
  <c r="R72" i="28"/>
  <c r="R73" i="28"/>
  <c r="R74" i="28"/>
  <c r="R75" i="28"/>
  <c r="R76" i="28"/>
  <c r="R77" i="28"/>
  <c r="R78" i="28"/>
  <c r="R79" i="28"/>
  <c r="R80" i="28"/>
  <c r="R81" i="28"/>
  <c r="R82" i="28"/>
  <c r="R83" i="28"/>
  <c r="R84" i="28"/>
  <c r="R85" i="28"/>
  <c r="R86" i="28"/>
  <c r="R87" i="28"/>
  <c r="R88" i="28"/>
  <c r="R89" i="28"/>
  <c r="R90" i="28"/>
  <c r="R91" i="28"/>
  <c r="R92" i="28"/>
  <c r="R93" i="28"/>
  <c r="R94" i="28"/>
  <c r="R95" i="28"/>
  <c r="R96" i="28"/>
  <c r="R97" i="28"/>
  <c r="R98" i="28"/>
  <c r="R99" i="28"/>
  <c r="R100" i="28"/>
  <c r="R101" i="28"/>
  <c r="R102" i="28"/>
  <c r="R103" i="28"/>
  <c r="R104" i="28"/>
  <c r="R105" i="28"/>
  <c r="R106" i="28"/>
  <c r="R107" i="28"/>
  <c r="R108" i="28"/>
  <c r="R109" i="28"/>
  <c r="R110" i="28"/>
  <c r="R111" i="28"/>
  <c r="R112" i="28"/>
  <c r="R113" i="28"/>
  <c r="R114" i="28"/>
  <c r="R115" i="28"/>
  <c r="R116" i="28"/>
  <c r="R117" i="28"/>
  <c r="R118" i="28"/>
  <c r="R119" i="28"/>
  <c r="R120" i="28"/>
  <c r="R121" i="28"/>
  <c r="R122" i="28"/>
  <c r="R123" i="28"/>
  <c r="R124" i="28"/>
  <c r="R125" i="28"/>
  <c r="R126" i="28"/>
  <c r="R127" i="28"/>
  <c r="R128" i="28"/>
  <c r="R129" i="28"/>
  <c r="R130" i="28"/>
  <c r="R131" i="28"/>
  <c r="R132" i="28"/>
  <c r="R133" i="28"/>
  <c r="R134" i="28"/>
  <c r="R135" i="28"/>
  <c r="R136" i="28"/>
  <c r="R137" i="28"/>
  <c r="R138" i="28"/>
  <c r="R139" i="28"/>
  <c r="R140" i="28"/>
  <c r="R141" i="28"/>
  <c r="R142" i="28"/>
  <c r="R143" i="28"/>
  <c r="R144" i="28"/>
  <c r="R145" i="28"/>
  <c r="R146" i="28"/>
  <c r="R147" i="28"/>
  <c r="R148" i="28"/>
  <c r="R149" i="28"/>
  <c r="R150" i="28"/>
  <c r="R151" i="28"/>
  <c r="R152" i="28"/>
  <c r="R153" i="28"/>
  <c r="R154" i="28"/>
  <c r="R155" i="28"/>
  <c r="R156" i="28"/>
  <c r="R157" i="28"/>
  <c r="R158" i="28"/>
  <c r="R159" i="28"/>
  <c r="R160" i="28"/>
  <c r="R161" i="28"/>
  <c r="R162" i="28"/>
  <c r="R163" i="28"/>
  <c r="R164" i="28"/>
  <c r="R165" i="28"/>
  <c r="R166" i="28"/>
  <c r="R167" i="28"/>
  <c r="R168" i="28"/>
  <c r="R169" i="28"/>
  <c r="R170" i="28"/>
  <c r="R171" i="28"/>
  <c r="R172" i="28"/>
  <c r="R173" i="28"/>
  <c r="R174" i="28"/>
  <c r="R175" i="28"/>
  <c r="R176" i="28"/>
  <c r="R177" i="28"/>
  <c r="R178" i="28"/>
  <c r="R179" i="28"/>
  <c r="R180" i="28"/>
  <c r="R181" i="28"/>
  <c r="R182" i="28"/>
  <c r="R183" i="28"/>
  <c r="R184" i="28"/>
  <c r="R185" i="28"/>
  <c r="R186" i="28"/>
  <c r="R187" i="28"/>
  <c r="R188" i="28"/>
  <c r="R189" i="28"/>
  <c r="R190" i="28"/>
  <c r="R191" i="28"/>
  <c r="R192" i="28"/>
  <c r="R193" i="28"/>
  <c r="R194" i="28"/>
  <c r="R195" i="28"/>
  <c r="R196" i="28"/>
  <c r="R197" i="28"/>
  <c r="R198" i="28"/>
  <c r="R199" i="28"/>
  <c r="R200" i="28"/>
  <c r="R201" i="28"/>
  <c r="R202" i="28"/>
  <c r="R203" i="28"/>
  <c r="R204" i="28"/>
  <c r="R205" i="28"/>
  <c r="R206" i="28"/>
  <c r="R207" i="28"/>
  <c r="R208" i="28"/>
  <c r="R209" i="28"/>
  <c r="R210" i="28"/>
  <c r="R211" i="28"/>
  <c r="R212" i="28"/>
  <c r="R213" i="28"/>
  <c r="R214" i="28"/>
  <c r="R215" i="28"/>
  <c r="R216" i="28"/>
  <c r="R217" i="28"/>
  <c r="R218" i="28"/>
  <c r="R219" i="28"/>
  <c r="R220" i="28"/>
  <c r="R221" i="28"/>
  <c r="R222" i="28"/>
  <c r="R223" i="28"/>
  <c r="R224" i="28"/>
  <c r="R225" i="28"/>
  <c r="R226" i="28"/>
  <c r="R227" i="28"/>
  <c r="R228" i="28"/>
  <c r="R229" i="28"/>
  <c r="R230" i="28"/>
  <c r="R231" i="28"/>
  <c r="R232" i="28"/>
  <c r="R233" i="28"/>
  <c r="R234" i="28"/>
  <c r="R235" i="28"/>
  <c r="R236" i="28"/>
  <c r="R237" i="28"/>
  <c r="R238" i="28"/>
  <c r="R239" i="28"/>
  <c r="R240" i="28"/>
  <c r="R241" i="28"/>
  <c r="R242" i="28"/>
  <c r="R243" i="28"/>
  <c r="R244" i="28"/>
  <c r="R245" i="28"/>
  <c r="R246" i="28"/>
  <c r="R247" i="28"/>
  <c r="R248" i="28"/>
  <c r="R249" i="28"/>
  <c r="R250" i="28"/>
  <c r="R251" i="28"/>
  <c r="R252" i="28"/>
  <c r="R253" i="28"/>
  <c r="R254" i="28"/>
  <c r="R255" i="28"/>
  <c r="R256" i="28"/>
  <c r="R257" i="28"/>
  <c r="R258" i="28"/>
  <c r="R259" i="28"/>
  <c r="R260" i="28"/>
  <c r="R261" i="28"/>
  <c r="R262" i="28"/>
  <c r="R263" i="28"/>
  <c r="R264" i="28"/>
  <c r="R265" i="28"/>
  <c r="R266" i="28"/>
  <c r="R267" i="28"/>
  <c r="R268" i="28"/>
  <c r="R269" i="28"/>
  <c r="R270" i="28"/>
  <c r="R271" i="28"/>
  <c r="R272" i="28"/>
  <c r="R273" i="28"/>
  <c r="R274" i="28"/>
  <c r="R275" i="28"/>
  <c r="R276" i="28"/>
  <c r="R277" i="28"/>
  <c r="R278" i="28"/>
  <c r="R279" i="28"/>
  <c r="R280" i="28"/>
  <c r="R281" i="28"/>
  <c r="R282" i="28"/>
  <c r="R283" i="28"/>
  <c r="R284" i="28"/>
  <c r="R285" i="28"/>
  <c r="R286" i="28"/>
  <c r="R287" i="28"/>
  <c r="R288" i="28"/>
  <c r="R289" i="28"/>
  <c r="R290" i="28"/>
  <c r="R291" i="28"/>
  <c r="R292" i="28"/>
  <c r="R293" i="28"/>
  <c r="R294" i="28"/>
  <c r="R295" i="28"/>
  <c r="R296" i="28"/>
  <c r="R297" i="28"/>
  <c r="R298" i="28"/>
  <c r="R299" i="28"/>
  <c r="R300" i="28"/>
  <c r="R301" i="28"/>
  <c r="R302" i="28"/>
  <c r="R303" i="28"/>
  <c r="R304" i="28"/>
  <c r="R305" i="28"/>
  <c r="R306" i="28"/>
  <c r="R307" i="28"/>
  <c r="R308" i="28"/>
  <c r="R309" i="28"/>
  <c r="R310" i="28"/>
  <c r="R311" i="28"/>
  <c r="R312" i="28"/>
  <c r="R313" i="28"/>
  <c r="R314" i="28"/>
  <c r="R315" i="28"/>
  <c r="R316" i="28"/>
  <c r="R317" i="28"/>
  <c r="R318" i="28"/>
  <c r="R319" i="28"/>
  <c r="R320" i="28"/>
  <c r="R321" i="28"/>
  <c r="R322" i="28"/>
  <c r="R323" i="28"/>
  <c r="R324" i="28"/>
  <c r="R325" i="28"/>
  <c r="R326" i="28"/>
  <c r="R327" i="28"/>
  <c r="R328" i="28"/>
  <c r="R329" i="28"/>
  <c r="R330" i="28"/>
  <c r="R331" i="28"/>
  <c r="R332" i="28"/>
  <c r="R333" i="28"/>
  <c r="R334" i="28"/>
  <c r="R335" i="28"/>
  <c r="R336" i="28"/>
  <c r="R337" i="28"/>
  <c r="R338" i="28"/>
  <c r="R339" i="28"/>
  <c r="R340" i="28"/>
  <c r="R341" i="28"/>
  <c r="R342" i="28"/>
  <c r="R343" i="28"/>
  <c r="R344" i="28"/>
  <c r="R345" i="28"/>
  <c r="R346" i="28"/>
  <c r="R347" i="28"/>
  <c r="R348" i="28"/>
  <c r="R349" i="28"/>
  <c r="R350" i="28"/>
  <c r="R351" i="28"/>
  <c r="R352" i="28"/>
  <c r="R353" i="28"/>
  <c r="R354" i="28"/>
  <c r="R355" i="28"/>
  <c r="R356" i="28"/>
  <c r="R357" i="28"/>
  <c r="R358" i="28"/>
  <c r="R359" i="28"/>
  <c r="R360" i="28"/>
  <c r="R361" i="28"/>
  <c r="R362" i="28"/>
  <c r="R363" i="28"/>
  <c r="R364" i="28"/>
  <c r="R365" i="28"/>
  <c r="R366" i="28"/>
  <c r="R367" i="28"/>
  <c r="R368" i="28"/>
  <c r="R369" i="28"/>
  <c r="R370" i="28"/>
  <c r="R371" i="28"/>
  <c r="R372" i="28"/>
  <c r="R373" i="28"/>
  <c r="R374" i="28"/>
  <c r="R375" i="28"/>
  <c r="R376" i="28"/>
  <c r="R377" i="28"/>
  <c r="R378" i="28"/>
  <c r="R379" i="28"/>
  <c r="R380" i="28"/>
  <c r="R381" i="28"/>
  <c r="R382" i="28"/>
  <c r="R383" i="28"/>
  <c r="R384" i="28"/>
  <c r="R385" i="28"/>
  <c r="R386" i="28"/>
  <c r="R387" i="28"/>
  <c r="R388" i="28"/>
  <c r="R389" i="28"/>
  <c r="R390" i="28"/>
  <c r="R391" i="28"/>
  <c r="R392" i="28"/>
  <c r="R393" i="28"/>
  <c r="R394" i="28"/>
  <c r="R395" i="28"/>
  <c r="R396" i="28"/>
  <c r="R397" i="28"/>
  <c r="R398" i="28"/>
  <c r="R399" i="28"/>
  <c r="R400" i="28"/>
  <c r="R401" i="28"/>
  <c r="R402" i="28"/>
  <c r="R403" i="28"/>
  <c r="R404" i="28"/>
  <c r="R405" i="28"/>
  <c r="R406" i="28"/>
  <c r="R407" i="28"/>
  <c r="R408" i="28"/>
  <c r="R409" i="28"/>
  <c r="R410" i="28"/>
  <c r="R411" i="28"/>
  <c r="R412" i="28"/>
  <c r="R413" i="28"/>
  <c r="R414" i="28"/>
  <c r="R415" i="28"/>
  <c r="R416" i="28"/>
  <c r="R417" i="28"/>
  <c r="R418" i="28"/>
  <c r="R419" i="28"/>
  <c r="R420" i="28"/>
  <c r="R421" i="28"/>
  <c r="R422" i="28"/>
  <c r="R423" i="28"/>
  <c r="R424" i="28"/>
  <c r="R425" i="28"/>
  <c r="R426" i="28"/>
  <c r="R427" i="28"/>
  <c r="R428" i="28"/>
  <c r="R429" i="28"/>
  <c r="R430" i="28"/>
  <c r="R431" i="28"/>
  <c r="R432" i="28"/>
  <c r="R433" i="28"/>
  <c r="R434" i="28"/>
  <c r="R435" i="28"/>
  <c r="R436" i="28"/>
  <c r="R437" i="28"/>
  <c r="R438" i="28"/>
  <c r="R439" i="28"/>
  <c r="R440" i="28"/>
  <c r="R441" i="28"/>
  <c r="R442" i="28"/>
  <c r="R443" i="28"/>
  <c r="R444" i="28"/>
  <c r="R445" i="28"/>
  <c r="R446" i="28"/>
  <c r="R447" i="28"/>
  <c r="R448" i="28"/>
  <c r="R449" i="28"/>
  <c r="R450" i="28"/>
  <c r="R451" i="28"/>
  <c r="R452" i="28"/>
  <c r="R453" i="28"/>
  <c r="R454" i="28"/>
  <c r="R455" i="28"/>
  <c r="R456" i="28"/>
  <c r="R457" i="28"/>
  <c r="R458" i="28"/>
  <c r="R459" i="28"/>
  <c r="R460" i="28"/>
  <c r="R461" i="28"/>
  <c r="R462" i="28"/>
  <c r="R463" i="28"/>
  <c r="R464" i="28"/>
  <c r="R465" i="28"/>
  <c r="R466" i="28"/>
  <c r="R467" i="28"/>
  <c r="R468" i="28"/>
  <c r="R469" i="28"/>
  <c r="R470" i="28"/>
  <c r="R471" i="28"/>
  <c r="R472" i="28"/>
  <c r="R473" i="28"/>
  <c r="R474" i="28"/>
  <c r="R475" i="28"/>
  <c r="R476" i="28"/>
  <c r="R477" i="28"/>
  <c r="R478" i="28"/>
  <c r="R479" i="28"/>
  <c r="R480" i="28"/>
  <c r="R481" i="28"/>
  <c r="R482" i="28"/>
  <c r="R483" i="28"/>
  <c r="R484" i="28"/>
  <c r="R485" i="28"/>
  <c r="R486" i="28"/>
  <c r="R487" i="28"/>
  <c r="R488" i="28"/>
  <c r="R489" i="28"/>
  <c r="R490" i="28"/>
  <c r="R491" i="28"/>
  <c r="R492" i="28"/>
  <c r="R493" i="28"/>
  <c r="R494" i="28"/>
  <c r="R495" i="28"/>
  <c r="R496" i="28"/>
  <c r="R497" i="28"/>
  <c r="R498" i="28"/>
  <c r="R499" i="28"/>
  <c r="R500" i="28"/>
  <c r="R501" i="28"/>
  <c r="R502" i="28"/>
  <c r="R503" i="28"/>
  <c r="R504" i="28"/>
  <c r="R505" i="28"/>
  <c r="R506" i="28"/>
  <c r="R507" i="28"/>
  <c r="R508" i="28"/>
  <c r="R509" i="28"/>
  <c r="R510" i="28"/>
  <c r="R511" i="28"/>
  <c r="R512" i="28"/>
  <c r="R513" i="28"/>
  <c r="R514" i="28"/>
  <c r="R515" i="28"/>
  <c r="R516" i="28"/>
  <c r="R517" i="28"/>
  <c r="R518" i="28"/>
  <c r="R519" i="28"/>
  <c r="R520" i="28"/>
  <c r="R521" i="28"/>
  <c r="R522" i="28"/>
  <c r="R523" i="28"/>
  <c r="R524" i="28"/>
  <c r="R525" i="28"/>
  <c r="R526" i="28"/>
  <c r="R527" i="28"/>
  <c r="R528" i="28"/>
  <c r="R529" i="28"/>
  <c r="R530" i="28"/>
  <c r="R531" i="28"/>
  <c r="R532" i="28"/>
  <c r="R533" i="28"/>
  <c r="R534" i="28"/>
  <c r="R535" i="28"/>
  <c r="R536" i="28"/>
  <c r="R537" i="28"/>
  <c r="R538" i="28"/>
  <c r="R539" i="28"/>
  <c r="R540" i="28"/>
  <c r="R541" i="28"/>
  <c r="R542" i="28"/>
  <c r="R543" i="28"/>
  <c r="R544" i="28"/>
  <c r="R545" i="28"/>
  <c r="R546" i="28"/>
  <c r="R547" i="28"/>
  <c r="R548" i="28"/>
  <c r="R549" i="28"/>
  <c r="R550" i="28"/>
  <c r="R551" i="28"/>
  <c r="R552" i="28"/>
  <c r="R553" i="28"/>
  <c r="R554" i="28"/>
  <c r="R555" i="28"/>
  <c r="R556" i="28"/>
  <c r="R557" i="28"/>
  <c r="R558" i="28"/>
  <c r="R559" i="28"/>
  <c r="R560" i="28"/>
  <c r="R561" i="28"/>
  <c r="R562" i="28"/>
  <c r="R563" i="28"/>
  <c r="R564" i="28"/>
  <c r="R565" i="28"/>
  <c r="R566" i="28"/>
  <c r="R567" i="28"/>
  <c r="R568" i="28"/>
  <c r="R569" i="28"/>
  <c r="R570" i="28"/>
  <c r="R571" i="28"/>
  <c r="R572" i="28"/>
  <c r="R573" i="28"/>
  <c r="R574" i="28"/>
  <c r="R575" i="28"/>
  <c r="R576" i="28"/>
  <c r="R577" i="28"/>
  <c r="R578" i="28"/>
  <c r="R579" i="28"/>
  <c r="R580" i="28"/>
  <c r="R581" i="28"/>
  <c r="R582" i="28"/>
  <c r="R583" i="28"/>
  <c r="R584" i="28"/>
  <c r="R585" i="28"/>
  <c r="R586" i="28"/>
  <c r="R587" i="28"/>
  <c r="R588" i="28"/>
  <c r="R589" i="28"/>
  <c r="R590" i="28"/>
  <c r="R591" i="28"/>
  <c r="R592" i="28"/>
  <c r="R593" i="28"/>
  <c r="R594" i="28"/>
  <c r="R595" i="28"/>
  <c r="R596" i="28"/>
  <c r="R597" i="28"/>
  <c r="R598" i="28"/>
  <c r="R599" i="28"/>
  <c r="R600" i="28"/>
  <c r="R601" i="28"/>
  <c r="R602" i="28"/>
  <c r="R603" i="28"/>
  <c r="R604" i="28"/>
  <c r="R605" i="28"/>
  <c r="R606" i="28"/>
  <c r="R607" i="28"/>
  <c r="R608" i="28"/>
  <c r="R609" i="28"/>
  <c r="R610" i="28"/>
  <c r="R611" i="28"/>
  <c r="R612" i="28"/>
  <c r="R613" i="28"/>
  <c r="R614" i="28"/>
  <c r="R615" i="28"/>
  <c r="R616" i="28"/>
  <c r="R617" i="28"/>
  <c r="R618" i="28"/>
  <c r="R619" i="28"/>
  <c r="R620" i="28"/>
  <c r="R621" i="28"/>
  <c r="R622" i="28"/>
  <c r="R623" i="28"/>
  <c r="R624" i="28"/>
  <c r="R625" i="28"/>
  <c r="R626" i="28"/>
  <c r="R627" i="28"/>
  <c r="R628" i="28"/>
  <c r="R629" i="28"/>
  <c r="R630" i="28"/>
  <c r="R631" i="28"/>
  <c r="R632" i="28"/>
  <c r="R633" i="28"/>
  <c r="R634" i="28"/>
  <c r="R635" i="28"/>
  <c r="R636" i="28"/>
  <c r="R637" i="28"/>
  <c r="R638" i="28"/>
  <c r="R639" i="28"/>
  <c r="R640" i="28"/>
  <c r="R641" i="28"/>
  <c r="R642" i="28"/>
  <c r="R643" i="28"/>
  <c r="R644" i="28"/>
  <c r="R645" i="28"/>
  <c r="R646" i="28"/>
  <c r="R647" i="28"/>
  <c r="R648" i="28"/>
  <c r="R649" i="28"/>
  <c r="R650" i="28"/>
  <c r="R651" i="28"/>
  <c r="R652" i="28"/>
  <c r="R653" i="28"/>
  <c r="R654" i="28"/>
  <c r="R655" i="28"/>
  <c r="R656" i="28"/>
  <c r="R657" i="28"/>
  <c r="R658" i="28"/>
  <c r="R659" i="28"/>
  <c r="R660" i="28"/>
  <c r="R661" i="28"/>
  <c r="R662" i="28"/>
  <c r="R663" i="28"/>
  <c r="R664" i="28"/>
  <c r="R665" i="28"/>
  <c r="R666" i="28"/>
  <c r="R667" i="28"/>
  <c r="R668" i="28"/>
  <c r="R669" i="28"/>
  <c r="R670" i="28"/>
  <c r="R671" i="28"/>
  <c r="R672" i="28"/>
  <c r="R673" i="28"/>
  <c r="R674" i="28"/>
  <c r="R675" i="28"/>
  <c r="R676" i="28"/>
  <c r="R677" i="28"/>
  <c r="R678" i="28"/>
  <c r="R679" i="28"/>
  <c r="R680" i="28"/>
  <c r="R681" i="28"/>
  <c r="R682" i="28"/>
  <c r="R683" i="28"/>
  <c r="R684" i="28"/>
  <c r="R685" i="28"/>
  <c r="R686" i="28"/>
  <c r="R687" i="28"/>
  <c r="R688" i="28"/>
  <c r="R689" i="28"/>
  <c r="R690" i="28"/>
  <c r="R691" i="28"/>
  <c r="R692" i="28"/>
  <c r="R693" i="28"/>
  <c r="R694" i="28"/>
  <c r="R695" i="28"/>
  <c r="R696" i="28"/>
  <c r="R697" i="28"/>
  <c r="R698" i="28"/>
  <c r="R699" i="28"/>
  <c r="R700" i="28"/>
  <c r="R701" i="28"/>
  <c r="R702" i="28"/>
  <c r="R703" i="28"/>
  <c r="R704" i="28"/>
  <c r="R705" i="28"/>
  <c r="R706" i="28"/>
  <c r="R707" i="28"/>
  <c r="R708" i="28"/>
  <c r="R709" i="28"/>
  <c r="R710" i="28"/>
  <c r="R711" i="28"/>
  <c r="R712" i="28"/>
  <c r="R713" i="28"/>
  <c r="R714" i="28"/>
  <c r="R715" i="28"/>
  <c r="R716" i="28"/>
  <c r="R717" i="28"/>
  <c r="R718" i="28"/>
  <c r="R719" i="28"/>
  <c r="R720" i="28"/>
  <c r="R721" i="28"/>
  <c r="R722" i="28"/>
  <c r="R723" i="28"/>
  <c r="R724" i="28"/>
  <c r="R725" i="28"/>
  <c r="R726" i="28"/>
  <c r="R727" i="28"/>
  <c r="R728" i="28"/>
  <c r="R729" i="28"/>
  <c r="R730" i="28"/>
  <c r="R731" i="28"/>
  <c r="R732" i="28"/>
  <c r="R733" i="28"/>
  <c r="R734" i="28"/>
  <c r="R735" i="28"/>
  <c r="R736" i="28"/>
  <c r="R737" i="28"/>
  <c r="R738" i="28"/>
  <c r="R739" i="28"/>
  <c r="R740" i="28"/>
  <c r="R741" i="28"/>
  <c r="R742" i="28"/>
  <c r="R743" i="28"/>
  <c r="R744" i="28"/>
  <c r="R745" i="28"/>
  <c r="R746" i="28"/>
  <c r="R747" i="28"/>
  <c r="R748" i="28"/>
  <c r="R749" i="28"/>
  <c r="R750" i="28"/>
  <c r="R751" i="28"/>
  <c r="R752" i="28"/>
  <c r="R753" i="28"/>
  <c r="R754" i="28"/>
  <c r="R755" i="28"/>
  <c r="R756" i="28"/>
  <c r="R757" i="28"/>
  <c r="R758" i="28"/>
  <c r="R759" i="28"/>
  <c r="R760" i="28"/>
  <c r="R761" i="28"/>
  <c r="R762" i="28"/>
  <c r="R763" i="28"/>
  <c r="R764" i="28"/>
  <c r="R765" i="28"/>
  <c r="R766" i="28"/>
  <c r="R767" i="28"/>
  <c r="R768" i="28"/>
  <c r="R769" i="28"/>
  <c r="R770" i="28"/>
  <c r="R771" i="28"/>
  <c r="R772" i="28"/>
  <c r="R773" i="28"/>
  <c r="R774" i="28"/>
  <c r="R775" i="28"/>
  <c r="R776" i="28"/>
  <c r="R777" i="28"/>
  <c r="R778" i="28"/>
  <c r="R779" i="28"/>
  <c r="R780" i="28"/>
  <c r="R781" i="28"/>
  <c r="R782" i="28"/>
  <c r="R783" i="28"/>
  <c r="R784" i="28"/>
  <c r="R785" i="28"/>
  <c r="R786" i="28"/>
  <c r="R787" i="28"/>
  <c r="R788" i="28"/>
  <c r="R789" i="28"/>
  <c r="R790" i="28"/>
  <c r="R791" i="28"/>
  <c r="R792" i="28"/>
  <c r="R793" i="28"/>
  <c r="R794" i="28"/>
  <c r="R795" i="28"/>
  <c r="R796" i="28"/>
  <c r="R797" i="28"/>
  <c r="R798" i="28"/>
  <c r="R799" i="28"/>
  <c r="R800" i="28"/>
  <c r="R801" i="28"/>
  <c r="R802" i="28"/>
  <c r="R803" i="28"/>
  <c r="R804" i="28"/>
  <c r="R805" i="28"/>
  <c r="R806" i="28"/>
  <c r="R807" i="28"/>
  <c r="R808" i="28"/>
  <c r="R809" i="28"/>
  <c r="R810" i="28"/>
  <c r="R811" i="28"/>
  <c r="R812" i="28"/>
  <c r="R813" i="28"/>
  <c r="R814" i="28"/>
  <c r="R815" i="28"/>
  <c r="R816" i="28"/>
  <c r="R817" i="28"/>
  <c r="R818" i="28"/>
  <c r="R819" i="28"/>
  <c r="R820" i="28"/>
  <c r="R821" i="28"/>
  <c r="R822" i="28"/>
  <c r="R823" i="28"/>
  <c r="R824" i="28"/>
  <c r="R825" i="28"/>
  <c r="R826" i="28"/>
  <c r="R827" i="28"/>
  <c r="R828" i="28"/>
  <c r="R829" i="28"/>
  <c r="R830" i="28"/>
  <c r="R831" i="28"/>
  <c r="R832" i="28"/>
  <c r="R833" i="28"/>
  <c r="S2" i="28"/>
  <c r="S3" i="28"/>
  <c r="S4" i="28"/>
  <c r="S5" i="28"/>
  <c r="S6" i="28"/>
  <c r="S7" i="28"/>
  <c r="S8" i="28"/>
  <c r="S9" i="28"/>
  <c r="S10" i="28"/>
  <c r="S11" i="28"/>
  <c r="S12" i="28"/>
  <c r="S13" i="28"/>
  <c r="S14" i="28"/>
  <c r="S15" i="28"/>
  <c r="S16" i="28"/>
  <c r="S17" i="28"/>
  <c r="S18" i="28"/>
  <c r="S19" i="28"/>
  <c r="S20" i="28"/>
  <c r="S21" i="28"/>
  <c r="S22" i="28"/>
  <c r="S23" i="28"/>
  <c r="S24" i="28"/>
  <c r="S25" i="28"/>
  <c r="S26" i="28"/>
  <c r="S27" i="28"/>
  <c r="S28" i="28"/>
  <c r="S29" i="28"/>
  <c r="S30" i="28"/>
  <c r="S31" i="28"/>
  <c r="S32" i="28"/>
  <c r="S33" i="28"/>
  <c r="S34" i="28"/>
  <c r="S35" i="28"/>
  <c r="S36" i="28"/>
  <c r="S37" i="28"/>
  <c r="S38" i="28"/>
  <c r="S39" i="28"/>
  <c r="S40" i="28"/>
  <c r="S41" i="28"/>
  <c r="S42" i="28"/>
  <c r="S43" i="28"/>
  <c r="S44" i="28"/>
  <c r="S45" i="28"/>
  <c r="S46" i="28"/>
  <c r="S47" i="28"/>
  <c r="S48" i="28"/>
  <c r="S49" i="28"/>
  <c r="S50" i="28"/>
  <c r="S51" i="28"/>
  <c r="S52" i="28"/>
  <c r="S53" i="28"/>
  <c r="S54" i="28"/>
  <c r="S55" i="28"/>
  <c r="S56" i="28"/>
  <c r="S57" i="28"/>
  <c r="S58" i="28"/>
  <c r="S59" i="28"/>
  <c r="S60" i="28"/>
  <c r="S61" i="28"/>
  <c r="S62" i="28"/>
  <c r="S63" i="28"/>
  <c r="S64" i="28"/>
  <c r="S65" i="28"/>
  <c r="S66" i="28"/>
  <c r="S67" i="28"/>
  <c r="S68" i="28"/>
  <c r="S69" i="28"/>
  <c r="S70" i="28"/>
  <c r="S71" i="28"/>
  <c r="S72" i="28"/>
  <c r="S73" i="28"/>
  <c r="S74" i="28"/>
  <c r="S75" i="28"/>
  <c r="S76" i="28"/>
  <c r="S77" i="28"/>
  <c r="S78" i="28"/>
  <c r="S79" i="28"/>
  <c r="S80" i="28"/>
  <c r="S81" i="28"/>
  <c r="S82" i="28"/>
  <c r="S83" i="28"/>
  <c r="S84" i="28"/>
  <c r="S85" i="28"/>
  <c r="S86" i="28"/>
  <c r="S87" i="28"/>
  <c r="S88" i="28"/>
  <c r="S89" i="28"/>
  <c r="S90" i="28"/>
  <c r="S91" i="28"/>
  <c r="S92" i="28"/>
  <c r="S93" i="28"/>
  <c r="S94" i="28"/>
  <c r="S95" i="28"/>
  <c r="S96" i="28"/>
  <c r="S97" i="28"/>
  <c r="S98" i="28"/>
  <c r="S99" i="28"/>
  <c r="S100" i="28"/>
  <c r="S101" i="28"/>
  <c r="S102" i="28"/>
  <c r="S103" i="28"/>
  <c r="S104" i="28"/>
  <c r="S105" i="28"/>
  <c r="S106" i="28"/>
  <c r="S107" i="28"/>
  <c r="S108" i="28"/>
  <c r="S109" i="28"/>
  <c r="S110" i="28"/>
  <c r="S111" i="28"/>
  <c r="S112" i="28"/>
  <c r="S113" i="28"/>
  <c r="S114" i="28"/>
  <c r="S115" i="28"/>
  <c r="S116" i="28"/>
  <c r="S117" i="28"/>
  <c r="S118" i="28"/>
  <c r="S119" i="28"/>
  <c r="S120" i="28"/>
  <c r="S121" i="28"/>
  <c r="S122" i="28"/>
  <c r="S123" i="28"/>
  <c r="S124" i="28"/>
  <c r="S125" i="28"/>
  <c r="S126" i="28"/>
  <c r="S127" i="28"/>
  <c r="S128" i="28"/>
  <c r="S129" i="28"/>
  <c r="S130" i="28"/>
  <c r="S131" i="28"/>
  <c r="S132" i="28"/>
  <c r="S133" i="28"/>
  <c r="S134" i="28"/>
  <c r="S135" i="28"/>
  <c r="S136" i="28"/>
  <c r="S137" i="28"/>
  <c r="S138" i="28"/>
  <c r="S139" i="28"/>
  <c r="S140" i="28"/>
  <c r="S141" i="28"/>
  <c r="S142" i="28"/>
  <c r="S143" i="28"/>
  <c r="S144" i="28"/>
  <c r="S145" i="28"/>
  <c r="S146" i="28"/>
  <c r="S147" i="28"/>
  <c r="S148" i="28"/>
  <c r="S149" i="28"/>
  <c r="S150" i="28"/>
  <c r="S151" i="28"/>
  <c r="S152" i="28"/>
  <c r="S153" i="28"/>
  <c r="S154" i="28"/>
  <c r="S155" i="28"/>
  <c r="S156" i="28"/>
  <c r="S157" i="28"/>
  <c r="S158" i="28"/>
  <c r="S159" i="28"/>
  <c r="S160" i="28"/>
  <c r="S161" i="28"/>
  <c r="S162" i="28"/>
  <c r="S163" i="28"/>
  <c r="S164" i="28"/>
  <c r="S165" i="28"/>
  <c r="S166" i="28"/>
  <c r="S167" i="28"/>
  <c r="S168" i="28"/>
  <c r="S169" i="28"/>
  <c r="S170" i="28"/>
  <c r="S171" i="28"/>
  <c r="S172" i="28"/>
  <c r="S173" i="28"/>
  <c r="S174" i="28"/>
  <c r="S175" i="28"/>
  <c r="S176" i="28"/>
  <c r="S177" i="28"/>
  <c r="S178" i="28"/>
  <c r="S179" i="28"/>
  <c r="S180" i="28"/>
  <c r="S181" i="28"/>
  <c r="S182" i="28"/>
  <c r="S183" i="28"/>
  <c r="S184" i="28"/>
  <c r="S185" i="28"/>
  <c r="S186" i="28"/>
  <c r="S187" i="28"/>
  <c r="S188" i="28"/>
  <c r="S189" i="28"/>
  <c r="S190" i="28"/>
  <c r="S191" i="28"/>
  <c r="S192" i="28"/>
  <c r="S193" i="28"/>
  <c r="S194" i="28"/>
  <c r="S195" i="28"/>
  <c r="S196" i="28"/>
  <c r="S197" i="28"/>
  <c r="S198" i="28"/>
  <c r="S199" i="28"/>
  <c r="S200" i="28"/>
  <c r="S201" i="28"/>
  <c r="S202" i="28"/>
  <c r="S203" i="28"/>
  <c r="S204" i="28"/>
  <c r="S205" i="28"/>
  <c r="S206" i="28"/>
  <c r="S207" i="28"/>
  <c r="S208" i="28"/>
  <c r="S209" i="28"/>
  <c r="S210" i="28"/>
  <c r="S211" i="28"/>
  <c r="S212" i="28"/>
  <c r="S213" i="28"/>
  <c r="S214" i="28"/>
  <c r="S215" i="28"/>
  <c r="S216" i="28"/>
  <c r="S217" i="28"/>
  <c r="S218" i="28"/>
  <c r="S219" i="28"/>
  <c r="S220" i="28"/>
  <c r="S221" i="28"/>
  <c r="S222" i="28"/>
  <c r="S223" i="28"/>
  <c r="S224" i="28"/>
  <c r="S225" i="28"/>
  <c r="S226" i="28"/>
  <c r="S227" i="28"/>
  <c r="S228" i="28"/>
  <c r="S229" i="28"/>
  <c r="S230" i="28"/>
  <c r="S231" i="28"/>
  <c r="S232" i="28"/>
  <c r="S233" i="28"/>
  <c r="S234" i="28"/>
  <c r="S235" i="28"/>
  <c r="S236" i="28"/>
  <c r="S237" i="28"/>
  <c r="S238" i="28"/>
  <c r="S239" i="28"/>
  <c r="S240" i="28"/>
  <c r="S241" i="28"/>
  <c r="S242" i="28"/>
  <c r="S243" i="28"/>
  <c r="S244" i="28"/>
  <c r="S245" i="28"/>
  <c r="S246" i="28"/>
  <c r="S247" i="28"/>
  <c r="S248" i="28"/>
  <c r="S249" i="28"/>
  <c r="S250" i="28"/>
  <c r="S251" i="28"/>
  <c r="S252" i="28"/>
  <c r="S253" i="28"/>
  <c r="S254" i="28"/>
  <c r="S255" i="28"/>
  <c r="S256" i="28"/>
  <c r="S257" i="28"/>
  <c r="S258" i="28"/>
  <c r="S259" i="28"/>
  <c r="S260" i="28"/>
  <c r="S261" i="28"/>
  <c r="S262" i="28"/>
  <c r="S263" i="28"/>
  <c r="S264" i="28"/>
  <c r="S265" i="28"/>
  <c r="S266" i="28"/>
  <c r="S267" i="28"/>
  <c r="S268" i="28"/>
  <c r="S269" i="28"/>
  <c r="S270" i="28"/>
  <c r="S271" i="28"/>
  <c r="S272" i="28"/>
  <c r="S273" i="28"/>
  <c r="S274" i="28"/>
  <c r="S275" i="28"/>
  <c r="S276" i="28"/>
  <c r="S277" i="28"/>
  <c r="S278" i="28"/>
  <c r="S279" i="28"/>
  <c r="S280" i="28"/>
  <c r="S281" i="28"/>
  <c r="S282" i="28"/>
  <c r="S283" i="28"/>
  <c r="S284" i="28"/>
  <c r="S285" i="28"/>
  <c r="S286" i="28"/>
  <c r="S287" i="28"/>
  <c r="S288" i="28"/>
  <c r="S289" i="28"/>
  <c r="S290" i="28"/>
  <c r="S291" i="28"/>
  <c r="S292" i="28"/>
  <c r="S293" i="28"/>
  <c r="S294" i="28"/>
  <c r="S295" i="28"/>
  <c r="S296" i="28"/>
  <c r="S297" i="28"/>
  <c r="S298" i="28"/>
  <c r="S299" i="28"/>
  <c r="S300" i="28"/>
  <c r="S301" i="28"/>
  <c r="S302" i="28"/>
  <c r="S303" i="28"/>
  <c r="S304" i="28"/>
  <c r="S305" i="28"/>
  <c r="S306" i="28"/>
  <c r="S307" i="28"/>
  <c r="S308" i="28"/>
  <c r="S309" i="28"/>
  <c r="S310" i="28"/>
  <c r="S311" i="28"/>
  <c r="S312" i="28"/>
  <c r="S313" i="28"/>
  <c r="S314" i="28"/>
  <c r="S315" i="28"/>
  <c r="S316" i="28"/>
  <c r="S317" i="28"/>
  <c r="S318" i="28"/>
  <c r="S319" i="28"/>
  <c r="S320" i="28"/>
  <c r="S321" i="28"/>
  <c r="S322" i="28"/>
  <c r="S323" i="28"/>
  <c r="S324" i="28"/>
  <c r="S325" i="28"/>
  <c r="S326" i="28"/>
  <c r="S327" i="28"/>
  <c r="S328" i="28"/>
  <c r="S329" i="28"/>
  <c r="S330" i="28"/>
  <c r="S331" i="28"/>
  <c r="S332" i="28"/>
  <c r="S333" i="28"/>
  <c r="S334" i="28"/>
  <c r="S335" i="28"/>
  <c r="S336" i="28"/>
  <c r="S337" i="28"/>
  <c r="S338" i="28"/>
  <c r="S339" i="28"/>
  <c r="S340" i="28"/>
  <c r="S341" i="28"/>
  <c r="S342" i="28"/>
  <c r="S343" i="28"/>
  <c r="S344" i="28"/>
  <c r="S345" i="28"/>
  <c r="S346" i="28"/>
  <c r="S347" i="28"/>
  <c r="S348" i="28"/>
  <c r="S349" i="28"/>
  <c r="S350" i="28"/>
  <c r="S351" i="28"/>
  <c r="S352" i="28"/>
  <c r="S353" i="28"/>
  <c r="S354" i="28"/>
  <c r="S355" i="28"/>
  <c r="S356" i="28"/>
  <c r="S357" i="28"/>
  <c r="S358" i="28"/>
  <c r="S359" i="28"/>
  <c r="S360" i="28"/>
  <c r="S361" i="28"/>
  <c r="S362" i="28"/>
  <c r="S363" i="28"/>
  <c r="S364" i="28"/>
  <c r="S365" i="28"/>
  <c r="S366" i="28"/>
  <c r="S367" i="28"/>
  <c r="S368" i="28"/>
  <c r="S369" i="28"/>
  <c r="S370" i="28"/>
  <c r="S371" i="28"/>
  <c r="S372" i="28"/>
  <c r="S373" i="28"/>
  <c r="S374" i="28"/>
  <c r="S375" i="28"/>
  <c r="S376" i="28"/>
  <c r="S377" i="28"/>
  <c r="S378" i="28"/>
  <c r="S379" i="28"/>
  <c r="S380" i="28"/>
  <c r="S381" i="28"/>
  <c r="S382" i="28"/>
  <c r="S383" i="28"/>
  <c r="S384" i="28"/>
  <c r="S385" i="28"/>
  <c r="S386" i="28"/>
  <c r="S387" i="28"/>
  <c r="S388" i="28"/>
  <c r="S389" i="28"/>
  <c r="S390" i="28"/>
  <c r="S391" i="28"/>
  <c r="S392" i="28"/>
  <c r="S393" i="28"/>
  <c r="S394" i="28"/>
  <c r="S395" i="28"/>
  <c r="S396" i="28"/>
  <c r="S397" i="28"/>
  <c r="S398" i="28"/>
  <c r="S399" i="28"/>
  <c r="S400" i="28"/>
  <c r="S401" i="28"/>
  <c r="S402" i="28"/>
  <c r="S403" i="28"/>
  <c r="S404" i="28"/>
  <c r="S405" i="28"/>
  <c r="S406" i="28"/>
  <c r="S407" i="28"/>
  <c r="S408" i="28"/>
  <c r="S409" i="28"/>
  <c r="S410" i="28"/>
  <c r="S411" i="28"/>
  <c r="S412" i="28"/>
  <c r="S413" i="28"/>
  <c r="S414" i="28"/>
  <c r="S415" i="28"/>
  <c r="S416" i="28"/>
  <c r="S417" i="28"/>
  <c r="S418" i="28"/>
  <c r="S419" i="28"/>
  <c r="S420" i="28"/>
  <c r="S421" i="28"/>
  <c r="S422" i="28"/>
  <c r="S423" i="28"/>
  <c r="S424" i="28"/>
  <c r="S425" i="28"/>
  <c r="S426" i="28"/>
  <c r="S427" i="28"/>
  <c r="S428" i="28"/>
  <c r="S429" i="28"/>
  <c r="S430" i="28"/>
  <c r="S431" i="28"/>
  <c r="S432" i="28"/>
  <c r="S433" i="28"/>
  <c r="S434" i="28"/>
  <c r="S435" i="28"/>
  <c r="S436" i="28"/>
  <c r="S437" i="28"/>
  <c r="S438" i="28"/>
  <c r="S439" i="28"/>
  <c r="S440" i="28"/>
  <c r="S441" i="28"/>
  <c r="S442" i="28"/>
  <c r="S443" i="28"/>
  <c r="S444" i="28"/>
  <c r="S445" i="28"/>
  <c r="S446" i="28"/>
  <c r="S447" i="28"/>
  <c r="S448" i="28"/>
  <c r="S449" i="28"/>
  <c r="S450" i="28"/>
  <c r="S451" i="28"/>
  <c r="S452" i="28"/>
  <c r="S453" i="28"/>
  <c r="S454" i="28"/>
  <c r="S455" i="28"/>
  <c r="S456" i="28"/>
  <c r="S457" i="28"/>
  <c r="S458" i="28"/>
  <c r="S459" i="28"/>
  <c r="S460" i="28"/>
  <c r="S461" i="28"/>
  <c r="S462" i="28"/>
  <c r="S463" i="28"/>
  <c r="S464" i="28"/>
  <c r="S465" i="28"/>
  <c r="S466" i="28"/>
  <c r="S467" i="28"/>
  <c r="S468" i="28"/>
  <c r="S469" i="28"/>
  <c r="S470" i="28"/>
  <c r="S471" i="28"/>
  <c r="S472" i="28"/>
  <c r="S473" i="28"/>
  <c r="S474" i="28"/>
  <c r="S475" i="28"/>
  <c r="S476" i="28"/>
  <c r="S477" i="28"/>
  <c r="S478" i="28"/>
  <c r="S479" i="28"/>
  <c r="S480" i="28"/>
  <c r="S481" i="28"/>
  <c r="S482" i="28"/>
  <c r="S483" i="28"/>
  <c r="S484" i="28"/>
  <c r="S485" i="28"/>
  <c r="S486" i="28"/>
  <c r="S487" i="28"/>
  <c r="S488" i="28"/>
  <c r="S489" i="28"/>
  <c r="S490" i="28"/>
  <c r="S491" i="28"/>
  <c r="S492" i="28"/>
  <c r="S493" i="28"/>
  <c r="S494" i="28"/>
  <c r="S495" i="28"/>
  <c r="S496" i="28"/>
  <c r="S497" i="28"/>
  <c r="S498" i="28"/>
  <c r="S499" i="28"/>
  <c r="S500" i="28"/>
  <c r="S501" i="28"/>
  <c r="S502" i="28"/>
  <c r="S503" i="28"/>
  <c r="S504" i="28"/>
  <c r="S505" i="28"/>
  <c r="S506" i="28"/>
  <c r="S507" i="28"/>
  <c r="S508" i="28"/>
  <c r="S509" i="28"/>
  <c r="S510" i="28"/>
  <c r="S511" i="28"/>
  <c r="S512" i="28"/>
  <c r="S513" i="28"/>
  <c r="S514" i="28"/>
  <c r="S515" i="28"/>
  <c r="S516" i="28"/>
  <c r="S517" i="28"/>
  <c r="S518" i="28"/>
  <c r="S519" i="28"/>
  <c r="S520" i="28"/>
  <c r="S521" i="28"/>
  <c r="S522" i="28"/>
  <c r="S523" i="28"/>
  <c r="S524" i="28"/>
  <c r="S525" i="28"/>
  <c r="S526" i="28"/>
  <c r="S527" i="28"/>
  <c r="S528" i="28"/>
  <c r="S529" i="28"/>
  <c r="S530" i="28"/>
  <c r="S531" i="28"/>
  <c r="S532" i="28"/>
  <c r="S533" i="28"/>
  <c r="S534" i="28"/>
  <c r="S535" i="28"/>
  <c r="S536" i="28"/>
  <c r="S537" i="28"/>
  <c r="S538" i="28"/>
  <c r="S539" i="28"/>
  <c r="S540" i="28"/>
  <c r="S541" i="28"/>
  <c r="S542" i="28"/>
  <c r="S543" i="28"/>
  <c r="S544" i="28"/>
  <c r="S545" i="28"/>
  <c r="S546" i="28"/>
  <c r="S547" i="28"/>
  <c r="S548" i="28"/>
  <c r="S549" i="28"/>
  <c r="S550" i="28"/>
  <c r="S551" i="28"/>
  <c r="S552" i="28"/>
  <c r="S553" i="28"/>
  <c r="S554" i="28"/>
  <c r="S555" i="28"/>
  <c r="S556" i="28"/>
  <c r="S557" i="28"/>
  <c r="S558" i="28"/>
  <c r="S559" i="28"/>
  <c r="S560" i="28"/>
  <c r="S561" i="28"/>
  <c r="S562" i="28"/>
  <c r="S563" i="28"/>
  <c r="S564" i="28"/>
  <c r="S565" i="28"/>
  <c r="S566" i="28"/>
  <c r="S567" i="28"/>
  <c r="S568" i="28"/>
  <c r="S569" i="28"/>
  <c r="S570" i="28"/>
  <c r="S571" i="28"/>
  <c r="S572" i="28"/>
  <c r="S573" i="28"/>
  <c r="S574" i="28"/>
  <c r="S575" i="28"/>
  <c r="S576" i="28"/>
  <c r="S577" i="28"/>
  <c r="S578" i="28"/>
  <c r="S579" i="28"/>
  <c r="S580" i="28"/>
  <c r="S581" i="28"/>
  <c r="S582" i="28"/>
  <c r="S583" i="28"/>
  <c r="S584" i="28"/>
  <c r="S585" i="28"/>
  <c r="S586" i="28"/>
  <c r="S587" i="28"/>
  <c r="S588" i="28"/>
  <c r="S589" i="28"/>
  <c r="S590" i="28"/>
  <c r="S591" i="28"/>
  <c r="S592" i="28"/>
  <c r="S593" i="28"/>
  <c r="S594" i="28"/>
  <c r="S595" i="28"/>
  <c r="S596" i="28"/>
  <c r="S597" i="28"/>
  <c r="S598" i="28"/>
  <c r="S599" i="28"/>
  <c r="S600" i="28"/>
  <c r="S601" i="28"/>
  <c r="S602" i="28"/>
  <c r="S603" i="28"/>
  <c r="S604" i="28"/>
  <c r="S605" i="28"/>
  <c r="S606" i="28"/>
  <c r="S607" i="28"/>
  <c r="S608" i="28"/>
  <c r="S609" i="28"/>
  <c r="S610" i="28"/>
  <c r="S611" i="28"/>
  <c r="S612" i="28"/>
  <c r="S613" i="28"/>
  <c r="S614" i="28"/>
  <c r="S615" i="28"/>
  <c r="S616" i="28"/>
  <c r="S617" i="28"/>
  <c r="S618" i="28"/>
  <c r="S619" i="28"/>
  <c r="S620" i="28"/>
  <c r="S621" i="28"/>
  <c r="S622" i="28"/>
  <c r="S623" i="28"/>
  <c r="S624" i="28"/>
  <c r="S625" i="28"/>
  <c r="S626" i="28"/>
  <c r="S627" i="28"/>
  <c r="S628" i="28"/>
  <c r="S629" i="28"/>
  <c r="S630" i="28"/>
  <c r="S631" i="28"/>
  <c r="S632" i="28"/>
  <c r="S633" i="28"/>
  <c r="S634" i="28"/>
  <c r="S635" i="28"/>
  <c r="S636" i="28"/>
  <c r="S637" i="28"/>
  <c r="S638" i="28"/>
  <c r="S639" i="28"/>
  <c r="S640" i="28"/>
  <c r="S641" i="28"/>
  <c r="S642" i="28"/>
  <c r="S643" i="28"/>
  <c r="S644" i="28"/>
  <c r="S645" i="28"/>
  <c r="S646" i="28"/>
  <c r="S647" i="28"/>
  <c r="S648" i="28"/>
  <c r="S649" i="28"/>
  <c r="S650" i="28"/>
  <c r="S651" i="28"/>
  <c r="S652" i="28"/>
  <c r="S653" i="28"/>
  <c r="S654" i="28"/>
  <c r="S655" i="28"/>
  <c r="S656" i="28"/>
  <c r="S657" i="28"/>
  <c r="S658" i="28"/>
  <c r="S659" i="28"/>
  <c r="S660" i="28"/>
  <c r="S661" i="28"/>
  <c r="S662" i="28"/>
  <c r="S663" i="28"/>
  <c r="S664" i="28"/>
  <c r="S665" i="28"/>
  <c r="S666" i="28"/>
  <c r="S667" i="28"/>
  <c r="S668" i="28"/>
  <c r="S669" i="28"/>
  <c r="S670" i="28"/>
  <c r="S671" i="28"/>
  <c r="S672" i="28"/>
  <c r="S673" i="28"/>
  <c r="S674" i="28"/>
  <c r="S675" i="28"/>
  <c r="S676" i="28"/>
  <c r="S677" i="28"/>
  <c r="S678" i="28"/>
  <c r="S679" i="28"/>
  <c r="S680" i="28"/>
  <c r="S681" i="28"/>
  <c r="S682" i="28"/>
  <c r="S683" i="28"/>
  <c r="S684" i="28"/>
  <c r="S685" i="28"/>
  <c r="S686" i="28"/>
  <c r="S687" i="28"/>
  <c r="S688" i="28"/>
  <c r="S689" i="28"/>
  <c r="S690" i="28"/>
  <c r="S691" i="28"/>
  <c r="S692" i="28"/>
  <c r="S693" i="28"/>
  <c r="S694" i="28"/>
  <c r="S695" i="28"/>
  <c r="S696" i="28"/>
  <c r="S697" i="28"/>
  <c r="S698" i="28"/>
  <c r="S699" i="28"/>
  <c r="S700" i="28"/>
  <c r="S701" i="28"/>
  <c r="S702" i="28"/>
  <c r="S703" i="28"/>
  <c r="S704" i="28"/>
  <c r="S705" i="28"/>
  <c r="S706" i="28"/>
  <c r="S707" i="28"/>
  <c r="S708" i="28"/>
  <c r="S709" i="28"/>
  <c r="S710" i="28"/>
  <c r="S711" i="28"/>
  <c r="S712" i="28"/>
  <c r="S713" i="28"/>
  <c r="S714" i="28"/>
  <c r="S715" i="28"/>
  <c r="S716" i="28"/>
  <c r="S717" i="28"/>
  <c r="S718" i="28"/>
  <c r="S719" i="28"/>
  <c r="S720" i="28"/>
  <c r="S721" i="28"/>
  <c r="S722" i="28"/>
  <c r="S723" i="28"/>
  <c r="S724" i="28"/>
  <c r="S725" i="28"/>
  <c r="S726" i="28"/>
  <c r="S727" i="28"/>
  <c r="S728" i="28"/>
  <c r="S729" i="28"/>
  <c r="S730" i="28"/>
  <c r="S731" i="28"/>
  <c r="S732" i="28"/>
  <c r="S733" i="28"/>
  <c r="S734" i="28"/>
  <c r="S735" i="28"/>
  <c r="S736" i="28"/>
  <c r="S737" i="28"/>
  <c r="S738" i="28"/>
  <c r="S739" i="28"/>
  <c r="S740" i="28"/>
  <c r="S741" i="28"/>
  <c r="S742" i="28"/>
  <c r="S743" i="28"/>
  <c r="S744" i="28"/>
  <c r="S745" i="28"/>
  <c r="S746" i="28"/>
  <c r="S747" i="28"/>
  <c r="S748" i="28"/>
  <c r="S749" i="28"/>
  <c r="S750" i="28"/>
  <c r="S751" i="28"/>
  <c r="S752" i="28"/>
  <c r="S753" i="28"/>
  <c r="S754" i="28"/>
  <c r="S755" i="28"/>
  <c r="S756" i="28"/>
  <c r="S757" i="28"/>
  <c r="S758" i="28"/>
  <c r="S759" i="28"/>
  <c r="S760" i="28"/>
  <c r="S761" i="28"/>
  <c r="S762" i="28"/>
  <c r="S763" i="28"/>
  <c r="S764" i="28"/>
  <c r="S765" i="28"/>
  <c r="S766" i="28"/>
  <c r="S767" i="28"/>
  <c r="S768" i="28"/>
  <c r="S769" i="28"/>
  <c r="S770" i="28"/>
  <c r="S771" i="28"/>
  <c r="S772" i="28"/>
  <c r="S773" i="28"/>
  <c r="S774" i="28"/>
  <c r="S775" i="28"/>
  <c r="S776" i="28"/>
  <c r="S777" i="28"/>
  <c r="S778" i="28"/>
  <c r="S779" i="28"/>
  <c r="S780" i="28"/>
  <c r="S781" i="28"/>
  <c r="S782" i="28"/>
  <c r="S783" i="28"/>
  <c r="S784" i="28"/>
  <c r="S785" i="28"/>
  <c r="S786" i="28"/>
  <c r="S787" i="28"/>
  <c r="S788" i="28"/>
  <c r="S789" i="28"/>
  <c r="S790" i="28"/>
  <c r="S791" i="28"/>
  <c r="S792" i="28"/>
  <c r="S793" i="28"/>
  <c r="S794" i="28"/>
  <c r="S795" i="28"/>
  <c r="S796" i="28"/>
  <c r="S797" i="28"/>
  <c r="S798" i="28"/>
  <c r="S799" i="28"/>
  <c r="S800" i="28"/>
  <c r="S801" i="28"/>
  <c r="S802" i="28"/>
  <c r="S803" i="28"/>
  <c r="S804" i="28"/>
  <c r="S805" i="28"/>
  <c r="S806" i="28"/>
  <c r="S807" i="28"/>
  <c r="S808" i="28"/>
  <c r="S809" i="28"/>
  <c r="S810" i="28"/>
  <c r="S811" i="28"/>
  <c r="S812" i="28"/>
  <c r="S813" i="28"/>
  <c r="S814" i="28"/>
  <c r="S815" i="28"/>
  <c r="S816" i="28"/>
  <c r="S817" i="28"/>
  <c r="S818" i="28"/>
  <c r="S819" i="28"/>
  <c r="S820" i="28"/>
  <c r="S821" i="28"/>
  <c r="S822" i="28"/>
  <c r="S823" i="28"/>
  <c r="S824" i="28"/>
  <c r="S825" i="28"/>
  <c r="S826" i="28"/>
  <c r="S827" i="28"/>
  <c r="S828" i="28"/>
  <c r="S829" i="28"/>
  <c r="S830" i="28"/>
  <c r="S831" i="28"/>
  <c r="S832" i="28"/>
  <c r="S833" i="28"/>
  <c r="T2" i="28"/>
  <c r="T3" i="28"/>
  <c r="T4" i="28"/>
  <c r="T5" i="28"/>
  <c r="T6" i="28"/>
  <c r="T7" i="28"/>
  <c r="T8" i="28"/>
  <c r="T9" i="28"/>
  <c r="T10" i="28"/>
  <c r="T11" i="28"/>
  <c r="T12" i="28"/>
  <c r="T13" i="28"/>
  <c r="T14" i="28"/>
  <c r="T15" i="28"/>
  <c r="T16" i="28"/>
  <c r="T17" i="28"/>
  <c r="T18" i="28"/>
  <c r="T19" i="28"/>
  <c r="T20" i="28"/>
  <c r="T21" i="28"/>
  <c r="T22" i="28"/>
  <c r="T23" i="28"/>
  <c r="T24" i="28"/>
  <c r="T25" i="28"/>
  <c r="T26" i="28"/>
  <c r="T27" i="28"/>
  <c r="T28" i="28"/>
  <c r="T29" i="28"/>
  <c r="T30" i="28"/>
  <c r="T31" i="28"/>
  <c r="T32" i="28"/>
  <c r="T33" i="28"/>
  <c r="T34" i="28"/>
  <c r="T35" i="28"/>
  <c r="T36" i="28"/>
  <c r="T37" i="28"/>
  <c r="T38" i="28"/>
  <c r="T39" i="28"/>
  <c r="T40" i="28"/>
  <c r="T41" i="28"/>
  <c r="T42" i="28"/>
  <c r="T43" i="28"/>
  <c r="T44" i="28"/>
  <c r="T45" i="28"/>
  <c r="T46" i="28"/>
  <c r="T47" i="28"/>
  <c r="T48" i="28"/>
  <c r="T49" i="28"/>
  <c r="T50" i="28"/>
  <c r="T51" i="28"/>
  <c r="T52" i="28"/>
  <c r="T53" i="28"/>
  <c r="T54" i="28"/>
  <c r="T55" i="28"/>
  <c r="T56" i="28"/>
  <c r="T57" i="28"/>
  <c r="T58" i="28"/>
  <c r="T59" i="28"/>
  <c r="T60" i="28"/>
  <c r="T61" i="28"/>
  <c r="T62" i="28"/>
  <c r="T63" i="28"/>
  <c r="T64" i="28"/>
  <c r="T65" i="28"/>
  <c r="T66" i="28"/>
  <c r="T67" i="28"/>
  <c r="T68" i="28"/>
  <c r="T69" i="28"/>
  <c r="T70" i="28"/>
  <c r="T71" i="28"/>
  <c r="T72" i="28"/>
  <c r="T73" i="28"/>
  <c r="T74" i="28"/>
  <c r="T75" i="28"/>
  <c r="T76" i="28"/>
  <c r="T77" i="28"/>
  <c r="T78" i="28"/>
  <c r="T79" i="28"/>
  <c r="T80" i="28"/>
  <c r="T81" i="28"/>
  <c r="T82" i="28"/>
  <c r="T83" i="28"/>
  <c r="T84" i="28"/>
  <c r="T85" i="28"/>
  <c r="T86" i="28"/>
  <c r="T87" i="28"/>
  <c r="T88" i="28"/>
  <c r="T89" i="28"/>
  <c r="T90" i="28"/>
  <c r="T91" i="28"/>
  <c r="T92" i="28"/>
  <c r="T93" i="28"/>
  <c r="T94" i="28"/>
  <c r="T95" i="28"/>
  <c r="T96" i="28"/>
  <c r="T97" i="28"/>
  <c r="T98" i="28"/>
  <c r="T99" i="28"/>
  <c r="T100" i="28"/>
  <c r="T101" i="28"/>
  <c r="T102" i="28"/>
  <c r="T103" i="28"/>
  <c r="T104" i="28"/>
  <c r="T105" i="28"/>
  <c r="T106" i="28"/>
  <c r="T107" i="28"/>
  <c r="T108" i="28"/>
  <c r="T109" i="28"/>
  <c r="T110" i="28"/>
  <c r="T111" i="28"/>
  <c r="T112" i="28"/>
  <c r="T113" i="28"/>
  <c r="T114" i="28"/>
  <c r="T115" i="28"/>
  <c r="T116" i="28"/>
  <c r="T117" i="28"/>
  <c r="T118" i="28"/>
  <c r="T119" i="28"/>
  <c r="T120" i="28"/>
  <c r="T121" i="28"/>
  <c r="T122" i="28"/>
  <c r="T123" i="28"/>
  <c r="T124" i="28"/>
  <c r="T125" i="28"/>
  <c r="T126" i="28"/>
  <c r="T127" i="28"/>
  <c r="T128" i="28"/>
  <c r="T129" i="28"/>
  <c r="T130" i="28"/>
  <c r="T131" i="28"/>
  <c r="T132" i="28"/>
  <c r="T133" i="28"/>
  <c r="T134" i="28"/>
  <c r="T135" i="28"/>
  <c r="T136" i="28"/>
  <c r="T137" i="28"/>
  <c r="T138" i="28"/>
  <c r="T139" i="28"/>
  <c r="T140" i="28"/>
  <c r="T141" i="28"/>
  <c r="T142" i="28"/>
  <c r="T143" i="28"/>
  <c r="T144" i="28"/>
  <c r="T145" i="28"/>
  <c r="T146" i="28"/>
  <c r="T147" i="28"/>
  <c r="T148" i="28"/>
  <c r="T149" i="28"/>
  <c r="T150" i="28"/>
  <c r="T151" i="28"/>
  <c r="T152" i="28"/>
  <c r="T153" i="28"/>
  <c r="T154" i="28"/>
  <c r="T155" i="28"/>
  <c r="T156" i="28"/>
  <c r="T157" i="28"/>
  <c r="T158" i="28"/>
  <c r="T159" i="28"/>
  <c r="T160" i="28"/>
  <c r="T161" i="28"/>
  <c r="T162" i="28"/>
  <c r="T163" i="28"/>
  <c r="T164" i="28"/>
  <c r="T165" i="28"/>
  <c r="T166" i="28"/>
  <c r="T167" i="28"/>
  <c r="T168" i="28"/>
  <c r="T169" i="28"/>
  <c r="T170" i="28"/>
  <c r="T171" i="28"/>
  <c r="T172" i="28"/>
  <c r="T173" i="28"/>
  <c r="T174" i="28"/>
  <c r="T175" i="28"/>
  <c r="T176" i="28"/>
  <c r="T177" i="28"/>
  <c r="T178" i="28"/>
  <c r="T179" i="28"/>
  <c r="T180" i="28"/>
  <c r="T181" i="28"/>
  <c r="T182" i="28"/>
  <c r="T183" i="28"/>
  <c r="T184" i="28"/>
  <c r="T185" i="28"/>
  <c r="T186" i="28"/>
  <c r="T187" i="28"/>
  <c r="T188" i="28"/>
  <c r="T189" i="28"/>
  <c r="T190" i="28"/>
  <c r="T191" i="28"/>
  <c r="T192" i="28"/>
  <c r="T193" i="28"/>
  <c r="T194" i="28"/>
  <c r="T195" i="28"/>
  <c r="T196" i="28"/>
  <c r="T197" i="28"/>
  <c r="T198" i="28"/>
  <c r="T199" i="28"/>
  <c r="T200" i="28"/>
  <c r="T201" i="28"/>
  <c r="T202" i="28"/>
  <c r="T203" i="28"/>
  <c r="T204" i="28"/>
  <c r="T205" i="28"/>
  <c r="T206" i="28"/>
  <c r="T207" i="28"/>
  <c r="T208" i="28"/>
  <c r="T209" i="28"/>
  <c r="T210" i="28"/>
  <c r="T211" i="28"/>
  <c r="T212" i="28"/>
  <c r="T213" i="28"/>
  <c r="T214" i="28"/>
  <c r="T215" i="28"/>
  <c r="T216" i="28"/>
  <c r="T217" i="28"/>
  <c r="T218" i="28"/>
  <c r="T219" i="28"/>
  <c r="T220" i="28"/>
  <c r="T221" i="28"/>
  <c r="T222" i="28"/>
  <c r="T223" i="28"/>
  <c r="T224" i="28"/>
  <c r="T225" i="28"/>
  <c r="T226" i="28"/>
  <c r="T227" i="28"/>
  <c r="T228" i="28"/>
  <c r="T229" i="28"/>
  <c r="T230" i="28"/>
  <c r="T231" i="28"/>
  <c r="T232" i="28"/>
  <c r="T233" i="28"/>
  <c r="T234" i="28"/>
  <c r="T235" i="28"/>
  <c r="T236" i="28"/>
  <c r="T237" i="28"/>
  <c r="T238" i="28"/>
  <c r="T239" i="28"/>
  <c r="T240" i="28"/>
  <c r="T241" i="28"/>
  <c r="T242" i="28"/>
  <c r="T243" i="28"/>
  <c r="T244" i="28"/>
  <c r="T245" i="28"/>
  <c r="T246" i="28"/>
  <c r="T247" i="28"/>
  <c r="T248" i="28"/>
  <c r="T249" i="28"/>
  <c r="T250" i="28"/>
  <c r="T251" i="28"/>
  <c r="T252" i="28"/>
  <c r="T253" i="28"/>
  <c r="T254" i="28"/>
  <c r="T255" i="28"/>
  <c r="T256" i="28"/>
  <c r="T257" i="28"/>
  <c r="T258" i="28"/>
  <c r="T259" i="28"/>
  <c r="T260" i="28"/>
  <c r="T261" i="28"/>
  <c r="T262" i="28"/>
  <c r="T263" i="28"/>
  <c r="T264" i="28"/>
  <c r="T265" i="28"/>
  <c r="T266" i="28"/>
  <c r="T267" i="28"/>
  <c r="T268" i="28"/>
  <c r="T269" i="28"/>
  <c r="T270" i="28"/>
  <c r="T271" i="28"/>
  <c r="T272" i="28"/>
  <c r="T273" i="28"/>
  <c r="T274" i="28"/>
  <c r="T275" i="28"/>
  <c r="T276" i="28"/>
  <c r="T277" i="28"/>
  <c r="T278" i="28"/>
  <c r="T279" i="28"/>
  <c r="T280" i="28"/>
  <c r="T281" i="28"/>
  <c r="T282" i="28"/>
  <c r="T283" i="28"/>
  <c r="T284" i="28"/>
  <c r="T285" i="28"/>
  <c r="T286" i="28"/>
  <c r="T287" i="28"/>
  <c r="T288" i="28"/>
  <c r="T289" i="28"/>
  <c r="T290" i="28"/>
  <c r="T291" i="28"/>
  <c r="T292" i="28"/>
  <c r="T293" i="28"/>
  <c r="T294" i="28"/>
  <c r="T295" i="28"/>
  <c r="T296" i="28"/>
  <c r="T297" i="28"/>
  <c r="T298" i="28"/>
  <c r="T299" i="28"/>
  <c r="T300" i="28"/>
  <c r="T301" i="28"/>
  <c r="T302" i="28"/>
  <c r="T303" i="28"/>
  <c r="T304" i="28"/>
  <c r="T305" i="28"/>
  <c r="T306" i="28"/>
  <c r="T307" i="28"/>
  <c r="T308" i="28"/>
  <c r="T309" i="28"/>
  <c r="T310" i="28"/>
  <c r="T311" i="28"/>
  <c r="T312" i="28"/>
  <c r="T313" i="28"/>
  <c r="T314" i="28"/>
  <c r="T315" i="28"/>
  <c r="T316" i="28"/>
  <c r="T317" i="28"/>
  <c r="T318" i="28"/>
  <c r="T319" i="28"/>
  <c r="T320" i="28"/>
  <c r="T321" i="28"/>
  <c r="T322" i="28"/>
  <c r="T323" i="28"/>
  <c r="T324" i="28"/>
  <c r="T325" i="28"/>
  <c r="T326" i="28"/>
  <c r="T327" i="28"/>
  <c r="T328" i="28"/>
  <c r="T329" i="28"/>
  <c r="T330" i="28"/>
  <c r="T331" i="28"/>
  <c r="T332" i="28"/>
  <c r="T333" i="28"/>
  <c r="T334" i="28"/>
  <c r="T335" i="28"/>
  <c r="T336" i="28"/>
  <c r="T337" i="28"/>
  <c r="T338" i="28"/>
  <c r="T339" i="28"/>
  <c r="T340" i="28"/>
  <c r="T341" i="28"/>
  <c r="T342" i="28"/>
  <c r="T343" i="28"/>
  <c r="T344" i="28"/>
  <c r="T345" i="28"/>
  <c r="T346" i="28"/>
  <c r="T347" i="28"/>
  <c r="T348" i="28"/>
  <c r="T349" i="28"/>
  <c r="T350" i="28"/>
  <c r="T351" i="28"/>
  <c r="T352" i="28"/>
  <c r="T353" i="28"/>
  <c r="T354" i="28"/>
  <c r="T355" i="28"/>
  <c r="T356" i="28"/>
  <c r="T357" i="28"/>
  <c r="T358" i="28"/>
  <c r="T359" i="28"/>
  <c r="T360" i="28"/>
  <c r="T361" i="28"/>
  <c r="T362" i="28"/>
  <c r="T363" i="28"/>
  <c r="T364" i="28"/>
  <c r="T365" i="28"/>
  <c r="T366" i="28"/>
  <c r="T367" i="28"/>
  <c r="T368" i="28"/>
  <c r="T369" i="28"/>
  <c r="T370" i="28"/>
  <c r="T371" i="28"/>
  <c r="T372" i="28"/>
  <c r="T373" i="28"/>
  <c r="T374" i="28"/>
  <c r="T375" i="28"/>
  <c r="T376" i="28"/>
  <c r="T377" i="28"/>
  <c r="T378" i="28"/>
  <c r="T379" i="28"/>
  <c r="T380" i="28"/>
  <c r="T381" i="28"/>
  <c r="T382" i="28"/>
  <c r="T383" i="28"/>
  <c r="T384" i="28"/>
  <c r="T385" i="28"/>
  <c r="T386" i="28"/>
  <c r="T387" i="28"/>
  <c r="T388" i="28"/>
  <c r="T389" i="28"/>
  <c r="T390" i="28"/>
  <c r="T391" i="28"/>
  <c r="T392" i="28"/>
  <c r="T393" i="28"/>
  <c r="T394" i="28"/>
  <c r="T395" i="28"/>
  <c r="T396" i="28"/>
  <c r="T397" i="28"/>
  <c r="T398" i="28"/>
  <c r="T399" i="28"/>
  <c r="T400" i="28"/>
  <c r="T401" i="28"/>
  <c r="T402" i="28"/>
  <c r="T403" i="28"/>
  <c r="T404" i="28"/>
  <c r="T405" i="28"/>
  <c r="T406" i="28"/>
  <c r="T407" i="28"/>
  <c r="T408" i="28"/>
  <c r="T409" i="28"/>
  <c r="T410" i="28"/>
  <c r="T411" i="28"/>
  <c r="T412" i="28"/>
  <c r="T413" i="28"/>
  <c r="T414" i="28"/>
  <c r="T415" i="28"/>
  <c r="T416" i="28"/>
  <c r="T417" i="28"/>
  <c r="T418" i="28"/>
  <c r="T419" i="28"/>
  <c r="T420" i="28"/>
  <c r="T421" i="28"/>
  <c r="T422" i="28"/>
  <c r="T423" i="28"/>
  <c r="T424" i="28"/>
  <c r="T425" i="28"/>
  <c r="T426" i="28"/>
  <c r="T427" i="28"/>
  <c r="T428" i="28"/>
  <c r="T429" i="28"/>
  <c r="T430" i="28"/>
  <c r="T431" i="28"/>
  <c r="T432" i="28"/>
  <c r="T433" i="28"/>
  <c r="T434" i="28"/>
  <c r="T435" i="28"/>
  <c r="T436" i="28"/>
  <c r="T437" i="28"/>
  <c r="T438" i="28"/>
  <c r="T439" i="28"/>
  <c r="T440" i="28"/>
  <c r="T441" i="28"/>
  <c r="T442" i="28"/>
  <c r="T443" i="28"/>
  <c r="T444" i="28"/>
  <c r="T445" i="28"/>
  <c r="T446" i="28"/>
  <c r="T447" i="28"/>
  <c r="T448" i="28"/>
  <c r="T449" i="28"/>
  <c r="T450" i="28"/>
  <c r="T451" i="28"/>
  <c r="T452" i="28"/>
  <c r="T453" i="28"/>
  <c r="T454" i="28"/>
  <c r="T455" i="28"/>
  <c r="T456" i="28"/>
  <c r="T457" i="28"/>
  <c r="T458" i="28"/>
  <c r="T459" i="28"/>
  <c r="T460" i="28"/>
  <c r="T461" i="28"/>
  <c r="T462" i="28"/>
  <c r="T463" i="28"/>
  <c r="T464" i="28"/>
  <c r="T465" i="28"/>
  <c r="T466" i="28"/>
  <c r="T467" i="28"/>
  <c r="T468" i="28"/>
  <c r="T469" i="28"/>
  <c r="T470" i="28"/>
  <c r="T471" i="28"/>
  <c r="T472" i="28"/>
  <c r="T473" i="28"/>
  <c r="T474" i="28"/>
  <c r="T475" i="28"/>
  <c r="T476" i="28"/>
  <c r="T477" i="28"/>
  <c r="T478" i="28"/>
  <c r="T479" i="28"/>
  <c r="T480" i="28"/>
  <c r="T481" i="28"/>
  <c r="T482" i="28"/>
  <c r="T483" i="28"/>
  <c r="T484" i="28"/>
  <c r="T485" i="28"/>
  <c r="T486" i="28"/>
  <c r="T487" i="28"/>
  <c r="T488" i="28"/>
  <c r="T489" i="28"/>
  <c r="T490" i="28"/>
  <c r="T491" i="28"/>
  <c r="T492" i="28"/>
  <c r="T493" i="28"/>
  <c r="T494" i="28"/>
  <c r="T495" i="28"/>
  <c r="T496" i="28"/>
  <c r="T497" i="28"/>
  <c r="T498" i="28"/>
  <c r="T499" i="28"/>
  <c r="T500" i="28"/>
  <c r="T501" i="28"/>
  <c r="T502" i="28"/>
  <c r="T503" i="28"/>
  <c r="T504" i="28"/>
  <c r="T505" i="28"/>
  <c r="T506" i="28"/>
  <c r="T507" i="28"/>
  <c r="T508" i="28"/>
  <c r="T509" i="28"/>
  <c r="T510" i="28"/>
  <c r="T511" i="28"/>
  <c r="T512" i="28"/>
  <c r="T513" i="28"/>
  <c r="T514" i="28"/>
  <c r="T515" i="28"/>
  <c r="T516" i="28"/>
  <c r="T517" i="28"/>
  <c r="T518" i="28"/>
  <c r="T519" i="28"/>
  <c r="T520" i="28"/>
  <c r="T521" i="28"/>
  <c r="T522" i="28"/>
  <c r="T523" i="28"/>
  <c r="T524" i="28"/>
  <c r="T525" i="28"/>
  <c r="T526" i="28"/>
  <c r="T527" i="28"/>
  <c r="T528" i="28"/>
  <c r="T529" i="28"/>
  <c r="T530" i="28"/>
  <c r="T531" i="28"/>
  <c r="T532" i="28"/>
  <c r="T533" i="28"/>
  <c r="T534" i="28"/>
  <c r="T535" i="28"/>
  <c r="T536" i="28"/>
  <c r="T537" i="28"/>
  <c r="T538" i="28"/>
  <c r="T539" i="28"/>
  <c r="T540" i="28"/>
  <c r="T541" i="28"/>
  <c r="T542" i="28"/>
  <c r="T543" i="28"/>
  <c r="T544" i="28"/>
  <c r="T545" i="28"/>
  <c r="T546" i="28"/>
  <c r="T547" i="28"/>
  <c r="T548" i="28"/>
  <c r="T549" i="28"/>
  <c r="T550" i="28"/>
  <c r="T551" i="28"/>
  <c r="T552" i="28"/>
  <c r="T553" i="28"/>
  <c r="T554" i="28"/>
  <c r="T555" i="28"/>
  <c r="T556" i="28"/>
  <c r="T557" i="28"/>
  <c r="T558" i="28"/>
  <c r="T559" i="28"/>
  <c r="T560" i="28"/>
  <c r="T561" i="28"/>
  <c r="T562" i="28"/>
  <c r="T563" i="28"/>
  <c r="T564" i="28"/>
  <c r="T565" i="28"/>
  <c r="T566" i="28"/>
  <c r="T567" i="28"/>
  <c r="T568" i="28"/>
  <c r="T569" i="28"/>
  <c r="T570" i="28"/>
  <c r="T571" i="28"/>
  <c r="T572" i="28"/>
  <c r="T573" i="28"/>
  <c r="T574" i="28"/>
  <c r="T575" i="28"/>
  <c r="T576" i="28"/>
  <c r="T577" i="28"/>
  <c r="T578" i="28"/>
  <c r="T579" i="28"/>
  <c r="T580" i="28"/>
  <c r="T581" i="28"/>
  <c r="T582" i="28"/>
  <c r="T583" i="28"/>
  <c r="T584" i="28"/>
  <c r="T585" i="28"/>
  <c r="T586" i="28"/>
  <c r="T587" i="28"/>
  <c r="T588" i="28"/>
  <c r="T589" i="28"/>
  <c r="T590" i="28"/>
  <c r="T591" i="28"/>
  <c r="T592" i="28"/>
  <c r="T593" i="28"/>
  <c r="T594" i="28"/>
  <c r="T595" i="28"/>
  <c r="T596" i="28"/>
  <c r="T597" i="28"/>
  <c r="T598" i="28"/>
  <c r="T599" i="28"/>
  <c r="T600" i="28"/>
  <c r="T601" i="28"/>
  <c r="T602" i="28"/>
  <c r="T603" i="28"/>
  <c r="T604" i="28"/>
  <c r="T605" i="28"/>
  <c r="T606" i="28"/>
  <c r="T607" i="28"/>
  <c r="T608" i="28"/>
  <c r="T609" i="28"/>
  <c r="T610" i="28"/>
  <c r="T611" i="28"/>
  <c r="T612" i="28"/>
  <c r="T613" i="28"/>
  <c r="T614" i="28"/>
  <c r="T615" i="28"/>
  <c r="T616" i="28"/>
  <c r="T617" i="28"/>
  <c r="T618" i="28"/>
  <c r="T619" i="28"/>
  <c r="T620" i="28"/>
  <c r="T621" i="28"/>
  <c r="T622" i="28"/>
  <c r="T623" i="28"/>
  <c r="T624" i="28"/>
  <c r="T625" i="28"/>
  <c r="T626" i="28"/>
  <c r="T627" i="28"/>
  <c r="T628" i="28"/>
  <c r="T629" i="28"/>
  <c r="T630" i="28"/>
  <c r="T631" i="28"/>
  <c r="T632" i="28"/>
  <c r="T633" i="28"/>
  <c r="T634" i="28"/>
  <c r="T635" i="28"/>
  <c r="T636" i="28"/>
  <c r="T637" i="28"/>
  <c r="T638" i="28"/>
  <c r="T639" i="28"/>
  <c r="T640" i="28"/>
  <c r="T641" i="28"/>
  <c r="T642" i="28"/>
  <c r="T643" i="28"/>
  <c r="T644" i="28"/>
  <c r="T645" i="28"/>
  <c r="T646" i="28"/>
  <c r="T647" i="28"/>
  <c r="T648" i="28"/>
  <c r="T649" i="28"/>
  <c r="T650" i="28"/>
  <c r="T651" i="28"/>
  <c r="T652" i="28"/>
  <c r="T653" i="28"/>
  <c r="T654" i="28"/>
  <c r="T655" i="28"/>
  <c r="T656" i="28"/>
  <c r="T657" i="28"/>
  <c r="T658" i="28"/>
  <c r="T659" i="28"/>
  <c r="T660" i="28"/>
  <c r="T661" i="28"/>
  <c r="T662" i="28"/>
  <c r="T663" i="28"/>
  <c r="T664" i="28"/>
  <c r="T665" i="28"/>
  <c r="T666" i="28"/>
  <c r="T667" i="28"/>
  <c r="T668" i="28"/>
  <c r="T669" i="28"/>
  <c r="T670" i="28"/>
  <c r="T671" i="28"/>
  <c r="T672" i="28"/>
  <c r="T673" i="28"/>
  <c r="T674" i="28"/>
  <c r="T675" i="28"/>
  <c r="T676" i="28"/>
  <c r="T677" i="28"/>
  <c r="T678" i="28"/>
  <c r="T679" i="28"/>
  <c r="T680" i="28"/>
  <c r="T681" i="28"/>
  <c r="T682" i="28"/>
  <c r="T683" i="28"/>
  <c r="T684" i="28"/>
  <c r="T685" i="28"/>
  <c r="T686" i="28"/>
  <c r="T687" i="28"/>
  <c r="T688" i="28"/>
  <c r="T689" i="28"/>
  <c r="T690" i="28"/>
  <c r="T691" i="28"/>
  <c r="T692" i="28"/>
  <c r="T693" i="28"/>
  <c r="T694" i="28"/>
  <c r="T695" i="28"/>
  <c r="T696" i="28"/>
  <c r="T697" i="28"/>
  <c r="T698" i="28"/>
  <c r="T699" i="28"/>
  <c r="T700" i="28"/>
  <c r="T701" i="28"/>
  <c r="T702" i="28"/>
  <c r="T703" i="28"/>
  <c r="T704" i="28"/>
  <c r="T705" i="28"/>
  <c r="T706" i="28"/>
  <c r="T707" i="28"/>
  <c r="T708" i="28"/>
  <c r="T709" i="28"/>
  <c r="T710" i="28"/>
  <c r="T711" i="28"/>
  <c r="T712" i="28"/>
  <c r="T713" i="28"/>
  <c r="T714" i="28"/>
  <c r="T715" i="28"/>
  <c r="T716" i="28"/>
  <c r="T717" i="28"/>
  <c r="T718" i="28"/>
  <c r="T719" i="28"/>
  <c r="T720" i="28"/>
  <c r="T721" i="28"/>
  <c r="T722" i="28"/>
  <c r="T723" i="28"/>
  <c r="T724" i="28"/>
  <c r="T725" i="28"/>
  <c r="T726" i="28"/>
  <c r="T727" i="28"/>
  <c r="T728" i="28"/>
  <c r="T729" i="28"/>
  <c r="T730" i="28"/>
  <c r="T731" i="28"/>
  <c r="T732" i="28"/>
  <c r="T733" i="28"/>
  <c r="T734" i="28"/>
  <c r="T735" i="28"/>
  <c r="T736" i="28"/>
  <c r="T737" i="28"/>
  <c r="T738" i="28"/>
  <c r="T739" i="28"/>
  <c r="T740" i="28"/>
  <c r="T741" i="28"/>
  <c r="T742" i="28"/>
  <c r="T743" i="28"/>
  <c r="T744" i="28"/>
  <c r="T745" i="28"/>
  <c r="T746" i="28"/>
  <c r="T747" i="28"/>
  <c r="T748" i="28"/>
  <c r="T749" i="28"/>
  <c r="T750" i="28"/>
  <c r="T751" i="28"/>
  <c r="T752" i="28"/>
  <c r="T753" i="28"/>
  <c r="T754" i="28"/>
  <c r="T755" i="28"/>
  <c r="T756" i="28"/>
  <c r="T757" i="28"/>
  <c r="T758" i="28"/>
  <c r="T759" i="28"/>
  <c r="T760" i="28"/>
  <c r="T761" i="28"/>
  <c r="T762" i="28"/>
  <c r="T763" i="28"/>
  <c r="T764" i="28"/>
  <c r="T765" i="28"/>
  <c r="T766" i="28"/>
  <c r="T767" i="28"/>
  <c r="T768" i="28"/>
  <c r="T769" i="28"/>
  <c r="T770" i="28"/>
  <c r="T771" i="28"/>
  <c r="T772" i="28"/>
  <c r="T773" i="28"/>
  <c r="T774" i="28"/>
  <c r="T775" i="28"/>
  <c r="T776" i="28"/>
  <c r="T777" i="28"/>
  <c r="T778" i="28"/>
  <c r="T779" i="28"/>
  <c r="T780" i="28"/>
  <c r="T781" i="28"/>
  <c r="T782" i="28"/>
  <c r="T783" i="28"/>
  <c r="T784" i="28"/>
  <c r="T785" i="28"/>
  <c r="T786" i="28"/>
  <c r="T787" i="28"/>
  <c r="T788" i="28"/>
  <c r="T789" i="28"/>
  <c r="T790" i="28"/>
  <c r="T791" i="28"/>
  <c r="T792" i="28"/>
  <c r="T793" i="28"/>
  <c r="T794" i="28"/>
  <c r="T795" i="28"/>
  <c r="T796" i="28"/>
  <c r="T797" i="28"/>
  <c r="T798" i="28"/>
  <c r="T799" i="28"/>
  <c r="T800" i="28"/>
  <c r="T801" i="28"/>
  <c r="T802" i="28"/>
  <c r="T803" i="28"/>
  <c r="T804" i="28"/>
  <c r="T805" i="28"/>
  <c r="T806" i="28"/>
  <c r="T807" i="28"/>
  <c r="T808" i="28"/>
  <c r="T809" i="28"/>
  <c r="T810" i="28"/>
  <c r="T811" i="28"/>
  <c r="T812" i="28"/>
  <c r="T813" i="28"/>
  <c r="T814" i="28"/>
  <c r="T815" i="28"/>
  <c r="T816" i="28"/>
  <c r="T817" i="28"/>
  <c r="T818" i="28"/>
  <c r="T819" i="28"/>
  <c r="T820" i="28"/>
  <c r="T821" i="28"/>
  <c r="T822" i="28"/>
  <c r="T823" i="28"/>
  <c r="T824" i="28"/>
  <c r="T825" i="28"/>
  <c r="T826" i="28"/>
  <c r="T827" i="28"/>
  <c r="T828" i="28"/>
  <c r="T829" i="28"/>
  <c r="T830" i="28"/>
  <c r="T831" i="28"/>
  <c r="T832" i="28"/>
  <c r="T833" i="28"/>
  <c r="U2" i="28"/>
  <c r="U3" i="28"/>
  <c r="U4" i="28"/>
  <c r="U5" i="28"/>
  <c r="U6" i="28"/>
  <c r="U7" i="28"/>
  <c r="U8" i="28"/>
  <c r="U9" i="28"/>
  <c r="U10" i="28"/>
  <c r="U11" i="28"/>
  <c r="U12" i="28"/>
  <c r="U13" i="28"/>
  <c r="U14" i="28"/>
  <c r="U15" i="28"/>
  <c r="U16" i="28"/>
  <c r="U17" i="28"/>
  <c r="U18" i="28"/>
  <c r="U19" i="28"/>
  <c r="U20" i="28"/>
  <c r="U21" i="28"/>
  <c r="U22" i="28"/>
  <c r="U23" i="28"/>
  <c r="U24" i="28"/>
  <c r="U25" i="28"/>
  <c r="U26" i="28"/>
  <c r="U27" i="28"/>
  <c r="U28" i="28"/>
  <c r="U29" i="28"/>
  <c r="U30" i="28"/>
  <c r="U31" i="28"/>
  <c r="U32" i="28"/>
  <c r="U33" i="28"/>
  <c r="U34" i="28"/>
  <c r="U35" i="28"/>
  <c r="U36" i="28"/>
  <c r="U37" i="28"/>
  <c r="U38" i="28"/>
  <c r="U39" i="28"/>
  <c r="U40" i="28"/>
  <c r="U41" i="28"/>
  <c r="U42" i="28"/>
  <c r="U43" i="28"/>
  <c r="U44" i="28"/>
  <c r="U45" i="28"/>
  <c r="U46" i="28"/>
  <c r="U47" i="28"/>
  <c r="U48" i="28"/>
  <c r="U49" i="28"/>
  <c r="U50" i="28"/>
  <c r="U51" i="28"/>
  <c r="U52" i="28"/>
  <c r="U53" i="28"/>
  <c r="U54" i="28"/>
  <c r="U55" i="28"/>
  <c r="U56" i="28"/>
  <c r="U57" i="28"/>
  <c r="U58" i="28"/>
  <c r="U59" i="28"/>
  <c r="U60" i="28"/>
  <c r="U61" i="28"/>
  <c r="U62" i="28"/>
  <c r="U63" i="28"/>
  <c r="U64" i="28"/>
  <c r="U65" i="28"/>
  <c r="U66" i="28"/>
  <c r="U67" i="28"/>
  <c r="U68" i="28"/>
  <c r="U69" i="28"/>
  <c r="U70" i="28"/>
  <c r="U71" i="28"/>
  <c r="U72" i="28"/>
  <c r="U73" i="28"/>
  <c r="U74" i="28"/>
  <c r="U75" i="28"/>
  <c r="U76" i="28"/>
  <c r="U77" i="28"/>
  <c r="U78" i="28"/>
  <c r="U79" i="28"/>
  <c r="U80" i="28"/>
  <c r="U81" i="28"/>
  <c r="U82" i="28"/>
  <c r="U83" i="28"/>
  <c r="U84" i="28"/>
  <c r="U85" i="28"/>
  <c r="U86" i="28"/>
  <c r="U87" i="28"/>
  <c r="U88" i="28"/>
  <c r="U89" i="28"/>
  <c r="U90" i="28"/>
  <c r="U91" i="28"/>
  <c r="U92" i="28"/>
  <c r="U93" i="28"/>
  <c r="U94" i="28"/>
  <c r="U95" i="28"/>
  <c r="U96" i="28"/>
  <c r="U97" i="28"/>
  <c r="U98" i="28"/>
  <c r="U99" i="28"/>
  <c r="U100" i="28"/>
  <c r="U101" i="28"/>
  <c r="U102" i="28"/>
  <c r="U103" i="28"/>
  <c r="U104" i="28"/>
  <c r="U105" i="28"/>
  <c r="U106" i="28"/>
  <c r="U107" i="28"/>
  <c r="U108" i="28"/>
  <c r="U109" i="28"/>
  <c r="U110" i="28"/>
  <c r="U111" i="28"/>
  <c r="U112" i="28"/>
  <c r="U113" i="28"/>
  <c r="U114" i="28"/>
  <c r="U115" i="28"/>
  <c r="U116" i="28"/>
  <c r="U117" i="28"/>
  <c r="U118" i="28"/>
  <c r="U119" i="28"/>
  <c r="U120" i="28"/>
  <c r="U121" i="28"/>
  <c r="U122" i="28"/>
  <c r="U123" i="28"/>
  <c r="U124" i="28"/>
  <c r="U125" i="28"/>
  <c r="U126" i="28"/>
  <c r="U127" i="28"/>
  <c r="U128" i="28"/>
  <c r="U129" i="28"/>
  <c r="U130" i="28"/>
  <c r="U131" i="28"/>
  <c r="U132" i="28"/>
  <c r="U133" i="28"/>
  <c r="U134" i="28"/>
  <c r="U135" i="28"/>
  <c r="U136" i="28"/>
  <c r="U137" i="28"/>
  <c r="U138" i="28"/>
  <c r="U139" i="28"/>
  <c r="U140" i="28"/>
  <c r="U141" i="28"/>
  <c r="U142" i="28"/>
  <c r="U143" i="28"/>
  <c r="U144" i="28"/>
  <c r="U145" i="28"/>
  <c r="U146" i="28"/>
  <c r="U147" i="28"/>
  <c r="U148" i="28"/>
  <c r="U149" i="28"/>
  <c r="U150" i="28"/>
  <c r="U151" i="28"/>
  <c r="U152" i="28"/>
  <c r="U153" i="28"/>
  <c r="U154" i="28"/>
  <c r="U155" i="28"/>
  <c r="U156" i="28"/>
  <c r="U157" i="28"/>
  <c r="U158" i="28"/>
  <c r="U159" i="28"/>
  <c r="U160" i="28"/>
  <c r="U161" i="28"/>
  <c r="U162" i="28"/>
  <c r="U163" i="28"/>
  <c r="U164" i="28"/>
  <c r="U165" i="28"/>
  <c r="U166" i="28"/>
  <c r="U167" i="28"/>
  <c r="U168" i="28"/>
  <c r="U169" i="28"/>
  <c r="U170" i="28"/>
  <c r="U171" i="28"/>
  <c r="U172" i="28"/>
  <c r="U173" i="28"/>
  <c r="U174" i="28"/>
  <c r="U175" i="28"/>
  <c r="U176" i="28"/>
  <c r="U177" i="28"/>
  <c r="U178" i="28"/>
  <c r="U179" i="28"/>
  <c r="U180" i="28"/>
  <c r="U181" i="28"/>
  <c r="U182" i="28"/>
  <c r="U183" i="28"/>
  <c r="U184" i="28"/>
  <c r="U185" i="28"/>
  <c r="U186" i="28"/>
  <c r="U187" i="28"/>
  <c r="U188" i="28"/>
  <c r="U189" i="28"/>
  <c r="U190" i="28"/>
  <c r="U191" i="28"/>
  <c r="U192" i="28"/>
  <c r="U193" i="28"/>
  <c r="U194" i="28"/>
  <c r="U195" i="28"/>
  <c r="U196" i="28"/>
  <c r="U197" i="28"/>
  <c r="U198" i="28"/>
  <c r="U199" i="28"/>
  <c r="U200" i="28"/>
  <c r="U201" i="28"/>
  <c r="U202" i="28"/>
  <c r="U203" i="28"/>
  <c r="U204" i="28"/>
  <c r="U205" i="28"/>
  <c r="U206" i="28"/>
  <c r="U207" i="28"/>
  <c r="U208" i="28"/>
  <c r="U209" i="28"/>
  <c r="U210" i="28"/>
  <c r="U211" i="28"/>
  <c r="U212" i="28"/>
  <c r="U213" i="28"/>
  <c r="U214" i="28"/>
  <c r="U215" i="28"/>
  <c r="U216" i="28"/>
  <c r="U217" i="28"/>
  <c r="U218" i="28"/>
  <c r="U219" i="28"/>
  <c r="U220" i="28"/>
  <c r="U221" i="28"/>
  <c r="U222" i="28"/>
  <c r="U223" i="28"/>
  <c r="U224" i="28"/>
  <c r="U225" i="28"/>
  <c r="U226" i="28"/>
  <c r="U227" i="28"/>
  <c r="U228" i="28"/>
  <c r="U229" i="28"/>
  <c r="U230" i="28"/>
  <c r="U231" i="28"/>
  <c r="U232" i="28"/>
  <c r="U233" i="28"/>
  <c r="U234" i="28"/>
  <c r="U235" i="28"/>
  <c r="U236" i="28"/>
  <c r="U237" i="28"/>
  <c r="U238" i="28"/>
  <c r="U239" i="28"/>
  <c r="U240" i="28"/>
  <c r="U241" i="28"/>
  <c r="U242" i="28"/>
  <c r="U243" i="28"/>
  <c r="U244" i="28"/>
  <c r="U245" i="28"/>
  <c r="U246" i="28"/>
  <c r="U247" i="28"/>
  <c r="U248" i="28"/>
  <c r="U249" i="28"/>
  <c r="U250" i="28"/>
  <c r="U251" i="28"/>
  <c r="U252" i="28"/>
  <c r="U253" i="28"/>
  <c r="U254" i="28"/>
  <c r="U255" i="28"/>
  <c r="U256" i="28"/>
  <c r="U257" i="28"/>
  <c r="U258" i="28"/>
  <c r="U259" i="28"/>
  <c r="U260" i="28"/>
  <c r="U261" i="28"/>
  <c r="U262" i="28"/>
  <c r="U263" i="28"/>
  <c r="U264" i="28"/>
  <c r="U265" i="28"/>
  <c r="U266" i="28"/>
  <c r="U267" i="28"/>
  <c r="U268" i="28"/>
  <c r="U269" i="28"/>
  <c r="U270" i="28"/>
  <c r="U271" i="28"/>
  <c r="U272" i="28"/>
  <c r="U273" i="28"/>
  <c r="U274" i="28"/>
  <c r="U275" i="28"/>
  <c r="U276" i="28"/>
  <c r="U277" i="28"/>
  <c r="U278" i="28"/>
  <c r="U279" i="28"/>
  <c r="U280" i="28"/>
  <c r="U281" i="28"/>
  <c r="U282" i="28"/>
  <c r="U283" i="28"/>
  <c r="U284" i="28"/>
  <c r="U285" i="28"/>
  <c r="U286" i="28"/>
  <c r="U287" i="28"/>
  <c r="U288" i="28"/>
  <c r="U289" i="28"/>
  <c r="U290" i="28"/>
  <c r="U291" i="28"/>
  <c r="U292" i="28"/>
  <c r="U293" i="28"/>
  <c r="U294" i="28"/>
  <c r="U295" i="28"/>
  <c r="U296" i="28"/>
  <c r="U297" i="28"/>
  <c r="U298" i="28"/>
  <c r="U299" i="28"/>
  <c r="U300" i="28"/>
  <c r="U301" i="28"/>
  <c r="U302" i="28"/>
  <c r="U303" i="28"/>
  <c r="U304" i="28"/>
  <c r="U305" i="28"/>
  <c r="U306" i="28"/>
  <c r="U307" i="28"/>
  <c r="U308" i="28"/>
  <c r="U309" i="28"/>
  <c r="U310" i="28"/>
  <c r="U311" i="28"/>
  <c r="U312" i="28"/>
  <c r="U313" i="28"/>
  <c r="U314" i="28"/>
  <c r="U315" i="28"/>
  <c r="U316" i="28"/>
  <c r="U317" i="28"/>
  <c r="U318" i="28"/>
  <c r="U319" i="28"/>
  <c r="U320" i="28"/>
  <c r="U321" i="28"/>
  <c r="U322" i="28"/>
  <c r="U323" i="28"/>
  <c r="U324" i="28"/>
  <c r="U325" i="28"/>
  <c r="U326" i="28"/>
  <c r="U327" i="28"/>
  <c r="U328" i="28"/>
  <c r="U329" i="28"/>
  <c r="U330" i="28"/>
  <c r="U331" i="28"/>
  <c r="U332" i="28"/>
  <c r="U333" i="28"/>
  <c r="U334" i="28"/>
  <c r="U335" i="28"/>
  <c r="U336" i="28"/>
  <c r="U337" i="28"/>
  <c r="U338" i="28"/>
  <c r="U339" i="28"/>
  <c r="U340" i="28"/>
  <c r="U341" i="28"/>
  <c r="U342" i="28"/>
  <c r="U343" i="28"/>
  <c r="U344" i="28"/>
  <c r="U345" i="28"/>
  <c r="U346" i="28"/>
  <c r="U347" i="28"/>
  <c r="U348" i="28"/>
  <c r="U349" i="28"/>
  <c r="U350" i="28"/>
  <c r="U351" i="28"/>
  <c r="U352" i="28"/>
  <c r="U353" i="28"/>
  <c r="U354" i="28"/>
  <c r="U355" i="28"/>
  <c r="U356" i="28"/>
  <c r="U357" i="28"/>
  <c r="U358" i="28"/>
  <c r="U359" i="28"/>
  <c r="U360" i="28"/>
  <c r="U361" i="28"/>
  <c r="U362" i="28"/>
  <c r="U363" i="28"/>
  <c r="U364" i="28"/>
  <c r="U365" i="28"/>
  <c r="U366" i="28"/>
  <c r="U367" i="28"/>
  <c r="U368" i="28"/>
  <c r="U369" i="28"/>
  <c r="U370" i="28"/>
  <c r="U371" i="28"/>
  <c r="U372" i="28"/>
  <c r="U373" i="28"/>
  <c r="U374" i="28"/>
  <c r="U375" i="28"/>
  <c r="U376" i="28"/>
  <c r="U377" i="28"/>
  <c r="U378" i="28"/>
  <c r="U379" i="28"/>
  <c r="U380" i="28"/>
  <c r="U381" i="28"/>
  <c r="U382" i="28"/>
  <c r="U383" i="28"/>
  <c r="U384" i="28"/>
  <c r="U385" i="28"/>
  <c r="U386" i="28"/>
  <c r="U387" i="28"/>
  <c r="U388" i="28"/>
  <c r="U389" i="28"/>
  <c r="U390" i="28"/>
  <c r="U391" i="28"/>
  <c r="U392" i="28"/>
  <c r="U393" i="28"/>
  <c r="U394" i="28"/>
  <c r="U395" i="28"/>
  <c r="U396" i="28"/>
  <c r="U397" i="28"/>
  <c r="U398" i="28"/>
  <c r="U399" i="28"/>
  <c r="U400" i="28"/>
  <c r="U401" i="28"/>
  <c r="U402" i="28"/>
  <c r="U403" i="28"/>
  <c r="U404" i="28"/>
  <c r="U405" i="28"/>
  <c r="U406" i="28"/>
  <c r="U407" i="28"/>
  <c r="U408" i="28"/>
  <c r="U409" i="28"/>
  <c r="U410" i="28"/>
  <c r="U411" i="28"/>
  <c r="U412" i="28"/>
  <c r="U413" i="28"/>
  <c r="U414" i="28"/>
  <c r="U415" i="28"/>
  <c r="U416" i="28"/>
  <c r="U417" i="28"/>
  <c r="U418" i="28"/>
  <c r="U419" i="28"/>
  <c r="U420" i="28"/>
  <c r="U421" i="28"/>
  <c r="U422" i="28"/>
  <c r="U423" i="28"/>
  <c r="U424" i="28"/>
  <c r="U425" i="28"/>
  <c r="U426" i="28"/>
  <c r="U427" i="28"/>
  <c r="U428" i="28"/>
  <c r="U429" i="28"/>
  <c r="U430" i="28"/>
  <c r="U431" i="28"/>
  <c r="U432" i="28"/>
  <c r="U433" i="28"/>
  <c r="U434" i="28"/>
  <c r="U435" i="28"/>
  <c r="U436" i="28"/>
  <c r="U437" i="28"/>
  <c r="U438" i="28"/>
  <c r="U439" i="28"/>
  <c r="U440" i="28"/>
  <c r="U441" i="28"/>
  <c r="U442" i="28"/>
  <c r="U443" i="28"/>
  <c r="U444" i="28"/>
  <c r="U445" i="28"/>
  <c r="U446" i="28"/>
  <c r="U447" i="28"/>
  <c r="U448" i="28"/>
  <c r="U449" i="28"/>
  <c r="U450" i="28"/>
  <c r="U451" i="28"/>
  <c r="U452" i="28"/>
  <c r="U453" i="28"/>
  <c r="U454" i="28"/>
  <c r="U455" i="28"/>
  <c r="U456" i="28"/>
  <c r="U457" i="28"/>
  <c r="U458" i="28"/>
  <c r="U459" i="28"/>
  <c r="U460" i="28"/>
  <c r="U461" i="28"/>
  <c r="U462" i="28"/>
  <c r="U463" i="28"/>
  <c r="U464" i="28"/>
  <c r="U465" i="28"/>
  <c r="U466" i="28"/>
  <c r="U467" i="28"/>
  <c r="U468" i="28"/>
  <c r="U469" i="28"/>
  <c r="U470" i="28"/>
  <c r="U471" i="28"/>
  <c r="U472" i="28"/>
  <c r="U473" i="28"/>
  <c r="U474" i="28"/>
  <c r="U475" i="28"/>
  <c r="U476" i="28"/>
  <c r="U477" i="28"/>
  <c r="U478" i="28"/>
  <c r="U479" i="28"/>
  <c r="U480" i="28"/>
  <c r="U481" i="28"/>
  <c r="U482" i="28"/>
  <c r="U483" i="28"/>
  <c r="U484" i="28"/>
  <c r="U485" i="28"/>
  <c r="U486" i="28"/>
  <c r="U487" i="28"/>
  <c r="U488" i="28"/>
  <c r="U489" i="28"/>
  <c r="U490" i="28"/>
  <c r="U491" i="28"/>
  <c r="U492" i="28"/>
  <c r="U493" i="28"/>
  <c r="U494" i="28"/>
  <c r="U495" i="28"/>
  <c r="U496" i="28"/>
  <c r="U497" i="28"/>
  <c r="U498" i="28"/>
  <c r="U499" i="28"/>
  <c r="U500" i="28"/>
  <c r="U501" i="28"/>
  <c r="U502" i="28"/>
  <c r="U503" i="28"/>
  <c r="U504" i="28"/>
  <c r="U505" i="28"/>
  <c r="U506" i="28"/>
  <c r="U507" i="28"/>
  <c r="U508" i="28"/>
  <c r="U509" i="28"/>
  <c r="U510" i="28"/>
  <c r="U511" i="28"/>
  <c r="U512" i="28"/>
  <c r="U513" i="28"/>
  <c r="U514" i="28"/>
  <c r="U515" i="28"/>
  <c r="U516" i="28"/>
  <c r="U517" i="28"/>
  <c r="U518" i="28"/>
  <c r="U519" i="28"/>
  <c r="U520" i="28"/>
  <c r="U521" i="28"/>
  <c r="U522" i="28"/>
  <c r="U523" i="28"/>
  <c r="U524" i="28"/>
  <c r="U525" i="28"/>
  <c r="U526" i="28"/>
  <c r="U527" i="28"/>
  <c r="U528" i="28"/>
  <c r="U529" i="28"/>
  <c r="U530" i="28"/>
  <c r="U531" i="28"/>
  <c r="U532" i="28"/>
  <c r="U533" i="28"/>
  <c r="U534" i="28"/>
  <c r="U535" i="28"/>
  <c r="U536" i="28"/>
  <c r="U537" i="28"/>
  <c r="U538" i="28"/>
  <c r="U539" i="28"/>
  <c r="U540" i="28"/>
  <c r="U541" i="28"/>
  <c r="U542" i="28"/>
  <c r="U543" i="28"/>
  <c r="U544" i="28"/>
  <c r="U545" i="28"/>
  <c r="U546" i="28"/>
  <c r="U547" i="28"/>
  <c r="U548" i="28"/>
  <c r="U549" i="28"/>
  <c r="U550" i="28"/>
  <c r="U551" i="28"/>
  <c r="U552" i="28"/>
  <c r="U553" i="28"/>
  <c r="U554" i="28"/>
  <c r="U555" i="28"/>
  <c r="U556" i="28"/>
  <c r="U557" i="28"/>
  <c r="U558" i="28"/>
  <c r="U559" i="28"/>
  <c r="U560" i="28"/>
  <c r="U561" i="28"/>
  <c r="U562" i="28"/>
  <c r="U563" i="28"/>
  <c r="U564" i="28"/>
  <c r="U565" i="28"/>
  <c r="U566" i="28"/>
  <c r="U567" i="28"/>
  <c r="U568" i="28"/>
  <c r="U569" i="28"/>
  <c r="U570" i="28"/>
  <c r="U571" i="28"/>
  <c r="U572" i="28"/>
  <c r="U573" i="28"/>
  <c r="U574" i="28"/>
  <c r="U575" i="28"/>
  <c r="U576" i="28"/>
  <c r="U577" i="28"/>
  <c r="U578" i="28"/>
  <c r="U579" i="28"/>
  <c r="U580" i="28"/>
  <c r="U581" i="28"/>
  <c r="U582" i="28"/>
  <c r="U583" i="28"/>
  <c r="U584" i="28"/>
  <c r="U585" i="28"/>
  <c r="U586" i="28"/>
  <c r="U587" i="28"/>
  <c r="U588" i="28"/>
  <c r="U589" i="28"/>
  <c r="U590" i="28"/>
  <c r="U591" i="28"/>
  <c r="U592" i="28"/>
  <c r="U593" i="28"/>
  <c r="U594" i="28"/>
  <c r="U595" i="28"/>
  <c r="U596" i="28"/>
  <c r="U597" i="28"/>
  <c r="U598" i="28"/>
  <c r="U599" i="28"/>
  <c r="U600" i="28"/>
  <c r="U601" i="28"/>
  <c r="U602" i="28"/>
  <c r="U603" i="28"/>
  <c r="U604" i="28"/>
  <c r="U605" i="28"/>
  <c r="U606" i="28"/>
  <c r="U607" i="28"/>
  <c r="U608" i="28"/>
  <c r="U609" i="28"/>
  <c r="U610" i="28"/>
  <c r="U611" i="28"/>
  <c r="U612" i="28"/>
  <c r="U613" i="28"/>
  <c r="U614" i="28"/>
  <c r="U615" i="28"/>
  <c r="U616" i="28"/>
  <c r="U617" i="28"/>
  <c r="U618" i="28"/>
  <c r="U619" i="28"/>
  <c r="U620" i="28"/>
  <c r="U621" i="28"/>
  <c r="U622" i="28"/>
  <c r="U623" i="28"/>
  <c r="U624" i="28"/>
  <c r="U625" i="28"/>
  <c r="U626" i="28"/>
  <c r="U627" i="28"/>
  <c r="U628" i="28"/>
  <c r="U629" i="28"/>
  <c r="U630" i="28"/>
  <c r="U631" i="28"/>
  <c r="U632" i="28"/>
  <c r="U633" i="28"/>
  <c r="U634" i="28"/>
  <c r="U635" i="28"/>
  <c r="U636" i="28"/>
  <c r="U637" i="28"/>
  <c r="U638" i="28"/>
  <c r="U639" i="28"/>
  <c r="U640" i="28"/>
  <c r="U641" i="28"/>
  <c r="U642" i="28"/>
  <c r="U643" i="28"/>
  <c r="U644" i="28"/>
  <c r="U645" i="28"/>
  <c r="U646" i="28"/>
  <c r="U647" i="28"/>
  <c r="U648" i="28"/>
  <c r="U649" i="28"/>
  <c r="U650" i="28"/>
  <c r="U651" i="28"/>
  <c r="U652" i="28"/>
  <c r="U653" i="28"/>
  <c r="U654" i="28"/>
  <c r="U655" i="28"/>
  <c r="U656" i="28"/>
  <c r="U657" i="28"/>
  <c r="U658" i="28"/>
  <c r="U659" i="28"/>
  <c r="U660" i="28"/>
  <c r="U661" i="28"/>
  <c r="U662" i="28"/>
  <c r="U663" i="28"/>
  <c r="U664" i="28"/>
  <c r="U665" i="28"/>
  <c r="U666" i="28"/>
  <c r="U667" i="28"/>
  <c r="U668" i="28"/>
  <c r="U669" i="28"/>
  <c r="U670" i="28"/>
  <c r="U671" i="28"/>
  <c r="U672" i="28"/>
  <c r="U673" i="28"/>
  <c r="U674" i="28"/>
  <c r="U675" i="28"/>
  <c r="U676" i="28"/>
  <c r="U677" i="28"/>
  <c r="U678" i="28"/>
  <c r="U679" i="28"/>
  <c r="U680" i="28"/>
  <c r="U681" i="28"/>
  <c r="U682" i="28"/>
  <c r="U683" i="28"/>
  <c r="U684" i="28"/>
  <c r="U685" i="28"/>
  <c r="U686" i="28"/>
  <c r="U687" i="28"/>
  <c r="U688" i="28"/>
  <c r="U689" i="28"/>
  <c r="U690" i="28"/>
  <c r="U691" i="28"/>
  <c r="U692" i="28"/>
  <c r="U693" i="28"/>
  <c r="U694" i="28"/>
  <c r="U695" i="28"/>
  <c r="U696" i="28"/>
  <c r="U697" i="28"/>
  <c r="U698" i="28"/>
  <c r="U699" i="28"/>
  <c r="U700" i="28"/>
  <c r="U701" i="28"/>
  <c r="U702" i="28"/>
  <c r="U703" i="28"/>
  <c r="U704" i="28"/>
  <c r="U705" i="28"/>
  <c r="U706" i="28"/>
  <c r="U707" i="28"/>
  <c r="U708" i="28"/>
  <c r="U709" i="28"/>
  <c r="U710" i="28"/>
  <c r="U711" i="28"/>
  <c r="U712" i="28"/>
  <c r="U713" i="28"/>
  <c r="U714" i="28"/>
  <c r="U715" i="28"/>
  <c r="U716" i="28"/>
  <c r="U717" i="28"/>
  <c r="U718" i="28"/>
  <c r="U719" i="28"/>
  <c r="U720" i="28"/>
  <c r="U721" i="28"/>
  <c r="U722" i="28"/>
  <c r="U723" i="28"/>
  <c r="U724" i="28"/>
  <c r="U725" i="28"/>
  <c r="U726" i="28"/>
  <c r="U727" i="28"/>
  <c r="U728" i="28"/>
  <c r="U729" i="28"/>
  <c r="U730" i="28"/>
  <c r="U731" i="28"/>
  <c r="U732" i="28"/>
  <c r="U733" i="28"/>
  <c r="U734" i="28"/>
  <c r="U735" i="28"/>
  <c r="U736" i="28"/>
  <c r="U737" i="28"/>
  <c r="U738" i="28"/>
  <c r="U739" i="28"/>
  <c r="U740" i="28"/>
  <c r="U741" i="28"/>
  <c r="U742" i="28"/>
  <c r="U743" i="28"/>
  <c r="U744" i="28"/>
  <c r="U745" i="28"/>
  <c r="U746" i="28"/>
  <c r="U747" i="28"/>
  <c r="U748" i="28"/>
  <c r="U749" i="28"/>
  <c r="U750" i="28"/>
  <c r="U751" i="28"/>
  <c r="U752" i="28"/>
  <c r="U753" i="28"/>
  <c r="U754" i="28"/>
  <c r="U755" i="28"/>
  <c r="U756" i="28"/>
  <c r="U757" i="28"/>
  <c r="U758" i="28"/>
  <c r="U759" i="28"/>
  <c r="U760" i="28"/>
  <c r="U761" i="28"/>
  <c r="U762" i="28"/>
  <c r="U763" i="28"/>
  <c r="U764" i="28"/>
  <c r="U765" i="28"/>
  <c r="U766" i="28"/>
  <c r="U767" i="28"/>
  <c r="U768" i="28"/>
  <c r="U769" i="28"/>
  <c r="U770" i="28"/>
  <c r="U771" i="28"/>
  <c r="U772" i="28"/>
  <c r="U773" i="28"/>
  <c r="U774" i="28"/>
  <c r="U775" i="28"/>
  <c r="U776" i="28"/>
  <c r="U777" i="28"/>
  <c r="U778" i="28"/>
  <c r="U779" i="28"/>
  <c r="U780" i="28"/>
  <c r="U781" i="28"/>
  <c r="U782" i="28"/>
  <c r="U783" i="28"/>
  <c r="U784" i="28"/>
  <c r="U785" i="28"/>
  <c r="U786" i="28"/>
  <c r="U787" i="28"/>
  <c r="U788" i="28"/>
  <c r="U789" i="28"/>
  <c r="U790" i="28"/>
  <c r="U791" i="28"/>
  <c r="U792" i="28"/>
  <c r="U793" i="28"/>
  <c r="U794" i="28"/>
  <c r="U795" i="28"/>
  <c r="U796" i="28"/>
  <c r="U797" i="28"/>
  <c r="U798" i="28"/>
  <c r="U799" i="28"/>
  <c r="U800" i="28"/>
  <c r="U801" i="28"/>
  <c r="U802" i="28"/>
  <c r="U803" i="28"/>
  <c r="U804" i="28"/>
  <c r="U805" i="28"/>
  <c r="U806" i="28"/>
  <c r="U807" i="28"/>
  <c r="U808" i="28"/>
  <c r="U809" i="28"/>
  <c r="U810" i="28"/>
  <c r="U811" i="28"/>
  <c r="U812" i="28"/>
  <c r="U813" i="28"/>
  <c r="U814" i="28"/>
  <c r="U815" i="28"/>
  <c r="U816" i="28"/>
  <c r="U817" i="28"/>
  <c r="U818" i="28"/>
  <c r="U819" i="28"/>
  <c r="U820" i="28"/>
  <c r="U821" i="28"/>
  <c r="U822" i="28"/>
  <c r="U823" i="28"/>
  <c r="U824" i="28"/>
  <c r="U825" i="28"/>
  <c r="U826" i="28"/>
  <c r="U827" i="28"/>
  <c r="U828" i="28"/>
  <c r="U829" i="28"/>
  <c r="U830" i="28"/>
  <c r="U831" i="28"/>
  <c r="U832" i="28"/>
  <c r="U833" i="28"/>
  <c r="V2" i="28"/>
  <c r="V3" i="28"/>
  <c r="V4" i="28"/>
  <c r="V5" i="28"/>
  <c r="V6" i="28"/>
  <c r="V7" i="28"/>
  <c r="V8" i="28"/>
  <c r="V9" i="28"/>
  <c r="V10" i="28"/>
  <c r="V11" i="28"/>
  <c r="V12" i="28"/>
  <c r="V13" i="28"/>
  <c r="V14" i="28"/>
  <c r="V15" i="28"/>
  <c r="V16" i="28"/>
  <c r="V17" i="28"/>
  <c r="V18" i="28"/>
  <c r="V19" i="28"/>
  <c r="V20" i="28"/>
  <c r="V21" i="28"/>
  <c r="V22" i="28"/>
  <c r="V23" i="28"/>
  <c r="V24" i="28"/>
  <c r="V25" i="28"/>
  <c r="V26" i="28"/>
  <c r="V27" i="28"/>
  <c r="V28" i="28"/>
  <c r="V29" i="28"/>
  <c r="V30" i="28"/>
  <c r="V31" i="28"/>
  <c r="V32" i="28"/>
  <c r="V33" i="28"/>
  <c r="V34" i="28"/>
  <c r="V35" i="28"/>
  <c r="V36" i="28"/>
  <c r="V37" i="28"/>
  <c r="V38" i="28"/>
  <c r="V39" i="28"/>
  <c r="V40" i="28"/>
  <c r="V41" i="28"/>
  <c r="V42" i="28"/>
  <c r="V43" i="28"/>
  <c r="V44" i="28"/>
  <c r="V45" i="28"/>
  <c r="V46" i="28"/>
  <c r="V47" i="28"/>
  <c r="V48" i="28"/>
  <c r="V49" i="28"/>
  <c r="V50" i="28"/>
  <c r="V51" i="28"/>
  <c r="V52" i="28"/>
  <c r="V53" i="28"/>
  <c r="V54" i="28"/>
  <c r="V55" i="28"/>
  <c r="V56" i="28"/>
  <c r="V57" i="28"/>
  <c r="V58" i="28"/>
  <c r="V59" i="28"/>
  <c r="V60" i="28"/>
  <c r="V61" i="28"/>
  <c r="V62" i="28"/>
  <c r="V63" i="28"/>
  <c r="V64" i="28"/>
  <c r="V65" i="28"/>
  <c r="V66" i="28"/>
  <c r="V67" i="28"/>
  <c r="V68" i="28"/>
  <c r="V69" i="28"/>
  <c r="V70" i="28"/>
  <c r="V71" i="28"/>
  <c r="V72" i="28"/>
  <c r="V73" i="28"/>
  <c r="V74" i="28"/>
  <c r="V75" i="28"/>
  <c r="V76" i="28"/>
  <c r="V77" i="28"/>
  <c r="V78" i="28"/>
  <c r="V79" i="28"/>
  <c r="V80" i="28"/>
  <c r="V81" i="28"/>
  <c r="V82" i="28"/>
  <c r="V83" i="28"/>
  <c r="V84" i="28"/>
  <c r="V85" i="28"/>
  <c r="V86" i="28"/>
  <c r="V87" i="28"/>
  <c r="V88" i="28"/>
  <c r="V89" i="28"/>
  <c r="V90" i="28"/>
  <c r="V91" i="28"/>
  <c r="V92" i="28"/>
  <c r="V93" i="28"/>
  <c r="V94" i="28"/>
  <c r="V95" i="28"/>
  <c r="V96" i="28"/>
  <c r="V97" i="28"/>
  <c r="V98" i="28"/>
  <c r="V99" i="28"/>
  <c r="V100" i="28"/>
  <c r="V101" i="28"/>
  <c r="V102" i="28"/>
  <c r="V103" i="28"/>
  <c r="V104" i="28"/>
  <c r="V105" i="28"/>
  <c r="V106" i="28"/>
  <c r="V107" i="28"/>
  <c r="V108" i="28"/>
  <c r="V109" i="28"/>
  <c r="V110" i="28"/>
  <c r="V111" i="28"/>
  <c r="V112" i="28"/>
  <c r="V113" i="28"/>
  <c r="V114" i="28"/>
  <c r="V115" i="28"/>
  <c r="V116" i="28"/>
  <c r="V117" i="28"/>
  <c r="V118" i="28"/>
  <c r="V119" i="28"/>
  <c r="V120" i="28"/>
  <c r="V121" i="28"/>
  <c r="V122" i="28"/>
  <c r="V123" i="28"/>
  <c r="V124" i="28"/>
  <c r="V125" i="28"/>
  <c r="V126" i="28"/>
  <c r="V127" i="28"/>
  <c r="V128" i="28"/>
  <c r="W128" i="28" s="1"/>
  <c r="V129" i="28"/>
  <c r="V130" i="28"/>
  <c r="V131" i="28"/>
  <c r="V132" i="28"/>
  <c r="V133" i="28"/>
  <c r="V134" i="28"/>
  <c r="V135" i="28"/>
  <c r="V136" i="28"/>
  <c r="V137" i="28"/>
  <c r="V138" i="28"/>
  <c r="V139" i="28"/>
  <c r="V140" i="28"/>
  <c r="V141" i="28"/>
  <c r="V142" i="28"/>
  <c r="V143" i="28"/>
  <c r="V144" i="28"/>
  <c r="V145" i="28"/>
  <c r="V146" i="28"/>
  <c r="V147" i="28"/>
  <c r="V148" i="28"/>
  <c r="V149" i="28"/>
  <c r="V150" i="28"/>
  <c r="V151" i="28"/>
  <c r="V152" i="28"/>
  <c r="V153" i="28"/>
  <c r="V154" i="28"/>
  <c r="V155" i="28"/>
  <c r="V156" i="28"/>
  <c r="V157" i="28"/>
  <c r="V158" i="28"/>
  <c r="V159" i="28"/>
  <c r="V160" i="28"/>
  <c r="V161" i="28"/>
  <c r="V162" i="28"/>
  <c r="V163" i="28"/>
  <c r="V164" i="28"/>
  <c r="V165" i="28"/>
  <c r="V166" i="28"/>
  <c r="V167" i="28"/>
  <c r="V168" i="28"/>
  <c r="V169" i="28"/>
  <c r="V170" i="28"/>
  <c r="V171" i="28"/>
  <c r="V172" i="28"/>
  <c r="V173" i="28"/>
  <c r="V174" i="28"/>
  <c r="V175" i="28"/>
  <c r="V176" i="28"/>
  <c r="V177" i="28"/>
  <c r="V178" i="28"/>
  <c r="V179" i="28"/>
  <c r="V180" i="28"/>
  <c r="V181" i="28"/>
  <c r="V182" i="28"/>
  <c r="V183" i="28"/>
  <c r="V184" i="28"/>
  <c r="V185" i="28"/>
  <c r="V186" i="28"/>
  <c r="V187" i="28"/>
  <c r="V188" i="28"/>
  <c r="V189" i="28"/>
  <c r="V190" i="28"/>
  <c r="V191" i="28"/>
  <c r="V192" i="28"/>
  <c r="V193" i="28"/>
  <c r="V194" i="28"/>
  <c r="V195" i="28"/>
  <c r="V196" i="28"/>
  <c r="V197" i="28"/>
  <c r="V198" i="28"/>
  <c r="V199" i="28"/>
  <c r="V200" i="28"/>
  <c r="V201" i="28"/>
  <c r="V202" i="28"/>
  <c r="V203" i="28"/>
  <c r="V204" i="28"/>
  <c r="V205" i="28"/>
  <c r="V206" i="28"/>
  <c r="V207" i="28"/>
  <c r="V208" i="28"/>
  <c r="V209" i="28"/>
  <c r="V210" i="28"/>
  <c r="V211" i="28"/>
  <c r="V212" i="28"/>
  <c r="V213" i="28"/>
  <c r="V214" i="28"/>
  <c r="V215" i="28"/>
  <c r="V216" i="28"/>
  <c r="V217" i="28"/>
  <c r="V218" i="28"/>
  <c r="V219" i="28"/>
  <c r="V220" i="28"/>
  <c r="V221" i="28"/>
  <c r="V222" i="28"/>
  <c r="V223" i="28"/>
  <c r="V224" i="28"/>
  <c r="V225" i="28"/>
  <c r="V226" i="28"/>
  <c r="V227" i="28"/>
  <c r="V228" i="28"/>
  <c r="V229" i="28"/>
  <c r="V230" i="28"/>
  <c r="V231" i="28"/>
  <c r="V232" i="28"/>
  <c r="V233" i="28"/>
  <c r="V234" i="28"/>
  <c r="V235" i="28"/>
  <c r="V236" i="28"/>
  <c r="V237" i="28"/>
  <c r="V238" i="28"/>
  <c r="V239" i="28"/>
  <c r="V240" i="28"/>
  <c r="V241" i="28"/>
  <c r="V242" i="28"/>
  <c r="V243" i="28"/>
  <c r="V244" i="28"/>
  <c r="V245" i="28"/>
  <c r="V246" i="28"/>
  <c r="V247" i="28"/>
  <c r="V248" i="28"/>
  <c r="V249" i="28"/>
  <c r="V250" i="28"/>
  <c r="V251" i="28"/>
  <c r="V252" i="28"/>
  <c r="V253" i="28"/>
  <c r="V254" i="28"/>
  <c r="V255" i="28"/>
  <c r="V256" i="28"/>
  <c r="V257" i="28"/>
  <c r="V258" i="28"/>
  <c r="V259" i="28"/>
  <c r="V260" i="28"/>
  <c r="V261" i="28"/>
  <c r="V262" i="28"/>
  <c r="V263" i="28"/>
  <c r="V264" i="28"/>
  <c r="V265" i="28"/>
  <c r="V266" i="28"/>
  <c r="V267" i="28"/>
  <c r="V268" i="28"/>
  <c r="V269" i="28"/>
  <c r="V270" i="28"/>
  <c r="V271" i="28"/>
  <c r="V272" i="28"/>
  <c r="V273" i="28"/>
  <c r="V274" i="28"/>
  <c r="V275" i="28"/>
  <c r="V276" i="28"/>
  <c r="V277" i="28"/>
  <c r="V278" i="28"/>
  <c r="V279" i="28"/>
  <c r="V280" i="28"/>
  <c r="V281" i="28"/>
  <c r="V282" i="28"/>
  <c r="V283" i="28"/>
  <c r="V284" i="28"/>
  <c r="V285" i="28"/>
  <c r="V286" i="28"/>
  <c r="V287" i="28"/>
  <c r="V288" i="28"/>
  <c r="V289" i="28"/>
  <c r="V290" i="28"/>
  <c r="V291" i="28"/>
  <c r="V292" i="28"/>
  <c r="V293" i="28"/>
  <c r="V294" i="28"/>
  <c r="V295" i="28"/>
  <c r="V296" i="28"/>
  <c r="V297" i="28"/>
  <c r="V298" i="28"/>
  <c r="V299" i="28"/>
  <c r="V300" i="28"/>
  <c r="V301" i="28"/>
  <c r="V302" i="28"/>
  <c r="V303" i="28"/>
  <c r="V304" i="28"/>
  <c r="V305" i="28"/>
  <c r="V306" i="28"/>
  <c r="V307" i="28"/>
  <c r="V308" i="28"/>
  <c r="V309" i="28"/>
  <c r="V310" i="28"/>
  <c r="V311" i="28"/>
  <c r="V312" i="28"/>
  <c r="V313" i="28"/>
  <c r="V314" i="28"/>
  <c r="V315" i="28"/>
  <c r="V316" i="28"/>
  <c r="V317" i="28"/>
  <c r="V318" i="28"/>
  <c r="V319" i="28"/>
  <c r="V320" i="28"/>
  <c r="V321" i="28"/>
  <c r="V322" i="28"/>
  <c r="V323" i="28"/>
  <c r="V324" i="28"/>
  <c r="V325" i="28"/>
  <c r="V326" i="28"/>
  <c r="V327" i="28"/>
  <c r="V328" i="28"/>
  <c r="V329" i="28"/>
  <c r="V330" i="28"/>
  <c r="V331" i="28"/>
  <c r="V332" i="28"/>
  <c r="V333" i="28"/>
  <c r="V334" i="28"/>
  <c r="V335" i="28"/>
  <c r="V336" i="28"/>
  <c r="V337" i="28"/>
  <c r="V338" i="28"/>
  <c r="V339" i="28"/>
  <c r="V340" i="28"/>
  <c r="V341" i="28"/>
  <c r="V342" i="28"/>
  <c r="V343" i="28"/>
  <c r="V344" i="28"/>
  <c r="V345" i="28"/>
  <c r="V346" i="28"/>
  <c r="V347" i="28"/>
  <c r="V348" i="28"/>
  <c r="V349" i="28"/>
  <c r="V350" i="28"/>
  <c r="V351" i="28"/>
  <c r="V352" i="28"/>
  <c r="V353" i="28"/>
  <c r="V354" i="28"/>
  <c r="V355" i="28"/>
  <c r="V356" i="28"/>
  <c r="V357" i="28"/>
  <c r="V358" i="28"/>
  <c r="V359" i="28"/>
  <c r="V360" i="28"/>
  <c r="V361" i="28"/>
  <c r="V362" i="28"/>
  <c r="V363" i="28"/>
  <c r="V364" i="28"/>
  <c r="V365" i="28"/>
  <c r="V366" i="28"/>
  <c r="V367" i="28"/>
  <c r="V368" i="28"/>
  <c r="V369" i="28"/>
  <c r="V370" i="28"/>
  <c r="V371" i="28"/>
  <c r="V372" i="28"/>
  <c r="V373" i="28"/>
  <c r="V374" i="28"/>
  <c r="V375" i="28"/>
  <c r="V376" i="28"/>
  <c r="V377" i="28"/>
  <c r="V378" i="28"/>
  <c r="V379" i="28"/>
  <c r="V380" i="28"/>
  <c r="V381" i="28"/>
  <c r="V382" i="28"/>
  <c r="V383" i="28"/>
  <c r="V384" i="28"/>
  <c r="V385" i="28"/>
  <c r="V386" i="28"/>
  <c r="V387" i="28"/>
  <c r="V388" i="28"/>
  <c r="V389" i="28"/>
  <c r="V390" i="28"/>
  <c r="V391" i="28"/>
  <c r="V392" i="28"/>
  <c r="V393" i="28"/>
  <c r="V394" i="28"/>
  <c r="V395" i="28"/>
  <c r="V396" i="28"/>
  <c r="V397" i="28"/>
  <c r="V398" i="28"/>
  <c r="V399" i="28"/>
  <c r="V400" i="28"/>
  <c r="V401" i="28"/>
  <c r="V402" i="28"/>
  <c r="V403" i="28"/>
  <c r="V404" i="28"/>
  <c r="V405" i="28"/>
  <c r="V406" i="28"/>
  <c r="V407" i="28"/>
  <c r="V408" i="28"/>
  <c r="V409" i="28"/>
  <c r="V410" i="28"/>
  <c r="V411" i="28"/>
  <c r="V412" i="28"/>
  <c r="V413" i="28"/>
  <c r="V414" i="28"/>
  <c r="V415" i="28"/>
  <c r="V416" i="28"/>
  <c r="V417" i="28"/>
  <c r="V418" i="28"/>
  <c r="V419" i="28"/>
  <c r="V420" i="28"/>
  <c r="V421" i="28"/>
  <c r="V422" i="28"/>
  <c r="V423" i="28"/>
  <c r="V424" i="28"/>
  <c r="V425" i="28"/>
  <c r="V426" i="28"/>
  <c r="V427" i="28"/>
  <c r="V428" i="28"/>
  <c r="V429" i="28"/>
  <c r="V430" i="28"/>
  <c r="V431" i="28"/>
  <c r="V432" i="28"/>
  <c r="V433" i="28"/>
  <c r="V434" i="28"/>
  <c r="V435" i="28"/>
  <c r="V436" i="28"/>
  <c r="V437" i="28"/>
  <c r="V438" i="28"/>
  <c r="V439" i="28"/>
  <c r="V440" i="28"/>
  <c r="V441" i="28"/>
  <c r="V442" i="28"/>
  <c r="V443" i="28"/>
  <c r="V444" i="28"/>
  <c r="V445" i="28"/>
  <c r="V446" i="28"/>
  <c r="V447" i="28"/>
  <c r="V448" i="28"/>
  <c r="V449" i="28"/>
  <c r="V450" i="28"/>
  <c r="V451" i="28"/>
  <c r="V452" i="28"/>
  <c r="V453" i="28"/>
  <c r="V454" i="28"/>
  <c r="V455" i="28"/>
  <c r="V456" i="28"/>
  <c r="V457" i="28"/>
  <c r="V458" i="28"/>
  <c r="V459" i="28"/>
  <c r="V460" i="28"/>
  <c r="V461" i="28"/>
  <c r="V462" i="28"/>
  <c r="V463" i="28"/>
  <c r="V464" i="28"/>
  <c r="V465" i="28"/>
  <c r="V466" i="28"/>
  <c r="V467" i="28"/>
  <c r="V468" i="28"/>
  <c r="V469" i="28"/>
  <c r="V470" i="28"/>
  <c r="V471" i="28"/>
  <c r="V472" i="28"/>
  <c r="V473" i="28"/>
  <c r="V474" i="28"/>
  <c r="V475" i="28"/>
  <c r="V476" i="28"/>
  <c r="V477" i="28"/>
  <c r="V478" i="28"/>
  <c r="V479" i="28"/>
  <c r="V480" i="28"/>
  <c r="V481" i="28"/>
  <c r="V482" i="28"/>
  <c r="V483" i="28"/>
  <c r="V484" i="28"/>
  <c r="V485" i="28"/>
  <c r="V486" i="28"/>
  <c r="V487" i="28"/>
  <c r="V488" i="28"/>
  <c r="V489" i="28"/>
  <c r="V490" i="28"/>
  <c r="V491" i="28"/>
  <c r="V492" i="28"/>
  <c r="V493" i="28"/>
  <c r="V494" i="28"/>
  <c r="V495" i="28"/>
  <c r="V496" i="28"/>
  <c r="V497" i="28"/>
  <c r="V498" i="28"/>
  <c r="V499" i="28"/>
  <c r="V500" i="28"/>
  <c r="V501" i="28"/>
  <c r="V502" i="28"/>
  <c r="V503" i="28"/>
  <c r="V504" i="28"/>
  <c r="V505" i="28"/>
  <c r="V506" i="28"/>
  <c r="V507" i="28"/>
  <c r="V508" i="28"/>
  <c r="V509" i="28"/>
  <c r="V510" i="28"/>
  <c r="V511" i="28"/>
  <c r="V512" i="28"/>
  <c r="V513" i="28"/>
  <c r="V514" i="28"/>
  <c r="V515" i="28"/>
  <c r="V516" i="28"/>
  <c r="V517" i="28"/>
  <c r="V518" i="28"/>
  <c r="V519" i="28"/>
  <c r="V520" i="28"/>
  <c r="V521" i="28"/>
  <c r="V522" i="28"/>
  <c r="V523" i="28"/>
  <c r="V524" i="28"/>
  <c r="V525" i="28"/>
  <c r="V526" i="28"/>
  <c r="V527" i="28"/>
  <c r="V528" i="28"/>
  <c r="V529" i="28"/>
  <c r="V530" i="28"/>
  <c r="V531" i="28"/>
  <c r="V532" i="28"/>
  <c r="V533" i="28"/>
  <c r="V534" i="28"/>
  <c r="V535" i="28"/>
  <c r="V536" i="28"/>
  <c r="V537" i="28"/>
  <c r="V538" i="28"/>
  <c r="V539" i="28"/>
  <c r="V540" i="28"/>
  <c r="V541" i="28"/>
  <c r="V542" i="28"/>
  <c r="V543" i="28"/>
  <c r="V544" i="28"/>
  <c r="V545" i="28"/>
  <c r="V546" i="28"/>
  <c r="V547" i="28"/>
  <c r="V548" i="28"/>
  <c r="V549" i="28"/>
  <c r="V550" i="28"/>
  <c r="V551" i="28"/>
  <c r="V552" i="28"/>
  <c r="V553" i="28"/>
  <c r="V554" i="28"/>
  <c r="V555" i="28"/>
  <c r="V556" i="28"/>
  <c r="V557" i="28"/>
  <c r="V558" i="28"/>
  <c r="V559" i="28"/>
  <c r="V560" i="28"/>
  <c r="V561" i="28"/>
  <c r="V562" i="28"/>
  <c r="V563" i="28"/>
  <c r="V564" i="28"/>
  <c r="V565" i="28"/>
  <c r="V566" i="28"/>
  <c r="V567" i="28"/>
  <c r="V568" i="28"/>
  <c r="V569" i="28"/>
  <c r="V570" i="28"/>
  <c r="V571" i="28"/>
  <c r="V572" i="28"/>
  <c r="V573" i="28"/>
  <c r="V574" i="28"/>
  <c r="V575" i="28"/>
  <c r="V576" i="28"/>
  <c r="V577" i="28"/>
  <c r="V578" i="28"/>
  <c r="V579" i="28"/>
  <c r="V580" i="28"/>
  <c r="V581" i="28"/>
  <c r="V582" i="28"/>
  <c r="V583" i="28"/>
  <c r="V584" i="28"/>
  <c r="V585" i="28"/>
  <c r="V586" i="28"/>
  <c r="V587" i="28"/>
  <c r="V588" i="28"/>
  <c r="V589" i="28"/>
  <c r="V590" i="28"/>
  <c r="V591" i="28"/>
  <c r="V592" i="28"/>
  <c r="V593" i="28"/>
  <c r="V594" i="28"/>
  <c r="V595" i="28"/>
  <c r="V596" i="28"/>
  <c r="V597" i="28"/>
  <c r="V598" i="28"/>
  <c r="V599" i="28"/>
  <c r="V600" i="28"/>
  <c r="V601" i="28"/>
  <c r="V602" i="28"/>
  <c r="V603" i="28"/>
  <c r="V604" i="28"/>
  <c r="V605" i="28"/>
  <c r="V606" i="28"/>
  <c r="V607" i="28"/>
  <c r="V608" i="28"/>
  <c r="V609" i="28"/>
  <c r="V610" i="28"/>
  <c r="V611" i="28"/>
  <c r="V612" i="28"/>
  <c r="V613" i="28"/>
  <c r="V614" i="28"/>
  <c r="V615" i="28"/>
  <c r="V616" i="28"/>
  <c r="V617" i="28"/>
  <c r="V618" i="28"/>
  <c r="V619" i="28"/>
  <c r="V620" i="28"/>
  <c r="V621" i="28"/>
  <c r="V622" i="28"/>
  <c r="V623" i="28"/>
  <c r="V624" i="28"/>
  <c r="V625" i="28"/>
  <c r="V626" i="28"/>
  <c r="V627" i="28"/>
  <c r="V628" i="28"/>
  <c r="V629" i="28"/>
  <c r="V630" i="28"/>
  <c r="V631" i="28"/>
  <c r="V632" i="28"/>
  <c r="V633" i="28"/>
  <c r="V634" i="28"/>
  <c r="V635" i="28"/>
  <c r="V636" i="28"/>
  <c r="V637" i="28"/>
  <c r="V638" i="28"/>
  <c r="V639" i="28"/>
  <c r="V640" i="28"/>
  <c r="V641" i="28"/>
  <c r="V642" i="28"/>
  <c r="V643" i="28"/>
  <c r="V644" i="28"/>
  <c r="V645" i="28"/>
  <c r="V646" i="28"/>
  <c r="V647" i="28"/>
  <c r="V648" i="28"/>
  <c r="V649" i="28"/>
  <c r="V650" i="28"/>
  <c r="V651" i="28"/>
  <c r="V652" i="28"/>
  <c r="V653" i="28"/>
  <c r="V654" i="28"/>
  <c r="V655" i="28"/>
  <c r="V656" i="28"/>
  <c r="V657" i="28"/>
  <c r="V658" i="28"/>
  <c r="V659" i="28"/>
  <c r="V660" i="28"/>
  <c r="V661" i="28"/>
  <c r="V662" i="28"/>
  <c r="V663" i="28"/>
  <c r="V664" i="28"/>
  <c r="V665" i="28"/>
  <c r="V666" i="28"/>
  <c r="V667" i="28"/>
  <c r="V668" i="28"/>
  <c r="V669" i="28"/>
  <c r="V670" i="28"/>
  <c r="V671" i="28"/>
  <c r="V672" i="28"/>
  <c r="V673" i="28"/>
  <c r="V674" i="28"/>
  <c r="V675" i="28"/>
  <c r="V676" i="28"/>
  <c r="V677" i="28"/>
  <c r="V678" i="28"/>
  <c r="V679" i="28"/>
  <c r="V680" i="28"/>
  <c r="V681" i="28"/>
  <c r="V682" i="28"/>
  <c r="V683" i="28"/>
  <c r="V684" i="28"/>
  <c r="V685" i="28"/>
  <c r="V686" i="28"/>
  <c r="V687" i="28"/>
  <c r="V688" i="28"/>
  <c r="V689" i="28"/>
  <c r="V690" i="28"/>
  <c r="V691" i="28"/>
  <c r="V692" i="28"/>
  <c r="V693" i="28"/>
  <c r="V694" i="28"/>
  <c r="V695" i="28"/>
  <c r="V696" i="28"/>
  <c r="V697" i="28"/>
  <c r="V698" i="28"/>
  <c r="V699" i="28"/>
  <c r="V700" i="28"/>
  <c r="V701" i="28"/>
  <c r="V702" i="28"/>
  <c r="V703" i="28"/>
  <c r="V704" i="28"/>
  <c r="V705" i="28"/>
  <c r="V706" i="28"/>
  <c r="V707" i="28"/>
  <c r="V708" i="28"/>
  <c r="V709" i="28"/>
  <c r="V710" i="28"/>
  <c r="V711" i="28"/>
  <c r="V712" i="28"/>
  <c r="V713" i="28"/>
  <c r="V714" i="28"/>
  <c r="V715" i="28"/>
  <c r="V716" i="28"/>
  <c r="V717" i="28"/>
  <c r="V718" i="28"/>
  <c r="V719" i="28"/>
  <c r="V720" i="28"/>
  <c r="V721" i="28"/>
  <c r="V722" i="28"/>
  <c r="V723" i="28"/>
  <c r="V724" i="28"/>
  <c r="V725" i="28"/>
  <c r="V726" i="28"/>
  <c r="V727" i="28"/>
  <c r="V728" i="28"/>
  <c r="V729" i="28"/>
  <c r="V730" i="28"/>
  <c r="V731" i="28"/>
  <c r="V732" i="28"/>
  <c r="V733" i="28"/>
  <c r="V734" i="28"/>
  <c r="V735" i="28"/>
  <c r="V736" i="28"/>
  <c r="V737" i="28"/>
  <c r="V738" i="28"/>
  <c r="V739" i="28"/>
  <c r="V740" i="28"/>
  <c r="V741" i="28"/>
  <c r="V742" i="28"/>
  <c r="V743" i="28"/>
  <c r="V744" i="28"/>
  <c r="V745" i="28"/>
  <c r="V746" i="28"/>
  <c r="V747" i="28"/>
  <c r="V748" i="28"/>
  <c r="V749" i="28"/>
  <c r="V750" i="28"/>
  <c r="V751" i="28"/>
  <c r="V752" i="28"/>
  <c r="V753" i="28"/>
  <c r="V754" i="28"/>
  <c r="V755" i="28"/>
  <c r="V756" i="28"/>
  <c r="V757" i="28"/>
  <c r="V758" i="28"/>
  <c r="V759" i="28"/>
  <c r="V760" i="28"/>
  <c r="V761" i="28"/>
  <c r="V762" i="28"/>
  <c r="V763" i="28"/>
  <c r="V764" i="28"/>
  <c r="V765" i="28"/>
  <c r="V766" i="28"/>
  <c r="V767" i="28"/>
  <c r="V768" i="28"/>
  <c r="V769" i="28"/>
  <c r="V770" i="28"/>
  <c r="V771" i="28"/>
  <c r="V772" i="28"/>
  <c r="V773" i="28"/>
  <c r="V774" i="28"/>
  <c r="V775" i="28"/>
  <c r="V776" i="28"/>
  <c r="V777" i="28"/>
  <c r="V778" i="28"/>
  <c r="V779" i="28"/>
  <c r="V780" i="28"/>
  <c r="V781" i="28"/>
  <c r="V782" i="28"/>
  <c r="V783" i="28"/>
  <c r="V784" i="28"/>
  <c r="V785" i="28"/>
  <c r="V786" i="28"/>
  <c r="V787" i="28"/>
  <c r="V788" i="28"/>
  <c r="V789" i="28"/>
  <c r="V790" i="28"/>
  <c r="V791" i="28"/>
  <c r="V792" i="28"/>
  <c r="V793" i="28"/>
  <c r="V794" i="28"/>
  <c r="V795" i="28"/>
  <c r="V796" i="28"/>
  <c r="V797" i="28"/>
  <c r="V798" i="28"/>
  <c r="V799" i="28"/>
  <c r="V800" i="28"/>
  <c r="V801" i="28"/>
  <c r="V802" i="28"/>
  <c r="V803" i="28"/>
  <c r="V804" i="28"/>
  <c r="V805" i="28"/>
  <c r="V806" i="28"/>
  <c r="V807" i="28"/>
  <c r="V808" i="28"/>
  <c r="V809" i="28"/>
  <c r="V810" i="28"/>
  <c r="V811" i="28"/>
  <c r="V812" i="28"/>
  <c r="V813" i="28"/>
  <c r="V814" i="28"/>
  <c r="V815" i="28"/>
  <c r="V816" i="28"/>
  <c r="V817" i="28"/>
  <c r="V818" i="28"/>
  <c r="V819" i="28"/>
  <c r="V820" i="28"/>
  <c r="V821" i="28"/>
  <c r="V822" i="28"/>
  <c r="V823" i="28"/>
  <c r="V824" i="28"/>
  <c r="V825" i="28"/>
  <c r="V826" i="28"/>
  <c r="V827" i="28"/>
  <c r="V828" i="28"/>
  <c r="V829" i="28"/>
  <c r="V830" i="28"/>
  <c r="V831" i="28"/>
  <c r="V832" i="28"/>
  <c r="V833" i="28"/>
  <c r="W2" i="28"/>
  <c r="W3" i="28"/>
  <c r="W4" i="28"/>
  <c r="W5" i="28"/>
  <c r="W6" i="28"/>
  <c r="W7" i="28"/>
  <c r="W8" i="28"/>
  <c r="W9" i="28"/>
  <c r="W10" i="28"/>
  <c r="W11" i="28"/>
  <c r="W12" i="28"/>
  <c r="W13" i="28"/>
  <c r="W14" i="28"/>
  <c r="W15" i="28"/>
  <c r="W16" i="28"/>
  <c r="W17" i="28"/>
  <c r="W18" i="28"/>
  <c r="W19" i="28"/>
  <c r="W20" i="28"/>
  <c r="W21" i="28"/>
  <c r="W22" i="28"/>
  <c r="W23" i="28"/>
  <c r="W24" i="28"/>
  <c r="W25" i="28"/>
  <c r="W26" i="28"/>
  <c r="W27" i="28"/>
  <c r="W28" i="28"/>
  <c r="W29" i="28"/>
  <c r="W30" i="28"/>
  <c r="W31" i="28"/>
  <c r="W32" i="28"/>
  <c r="W33" i="28"/>
  <c r="W34" i="28"/>
  <c r="W35" i="28"/>
  <c r="W36" i="28"/>
  <c r="W37" i="28"/>
  <c r="W38" i="28"/>
  <c r="W39" i="28"/>
  <c r="W40" i="28"/>
  <c r="W41" i="28"/>
  <c r="W42" i="28"/>
  <c r="W43" i="28"/>
  <c r="W44" i="28"/>
  <c r="W45" i="28"/>
  <c r="W46" i="28"/>
  <c r="W47" i="28"/>
  <c r="W48" i="28"/>
  <c r="W49" i="28"/>
  <c r="W50" i="28"/>
  <c r="W51" i="28"/>
  <c r="W52" i="28"/>
  <c r="W53" i="28"/>
  <c r="W54" i="28"/>
  <c r="W55" i="28"/>
  <c r="W56" i="28"/>
  <c r="W57" i="28"/>
  <c r="W58" i="28"/>
  <c r="W59" i="28"/>
  <c r="W60" i="28"/>
  <c r="W61" i="28"/>
  <c r="W62" i="28"/>
  <c r="W63" i="28"/>
  <c r="W64" i="28"/>
  <c r="W65" i="28"/>
  <c r="W66" i="28"/>
  <c r="W67" i="28"/>
  <c r="W68" i="28"/>
  <c r="W69" i="28"/>
  <c r="W70" i="28"/>
  <c r="W71" i="28"/>
  <c r="W72" i="28"/>
  <c r="W73" i="28"/>
  <c r="W74" i="28"/>
  <c r="W75" i="28"/>
  <c r="W76" i="28"/>
  <c r="W77" i="28"/>
  <c r="W78" i="28"/>
  <c r="W79" i="28"/>
  <c r="W80" i="28"/>
  <c r="W81" i="28"/>
  <c r="W82" i="28"/>
  <c r="W83" i="28"/>
  <c r="W84" i="28"/>
  <c r="W85" i="28"/>
  <c r="W86" i="28"/>
  <c r="W87" i="28"/>
  <c r="W88" i="28"/>
  <c r="W89" i="28"/>
  <c r="W90" i="28"/>
  <c r="W91" i="28"/>
  <c r="W92" i="28"/>
  <c r="W93" i="28"/>
  <c r="W94" i="28"/>
  <c r="W95" i="28"/>
  <c r="W96" i="28"/>
  <c r="W97" i="28"/>
  <c r="W98" i="28"/>
  <c r="W99" i="28"/>
  <c r="W100" i="28"/>
  <c r="W101" i="28"/>
  <c r="W102" i="28"/>
  <c r="W103" i="28"/>
  <c r="W104" i="28"/>
  <c r="W105" i="28"/>
  <c r="W106" i="28"/>
  <c r="W107" i="28"/>
  <c r="W108" i="28"/>
  <c r="W109" i="28"/>
  <c r="W110" i="28"/>
  <c r="W111" i="28"/>
  <c r="W112" i="28"/>
  <c r="W113" i="28"/>
  <c r="W114" i="28"/>
  <c r="W115" i="28"/>
  <c r="W116" i="28"/>
  <c r="W117" i="28"/>
  <c r="W118" i="28"/>
  <c r="W119" i="28"/>
  <c r="W120" i="28"/>
  <c r="W121" i="28"/>
  <c r="W122" i="28"/>
  <c r="W123" i="28"/>
  <c r="W124" i="28"/>
  <c r="W125" i="28"/>
  <c r="W126" i="28"/>
  <c r="W127" i="28"/>
  <c r="W129" i="28"/>
  <c r="W130" i="28"/>
  <c r="W131" i="28"/>
  <c r="W132" i="28"/>
  <c r="W133" i="28"/>
  <c r="W134" i="28"/>
  <c r="W135" i="28"/>
  <c r="W136" i="28"/>
  <c r="W137" i="28"/>
  <c r="W138" i="28"/>
  <c r="W139" i="28"/>
  <c r="W140" i="28"/>
  <c r="W141" i="28"/>
  <c r="W142" i="28"/>
  <c r="W143" i="28"/>
  <c r="W144" i="28"/>
  <c r="W145" i="28"/>
  <c r="W146" i="28"/>
  <c r="W147" i="28"/>
  <c r="W148" i="28"/>
  <c r="W149" i="28"/>
  <c r="W150" i="28"/>
  <c r="W151" i="28"/>
  <c r="W152" i="28"/>
  <c r="W153" i="28"/>
  <c r="W154" i="28"/>
  <c r="W155" i="28"/>
  <c r="W156" i="28"/>
  <c r="W157" i="28"/>
  <c r="W158" i="28"/>
  <c r="W159" i="28"/>
  <c r="W160" i="28"/>
  <c r="W161" i="28"/>
  <c r="W162" i="28"/>
  <c r="W163" i="28"/>
  <c r="W164" i="28"/>
  <c r="W165" i="28"/>
  <c r="W166" i="28"/>
  <c r="W167" i="28"/>
  <c r="W168" i="28"/>
  <c r="W169" i="28"/>
  <c r="W170" i="28"/>
  <c r="W171" i="28"/>
  <c r="W172" i="28"/>
  <c r="W173" i="28"/>
  <c r="W174" i="28"/>
  <c r="W175" i="28"/>
  <c r="W176" i="28"/>
  <c r="W177" i="28"/>
  <c r="W178" i="28"/>
  <c r="W179" i="28"/>
  <c r="W180" i="28"/>
  <c r="W181" i="28"/>
  <c r="W182" i="28"/>
  <c r="W183" i="28"/>
  <c r="W184" i="28"/>
  <c r="W185" i="28"/>
  <c r="W186" i="28"/>
  <c r="W187" i="28"/>
  <c r="W188" i="28"/>
  <c r="W189" i="28"/>
  <c r="W190" i="28"/>
  <c r="W191" i="28"/>
  <c r="W192" i="28"/>
  <c r="W193" i="28"/>
  <c r="W194" i="28"/>
  <c r="W195" i="28"/>
  <c r="W196" i="28"/>
  <c r="W197" i="28"/>
  <c r="W198" i="28"/>
  <c r="W199" i="28"/>
  <c r="W200" i="28"/>
  <c r="W201" i="28"/>
  <c r="W202" i="28"/>
  <c r="W203" i="28"/>
  <c r="W204" i="28"/>
  <c r="W205" i="28"/>
  <c r="W206" i="28"/>
  <c r="W207" i="28"/>
  <c r="W208" i="28"/>
  <c r="W209" i="28"/>
  <c r="W210" i="28"/>
  <c r="W211" i="28"/>
  <c r="W212" i="28"/>
  <c r="W213" i="28"/>
  <c r="W214" i="28"/>
  <c r="W215" i="28"/>
  <c r="W216" i="28"/>
  <c r="W217" i="28"/>
  <c r="W218" i="28"/>
  <c r="W219" i="28"/>
  <c r="W220" i="28"/>
  <c r="W221" i="28"/>
  <c r="W222" i="28"/>
  <c r="W223" i="28"/>
  <c r="W224" i="28"/>
  <c r="W225" i="28"/>
  <c r="W226" i="28"/>
  <c r="W227" i="28"/>
  <c r="W228" i="28"/>
  <c r="W229" i="28"/>
  <c r="W230" i="28"/>
  <c r="W231" i="28"/>
  <c r="W232" i="28"/>
  <c r="W233" i="28"/>
  <c r="W234" i="28"/>
  <c r="W235" i="28"/>
  <c r="W236" i="28"/>
  <c r="W237" i="28"/>
  <c r="W238" i="28"/>
  <c r="W239" i="28"/>
  <c r="W240" i="28"/>
  <c r="W241" i="28"/>
  <c r="W242" i="28"/>
  <c r="W243" i="28"/>
  <c r="W244" i="28"/>
  <c r="W245" i="28"/>
  <c r="W246" i="28"/>
  <c r="W247" i="28"/>
  <c r="W248" i="28"/>
  <c r="W249" i="28"/>
  <c r="W250" i="28"/>
  <c r="W251" i="28"/>
  <c r="W252" i="28"/>
  <c r="W253" i="28"/>
  <c r="W254" i="28"/>
  <c r="W255" i="28"/>
  <c r="W256" i="28"/>
  <c r="W257" i="28"/>
  <c r="W258" i="28"/>
  <c r="W259" i="28"/>
  <c r="W260" i="28"/>
  <c r="W261" i="28"/>
  <c r="W262" i="28"/>
  <c r="W263" i="28"/>
  <c r="W264" i="28"/>
  <c r="W265" i="28"/>
  <c r="W266" i="28"/>
  <c r="W267" i="28"/>
  <c r="W268" i="28"/>
  <c r="W269" i="28"/>
  <c r="W270" i="28"/>
  <c r="W271" i="28"/>
  <c r="W272" i="28"/>
  <c r="W273" i="28"/>
  <c r="W274" i="28"/>
  <c r="W275" i="28"/>
  <c r="W276" i="28"/>
  <c r="W277" i="28"/>
  <c r="W278" i="28"/>
  <c r="W279" i="28"/>
  <c r="W280" i="28"/>
  <c r="W281" i="28"/>
  <c r="W282" i="28"/>
  <c r="W283" i="28"/>
  <c r="W284" i="28"/>
  <c r="W285" i="28"/>
  <c r="W286" i="28"/>
  <c r="W287" i="28"/>
  <c r="W288" i="28"/>
  <c r="W289" i="28"/>
  <c r="W290" i="28"/>
  <c r="W291" i="28"/>
  <c r="W292" i="28"/>
  <c r="W293" i="28"/>
  <c r="W294" i="28"/>
  <c r="W295" i="28"/>
  <c r="W296" i="28"/>
  <c r="W297" i="28"/>
  <c r="W298" i="28"/>
  <c r="W299" i="28"/>
  <c r="W300" i="28"/>
  <c r="W301" i="28"/>
  <c r="W302" i="28"/>
  <c r="W303" i="28"/>
  <c r="W304" i="28"/>
  <c r="W305" i="28"/>
  <c r="W306" i="28"/>
  <c r="W307" i="28"/>
  <c r="W308" i="28"/>
  <c r="W309" i="28"/>
  <c r="W310" i="28"/>
  <c r="W311" i="28"/>
  <c r="W312" i="28"/>
  <c r="W313" i="28"/>
  <c r="W314" i="28"/>
  <c r="W315" i="28"/>
  <c r="W316" i="28"/>
  <c r="W317" i="28"/>
  <c r="W318" i="28"/>
  <c r="W319" i="28"/>
  <c r="W320" i="28"/>
  <c r="W321" i="28"/>
  <c r="W322" i="28"/>
  <c r="W323" i="28"/>
  <c r="W324" i="28"/>
  <c r="W325" i="28"/>
  <c r="W326" i="28"/>
  <c r="W327" i="28"/>
  <c r="W328" i="28"/>
  <c r="W329" i="28"/>
  <c r="W330" i="28"/>
  <c r="W331" i="28"/>
  <c r="W332" i="28"/>
  <c r="W333" i="28"/>
  <c r="W334" i="28"/>
  <c r="W335" i="28"/>
  <c r="W336" i="28"/>
  <c r="W337" i="28"/>
  <c r="W338" i="28"/>
  <c r="W339" i="28"/>
  <c r="W340" i="28"/>
  <c r="W341" i="28"/>
  <c r="W342" i="28"/>
  <c r="W343" i="28"/>
  <c r="W344" i="28"/>
  <c r="W345" i="28"/>
  <c r="W346" i="28"/>
  <c r="W347" i="28"/>
  <c r="W348" i="28"/>
  <c r="W349" i="28"/>
  <c r="W350" i="28"/>
  <c r="W351" i="28"/>
  <c r="W352" i="28"/>
  <c r="W353" i="28"/>
  <c r="W354" i="28"/>
  <c r="W355" i="28"/>
  <c r="W356" i="28"/>
  <c r="W357" i="28"/>
  <c r="W358" i="28"/>
  <c r="W359" i="28"/>
  <c r="W360" i="28"/>
  <c r="W361" i="28"/>
  <c r="W362" i="28"/>
  <c r="W363" i="28"/>
  <c r="W364" i="28"/>
  <c r="W365" i="28"/>
  <c r="W366" i="28"/>
  <c r="W367" i="28"/>
  <c r="W368" i="28"/>
  <c r="W369" i="28"/>
  <c r="W370" i="28"/>
  <c r="W371" i="28"/>
  <c r="W372" i="28"/>
  <c r="W373" i="28"/>
  <c r="W374" i="28"/>
  <c r="W375" i="28"/>
  <c r="W376" i="28"/>
  <c r="W377" i="28"/>
  <c r="W378" i="28"/>
  <c r="W379" i="28"/>
  <c r="W380" i="28"/>
  <c r="W381" i="28"/>
  <c r="W382" i="28"/>
  <c r="W383" i="28"/>
  <c r="W384" i="28"/>
  <c r="W385" i="28"/>
  <c r="W386" i="28"/>
  <c r="W387" i="28"/>
  <c r="W388" i="28"/>
  <c r="W389" i="28"/>
  <c r="W390" i="28"/>
  <c r="W391" i="28"/>
  <c r="W392" i="28"/>
  <c r="W393" i="28"/>
  <c r="W394" i="28"/>
  <c r="W395" i="28"/>
  <c r="W396" i="28"/>
  <c r="W397" i="28"/>
  <c r="W398" i="28"/>
  <c r="W399" i="28"/>
  <c r="W400" i="28"/>
  <c r="W401" i="28"/>
  <c r="W402" i="28"/>
  <c r="W403" i="28"/>
  <c r="W404" i="28"/>
  <c r="W405" i="28"/>
  <c r="W406" i="28"/>
  <c r="W407" i="28"/>
  <c r="W408" i="28"/>
  <c r="W409" i="28"/>
  <c r="W410" i="28"/>
  <c r="W411" i="28"/>
  <c r="W412" i="28"/>
  <c r="W413" i="28"/>
  <c r="W414" i="28"/>
  <c r="W415" i="28"/>
  <c r="W416" i="28"/>
  <c r="W417" i="28"/>
  <c r="W418" i="28"/>
  <c r="W419" i="28"/>
  <c r="W420" i="28"/>
  <c r="W421" i="28"/>
  <c r="W422" i="28"/>
  <c r="W423" i="28"/>
  <c r="W424" i="28"/>
  <c r="W425" i="28"/>
  <c r="W426" i="28"/>
  <c r="W427" i="28"/>
  <c r="W428" i="28"/>
  <c r="W429" i="28"/>
  <c r="W430" i="28"/>
  <c r="W431" i="28"/>
  <c r="W432" i="28"/>
  <c r="W433" i="28"/>
  <c r="W434" i="28"/>
  <c r="W435" i="28"/>
  <c r="W436" i="28"/>
  <c r="W437" i="28"/>
  <c r="W438" i="28"/>
  <c r="W439" i="28"/>
  <c r="W440" i="28"/>
  <c r="W441" i="28"/>
  <c r="W442" i="28"/>
  <c r="W443" i="28"/>
  <c r="W444" i="28"/>
  <c r="W445" i="28"/>
  <c r="W446" i="28"/>
  <c r="W447" i="28"/>
  <c r="W448" i="28"/>
  <c r="W449" i="28"/>
  <c r="W450" i="28"/>
  <c r="W451" i="28"/>
  <c r="W452" i="28"/>
  <c r="W453" i="28"/>
  <c r="W454" i="28"/>
  <c r="W455" i="28"/>
  <c r="W456" i="28"/>
  <c r="W457" i="28"/>
  <c r="W458" i="28"/>
  <c r="W459" i="28"/>
  <c r="W460" i="28"/>
  <c r="W461" i="28"/>
  <c r="W462" i="28"/>
  <c r="W463" i="28"/>
  <c r="W464" i="28"/>
  <c r="W465" i="28"/>
  <c r="W466" i="28"/>
  <c r="W467" i="28"/>
  <c r="W468" i="28"/>
  <c r="W469" i="28"/>
  <c r="W470" i="28"/>
  <c r="W471" i="28"/>
  <c r="W472" i="28"/>
  <c r="W473" i="28"/>
  <c r="W474" i="28"/>
  <c r="W475" i="28"/>
  <c r="W476" i="28"/>
  <c r="W477" i="28"/>
  <c r="W478" i="28"/>
  <c r="W479" i="28"/>
  <c r="W480" i="28"/>
  <c r="W481" i="28"/>
  <c r="W482" i="28"/>
  <c r="W483" i="28"/>
  <c r="W484" i="28"/>
  <c r="W485" i="28"/>
  <c r="W486" i="28"/>
  <c r="W487" i="28"/>
  <c r="W488" i="28"/>
  <c r="W489" i="28"/>
  <c r="W490" i="28"/>
  <c r="W491" i="28"/>
  <c r="W492" i="28"/>
  <c r="W493" i="28"/>
  <c r="W494" i="28"/>
  <c r="W495" i="28"/>
  <c r="W496" i="28"/>
  <c r="W497" i="28"/>
  <c r="W498" i="28"/>
  <c r="W499" i="28"/>
  <c r="W500" i="28"/>
  <c r="W501" i="28"/>
  <c r="W502" i="28"/>
  <c r="W503" i="28"/>
  <c r="W504" i="28"/>
  <c r="W505" i="28"/>
  <c r="W506" i="28"/>
  <c r="W507" i="28"/>
  <c r="W508" i="28"/>
  <c r="W509" i="28"/>
  <c r="W510" i="28"/>
  <c r="W511" i="28"/>
  <c r="W512" i="28"/>
  <c r="W513" i="28"/>
  <c r="W514" i="28"/>
  <c r="W515" i="28"/>
  <c r="W516" i="28"/>
  <c r="W517" i="28"/>
  <c r="W518" i="28"/>
  <c r="W519" i="28"/>
  <c r="W520" i="28"/>
  <c r="W521" i="28"/>
  <c r="W522" i="28"/>
  <c r="W523" i="28"/>
  <c r="W524" i="28"/>
  <c r="W525" i="28"/>
  <c r="W526" i="28"/>
  <c r="W527" i="28"/>
  <c r="W528" i="28"/>
  <c r="W529" i="28"/>
  <c r="W530" i="28"/>
  <c r="W531" i="28"/>
  <c r="W532" i="28"/>
  <c r="W533" i="28"/>
  <c r="W534" i="28"/>
  <c r="W535" i="28"/>
  <c r="W536" i="28"/>
  <c r="W537" i="28"/>
  <c r="W538" i="28"/>
  <c r="W539" i="28"/>
  <c r="W540" i="28"/>
  <c r="W541" i="28"/>
  <c r="W542" i="28"/>
  <c r="W543" i="28"/>
  <c r="W544" i="28"/>
  <c r="W545" i="28"/>
  <c r="W546" i="28"/>
  <c r="W547" i="28"/>
  <c r="W548" i="28"/>
  <c r="W549" i="28"/>
  <c r="W550" i="28"/>
  <c r="W551" i="28"/>
  <c r="W552" i="28"/>
  <c r="W553" i="28"/>
  <c r="W554" i="28"/>
  <c r="W555" i="28"/>
  <c r="W556" i="28"/>
  <c r="W557" i="28"/>
  <c r="W558" i="28"/>
  <c r="W559" i="28"/>
  <c r="W560" i="28"/>
  <c r="W561" i="28"/>
  <c r="W562" i="28"/>
  <c r="W563" i="28"/>
  <c r="W564" i="28"/>
  <c r="W565" i="28"/>
  <c r="W566" i="28"/>
  <c r="W567" i="28"/>
  <c r="W568" i="28"/>
  <c r="W569" i="28"/>
  <c r="W570" i="28"/>
  <c r="W571" i="28"/>
  <c r="W572" i="28"/>
  <c r="W573" i="28"/>
  <c r="W574" i="28"/>
  <c r="W575" i="28"/>
  <c r="W576" i="28"/>
  <c r="W577" i="28"/>
  <c r="W578" i="28"/>
  <c r="W579" i="28"/>
  <c r="W580" i="28"/>
  <c r="W581" i="28"/>
  <c r="W582" i="28"/>
  <c r="W583" i="28"/>
  <c r="W584" i="28"/>
  <c r="W585" i="28"/>
  <c r="W586" i="28"/>
  <c r="W587" i="28"/>
  <c r="W588" i="28"/>
  <c r="W589" i="28"/>
  <c r="W590" i="28"/>
  <c r="W591" i="28"/>
  <c r="W592" i="28"/>
  <c r="W593" i="28"/>
  <c r="W594" i="28"/>
  <c r="W595" i="28"/>
  <c r="W596" i="28"/>
  <c r="W597" i="28"/>
  <c r="W598" i="28"/>
  <c r="W599" i="28"/>
  <c r="W600" i="28"/>
  <c r="W601" i="28"/>
  <c r="W602" i="28"/>
  <c r="W603" i="28"/>
  <c r="W604" i="28"/>
  <c r="W605" i="28"/>
  <c r="W606" i="28"/>
  <c r="W607" i="28"/>
  <c r="W608" i="28"/>
  <c r="W609" i="28"/>
  <c r="W610" i="28"/>
  <c r="W611" i="28"/>
  <c r="W612" i="28"/>
  <c r="W613" i="28"/>
  <c r="W614" i="28"/>
  <c r="W615" i="28"/>
  <c r="W616" i="28"/>
  <c r="W617" i="28"/>
  <c r="W618" i="28"/>
  <c r="W619" i="28"/>
  <c r="W620" i="28"/>
  <c r="W621" i="28"/>
  <c r="W622" i="28"/>
  <c r="W623" i="28"/>
  <c r="W624" i="28"/>
  <c r="W625" i="28"/>
  <c r="W626" i="28"/>
  <c r="W627" i="28"/>
  <c r="W628" i="28"/>
  <c r="W629" i="28"/>
  <c r="W630" i="28"/>
  <c r="W631" i="28"/>
  <c r="W632" i="28"/>
  <c r="W633" i="28"/>
  <c r="W634" i="28"/>
  <c r="W635" i="28"/>
  <c r="W636" i="28"/>
  <c r="W637" i="28"/>
  <c r="W638" i="28"/>
  <c r="W639" i="28"/>
  <c r="W640" i="28"/>
  <c r="W641" i="28"/>
  <c r="W642" i="28"/>
  <c r="W643" i="28"/>
  <c r="W644" i="28"/>
  <c r="W645" i="28"/>
  <c r="W646" i="28"/>
  <c r="W647" i="28"/>
  <c r="W648" i="28"/>
  <c r="W649" i="28"/>
  <c r="W650" i="28"/>
  <c r="W651" i="28"/>
  <c r="W652" i="28"/>
  <c r="W653" i="28"/>
  <c r="W654" i="28"/>
  <c r="W655" i="28"/>
  <c r="W656" i="28"/>
  <c r="W657" i="28"/>
  <c r="W658" i="28"/>
  <c r="W659" i="28"/>
  <c r="W660" i="28"/>
  <c r="W661" i="28"/>
  <c r="W662" i="28"/>
  <c r="W663" i="28"/>
  <c r="W664" i="28"/>
  <c r="W665" i="28"/>
  <c r="W666" i="28"/>
  <c r="W667" i="28"/>
  <c r="W668" i="28"/>
  <c r="W669" i="28"/>
  <c r="W670" i="28"/>
  <c r="W671" i="28"/>
  <c r="W672" i="28"/>
  <c r="W673" i="28"/>
  <c r="W674" i="28"/>
  <c r="W675" i="28"/>
  <c r="W676" i="28"/>
  <c r="W677" i="28"/>
  <c r="W678" i="28"/>
  <c r="W679" i="28"/>
  <c r="W680" i="28"/>
  <c r="W681" i="28"/>
  <c r="W682" i="28"/>
  <c r="W683" i="28"/>
  <c r="W684" i="28"/>
  <c r="W685" i="28"/>
  <c r="W686" i="28"/>
  <c r="W687" i="28"/>
  <c r="W688" i="28"/>
  <c r="W689" i="28"/>
  <c r="W690" i="28"/>
  <c r="W691" i="28"/>
  <c r="W692" i="28"/>
  <c r="W693" i="28"/>
  <c r="W694" i="28"/>
  <c r="W695" i="28"/>
  <c r="W696" i="28"/>
  <c r="W697" i="28"/>
  <c r="W698" i="28"/>
  <c r="W699" i="28"/>
  <c r="W700" i="28"/>
  <c r="W701" i="28"/>
  <c r="W702" i="28"/>
  <c r="W703" i="28"/>
  <c r="W704" i="28"/>
  <c r="W705" i="28"/>
  <c r="W706" i="28"/>
  <c r="W707" i="28"/>
  <c r="W708" i="28"/>
  <c r="W709" i="28"/>
  <c r="W710" i="28"/>
  <c r="W711" i="28"/>
  <c r="W712" i="28"/>
  <c r="W713" i="28"/>
  <c r="W714" i="28"/>
  <c r="W715" i="28"/>
  <c r="W716" i="28"/>
  <c r="W717" i="28"/>
  <c r="W718" i="28"/>
  <c r="W719" i="28"/>
  <c r="W720" i="28"/>
  <c r="W721" i="28"/>
  <c r="W722" i="28"/>
  <c r="W723" i="28"/>
  <c r="W724" i="28"/>
  <c r="W725" i="28"/>
  <c r="W726" i="28"/>
  <c r="W727" i="28"/>
  <c r="W728" i="28"/>
  <c r="W729" i="28"/>
  <c r="W730" i="28"/>
  <c r="W731" i="28"/>
  <c r="W732" i="28"/>
  <c r="W733" i="28"/>
  <c r="W734" i="28"/>
  <c r="W735" i="28"/>
  <c r="W736" i="28"/>
  <c r="W737" i="28"/>
  <c r="W738" i="28"/>
  <c r="W739" i="28"/>
  <c r="W740" i="28"/>
  <c r="W741" i="28"/>
  <c r="W742" i="28"/>
  <c r="W743" i="28"/>
  <c r="W744" i="28"/>
  <c r="W745" i="28"/>
  <c r="W746" i="28"/>
  <c r="W747" i="28"/>
  <c r="W748" i="28"/>
  <c r="W749" i="28"/>
  <c r="W750" i="28"/>
  <c r="W751" i="28"/>
  <c r="W752" i="28"/>
  <c r="W753" i="28"/>
  <c r="W754" i="28"/>
  <c r="W755" i="28"/>
  <c r="W756" i="28"/>
  <c r="W757" i="28"/>
  <c r="W758" i="28"/>
  <c r="W759" i="28"/>
  <c r="W760" i="28"/>
  <c r="W761" i="28"/>
  <c r="W762" i="28"/>
  <c r="W763" i="28"/>
  <c r="W764" i="28"/>
  <c r="W765" i="28"/>
  <c r="W766" i="28"/>
  <c r="W767" i="28"/>
  <c r="W768" i="28"/>
  <c r="W769" i="28"/>
  <c r="W770" i="28"/>
  <c r="W771" i="28"/>
  <c r="W772" i="28"/>
  <c r="W773" i="28"/>
  <c r="W774" i="28"/>
  <c r="W775" i="28"/>
  <c r="W776" i="28"/>
  <c r="W777" i="28"/>
  <c r="W778" i="28"/>
  <c r="W779" i="28"/>
  <c r="W780" i="28"/>
  <c r="W781" i="28"/>
  <c r="W782" i="28"/>
  <c r="W783" i="28"/>
  <c r="W784" i="28"/>
  <c r="W785" i="28"/>
  <c r="W786" i="28"/>
  <c r="W787" i="28"/>
  <c r="W788" i="28"/>
  <c r="W789" i="28"/>
  <c r="W790" i="28"/>
  <c r="W791" i="28"/>
  <c r="W792" i="28"/>
  <c r="W793" i="28"/>
  <c r="W794" i="28"/>
  <c r="W795" i="28"/>
  <c r="W796" i="28"/>
  <c r="W797" i="28"/>
  <c r="W798" i="28"/>
  <c r="W799" i="28"/>
  <c r="W800" i="28"/>
  <c r="W801" i="28"/>
  <c r="W802" i="28"/>
  <c r="W803" i="28"/>
  <c r="W804" i="28"/>
  <c r="W805" i="28"/>
  <c r="W806" i="28"/>
  <c r="W807" i="28"/>
  <c r="W808" i="28"/>
  <c r="W809" i="28"/>
  <c r="W810" i="28"/>
  <c r="W811" i="28"/>
  <c r="W812" i="28"/>
  <c r="W813" i="28"/>
  <c r="W814" i="28"/>
  <c r="W815" i="28"/>
  <c r="W816" i="28"/>
  <c r="W817" i="28"/>
  <c r="W818" i="28"/>
  <c r="W819" i="28"/>
  <c r="W820" i="28"/>
  <c r="W821" i="28"/>
  <c r="W822" i="28"/>
  <c r="W823" i="28"/>
  <c r="W824" i="28"/>
  <c r="W825" i="28"/>
  <c r="W826" i="28"/>
  <c r="W827" i="28"/>
  <c r="W828" i="28"/>
  <c r="W829" i="28"/>
  <c r="W830" i="28"/>
  <c r="W831" i="28"/>
  <c r="W832" i="28"/>
  <c r="W833" i="28"/>
  <c r="Z2" i="28" l="1"/>
  <c r="Z3" i="28" s="1"/>
  <c r="Z4" i="28" s="1"/>
  <c r="Z5" i="28" s="1"/>
  <c r="Z6" i="28" s="1"/>
  <c r="Z7" i="28" s="1"/>
  <c r="Z8" i="28" s="1"/>
  <c r="Z9" i="28" s="1"/>
  <c r="Z10" i="28" s="1"/>
  <c r="Z11" i="28" s="1"/>
  <c r="Z12" i="28" s="1"/>
  <c r="Z13" i="28" s="1"/>
  <c r="Z14" i="28" s="1"/>
  <c r="Z15" i="28" s="1"/>
  <c r="Z16" i="28" s="1"/>
  <c r="Z17" i="28" s="1"/>
  <c r="Z18" i="28" s="1"/>
  <c r="Z19" i="28" s="1"/>
  <c r="Z20" i="28" s="1"/>
  <c r="Z21" i="28" s="1"/>
  <c r="Z22" i="28" s="1"/>
  <c r="Z23" i="28" s="1"/>
  <c r="Z24" i="28" s="1"/>
  <c r="Z25" i="28" s="1"/>
  <c r="Z26" i="28" s="1"/>
  <c r="Z27" i="28" s="1"/>
  <c r="Z28" i="28" s="1"/>
  <c r="Z29" i="28" s="1"/>
  <c r="Z30" i="28" s="1"/>
  <c r="Z31" i="28" s="1"/>
  <c r="Z32" i="28" s="1"/>
  <c r="Z33" i="28" s="1"/>
  <c r="Z34" i="28" s="1"/>
  <c r="Z35" i="28" s="1"/>
  <c r="Z36" i="28" s="1"/>
  <c r="Z37" i="28" s="1"/>
  <c r="Z38" i="28" s="1"/>
  <c r="Z39" i="28" s="1"/>
  <c r="Z40" i="28" s="1"/>
  <c r="Z41" i="28" s="1"/>
  <c r="Z42" i="28" s="1"/>
  <c r="Z43" i="28" s="1"/>
  <c r="Z44" i="28" s="1"/>
  <c r="Z45" i="28" s="1"/>
  <c r="Z46" i="28" s="1"/>
  <c r="AN20" i="28"/>
  <c r="AB3" i="28"/>
  <c r="AB4" i="28" s="1"/>
  <c r="AB5" i="28" s="1"/>
  <c r="AB6" i="28" s="1"/>
  <c r="AB7" i="28" s="1"/>
  <c r="AB8" i="28" s="1"/>
  <c r="AB9" i="28" s="1"/>
  <c r="AB10" i="28" s="1"/>
  <c r="AB11" i="28" s="1"/>
  <c r="AB12" i="28" s="1"/>
  <c r="AB13" i="28" s="1"/>
  <c r="AB14" i="28" s="1"/>
  <c r="AB15" i="28" s="1"/>
  <c r="AB16" i="28" s="1"/>
  <c r="AB17" i="28" s="1"/>
  <c r="AB18" i="28" s="1"/>
  <c r="AB19" i="28" s="1"/>
  <c r="AB20" i="28" s="1"/>
  <c r="AB21" i="28" s="1"/>
  <c r="AB22" i="28" s="1"/>
  <c r="AB23" i="28" s="1"/>
  <c r="AB24" i="28" s="1"/>
  <c r="AB25" i="28" s="1"/>
  <c r="AB26" i="28" s="1"/>
  <c r="AB27" i="28" s="1"/>
  <c r="AB28" i="28" s="1"/>
  <c r="AB29" i="28" s="1"/>
  <c r="AB30" i="28" s="1"/>
  <c r="AB31" i="28" s="1"/>
  <c r="AB32" i="28" s="1"/>
  <c r="AB33" i="28" s="1"/>
  <c r="AB34" i="28" s="1"/>
  <c r="AB35" i="28" s="1"/>
  <c r="AB36" i="28" s="1"/>
  <c r="AB37" i="28" s="1"/>
  <c r="AB38" i="28" s="1"/>
  <c r="AB39" i="28" s="1"/>
  <c r="AB40" i="28" s="1"/>
  <c r="AB41" i="28" s="1"/>
  <c r="AB42" i="28" s="1"/>
  <c r="AB43" i="28" s="1"/>
  <c r="AB44" i="28" s="1"/>
  <c r="AB45" i="28" s="1"/>
  <c r="AB46" i="28" s="1"/>
  <c r="AB47" i="28" s="1"/>
  <c r="AB48" i="28" s="1"/>
  <c r="AB49" i="28" s="1"/>
  <c r="AB50" i="28" s="1"/>
  <c r="Z47" i="28" l="1"/>
  <c r="AA46" i="28"/>
  <c r="AC46" i="28" s="1"/>
  <c r="AA4" i="28"/>
  <c r="AC4" i="28" s="1"/>
  <c r="AA10" i="28"/>
  <c r="AC10" i="28" s="1"/>
  <c r="AA3" i="28"/>
  <c r="AC3" i="28" s="1"/>
  <c r="AA11" i="28"/>
  <c r="AC11" i="28" s="1"/>
  <c r="AA7" i="28"/>
  <c r="AC7" i="28" s="1"/>
  <c r="AA15" i="28"/>
  <c r="AC15" i="28" s="1"/>
  <c r="AA19" i="28"/>
  <c r="AC19" i="28" s="1"/>
  <c r="AA23" i="28"/>
  <c r="AC23" i="28" s="1"/>
  <c r="AA27" i="28"/>
  <c r="AC27" i="28" s="1"/>
  <c r="AA31" i="28"/>
  <c r="AC31" i="28" s="1"/>
  <c r="AA35" i="28"/>
  <c r="AC35" i="28" s="1"/>
  <c r="AA39" i="28"/>
  <c r="AC39" i="28" s="1"/>
  <c r="AA43" i="28"/>
  <c r="AC43" i="28" s="1"/>
  <c r="AA41" i="28"/>
  <c r="AC41" i="28" s="1"/>
  <c r="AA8" i="28"/>
  <c r="AC8" i="28" s="1"/>
  <c r="AA12" i="28"/>
  <c r="AC12" i="28" s="1"/>
  <c r="AA16" i="28"/>
  <c r="AC16" i="28" s="1"/>
  <c r="AA20" i="28"/>
  <c r="AC20" i="28" s="1"/>
  <c r="AA24" i="28"/>
  <c r="AC24" i="28" s="1"/>
  <c r="AA28" i="28"/>
  <c r="AC28" i="28" s="1"/>
  <c r="AA32" i="28"/>
  <c r="AC32" i="28" s="1"/>
  <c r="AA36" i="28"/>
  <c r="AC36" i="28" s="1"/>
  <c r="AA40" i="28"/>
  <c r="AC40" i="28" s="1"/>
  <c r="AA5" i="28"/>
  <c r="AC5" i="28" s="1"/>
  <c r="AA9" i="28"/>
  <c r="AC9" i="28" s="1"/>
  <c r="AA13" i="28"/>
  <c r="AC13" i="28" s="1"/>
  <c r="AA17" i="28"/>
  <c r="AC17" i="28" s="1"/>
  <c r="AA21" i="28"/>
  <c r="AC21" i="28" s="1"/>
  <c r="AA25" i="28"/>
  <c r="AC25" i="28" s="1"/>
  <c r="AA29" i="28"/>
  <c r="AC29" i="28" s="1"/>
  <c r="AA33" i="28"/>
  <c r="AC33" i="28" s="1"/>
  <c r="AA37" i="28"/>
  <c r="AC37" i="28" s="1"/>
  <c r="AA45" i="28"/>
  <c r="AC45" i="28" s="1"/>
  <c r="AA18" i="28"/>
  <c r="AC18" i="28" s="1"/>
  <c r="AA22" i="28"/>
  <c r="AC22" i="28" s="1"/>
  <c r="AA26" i="28"/>
  <c r="AC26" i="28" s="1"/>
  <c r="AA30" i="28"/>
  <c r="AC30" i="28" s="1"/>
  <c r="AA34" i="28"/>
  <c r="AC34" i="28" s="1"/>
  <c r="AA38" i="28"/>
  <c r="AC38" i="28" s="1"/>
  <c r="AA42" i="28"/>
  <c r="AC42" i="28" s="1"/>
  <c r="AA2" i="28"/>
  <c r="AC2" i="28" s="1"/>
  <c r="AA44" i="28"/>
  <c r="AC44" i="28" s="1"/>
  <c r="AA14" i="28"/>
  <c r="AC14" i="28" s="1"/>
  <c r="AA6" i="28"/>
  <c r="AC6" i="28" s="1"/>
  <c r="B2272" i="7"/>
  <c r="B903" i="7"/>
  <c r="B904" i="7"/>
  <c r="B905" i="7"/>
  <c r="B906" i="7"/>
  <c r="B907" i="7"/>
  <c r="B908" i="7"/>
  <c r="B909" i="7"/>
  <c r="B910" i="7"/>
  <c r="B911" i="7"/>
  <c r="B912" i="7"/>
  <c r="B913" i="7"/>
  <c r="B914" i="7"/>
  <c r="B915" i="7"/>
  <c r="B916" i="7"/>
  <c r="B917" i="7"/>
  <c r="B918" i="7"/>
  <c r="B919" i="7"/>
  <c r="B920" i="7"/>
  <c r="B921" i="7"/>
  <c r="B922" i="7"/>
  <c r="B923" i="7"/>
  <c r="B924" i="7"/>
  <c r="B925" i="7"/>
  <c r="B926" i="7"/>
  <c r="B927" i="7"/>
  <c r="B928" i="7"/>
  <c r="B929" i="7"/>
  <c r="B930" i="7"/>
  <c r="B931" i="7"/>
  <c r="B932" i="7"/>
  <c r="B933" i="7"/>
  <c r="B934" i="7"/>
  <c r="B935" i="7"/>
  <c r="B936" i="7"/>
  <c r="B937" i="7"/>
  <c r="B938" i="7"/>
  <c r="B939" i="7"/>
  <c r="B940" i="7"/>
  <c r="B941" i="7"/>
  <c r="B942" i="7"/>
  <c r="B943" i="7"/>
  <c r="B944" i="7"/>
  <c r="B945" i="7"/>
  <c r="B946" i="7"/>
  <c r="B947" i="7"/>
  <c r="B948" i="7"/>
  <c r="B949" i="7"/>
  <c r="B950" i="7"/>
  <c r="B951" i="7"/>
  <c r="B952" i="7"/>
  <c r="B953" i="7"/>
  <c r="B954" i="7"/>
  <c r="B955" i="7"/>
  <c r="B956" i="7"/>
  <c r="B957" i="7"/>
  <c r="B958" i="7"/>
  <c r="B959" i="7"/>
  <c r="B960" i="7"/>
  <c r="B961" i="7"/>
  <c r="B962" i="7"/>
  <c r="B963" i="7"/>
  <c r="B964" i="7"/>
  <c r="B965" i="7"/>
  <c r="B966" i="7"/>
  <c r="B967" i="7"/>
  <c r="B968" i="7"/>
  <c r="B969" i="7"/>
  <c r="B970" i="7"/>
  <c r="B971" i="7"/>
  <c r="B972" i="7"/>
  <c r="B973" i="7"/>
  <c r="B974" i="7"/>
  <c r="B975" i="7"/>
  <c r="B976" i="7"/>
  <c r="B977" i="7"/>
  <c r="B978" i="7"/>
  <c r="B979" i="7"/>
  <c r="B980" i="7"/>
  <c r="B981" i="7"/>
  <c r="B982" i="7"/>
  <c r="B983" i="7"/>
  <c r="B984" i="7"/>
  <c r="B985" i="7"/>
  <c r="B986" i="7"/>
  <c r="B987" i="7"/>
  <c r="B988" i="7"/>
  <c r="B989" i="7"/>
  <c r="B990" i="7"/>
  <c r="B991" i="7"/>
  <c r="B992" i="7"/>
  <c r="B993" i="7"/>
  <c r="B994" i="7"/>
  <c r="B995" i="7"/>
  <c r="B996" i="7"/>
  <c r="B997" i="7"/>
  <c r="B998" i="7"/>
  <c r="B999" i="7"/>
  <c r="B1000" i="7"/>
  <c r="B1001" i="7"/>
  <c r="B1002" i="7"/>
  <c r="B1003" i="7"/>
  <c r="B1004" i="7"/>
  <c r="B1005" i="7"/>
  <c r="B1006" i="7"/>
  <c r="B1007" i="7"/>
  <c r="B1008" i="7"/>
  <c r="B1009" i="7"/>
  <c r="B1010" i="7"/>
  <c r="B1011" i="7"/>
  <c r="B1012" i="7"/>
  <c r="B1013" i="7"/>
  <c r="B1014" i="7"/>
  <c r="B1015" i="7"/>
  <c r="B1016" i="7"/>
  <c r="B1017" i="7"/>
  <c r="B1018" i="7"/>
  <c r="B1019" i="7"/>
  <c r="B1020" i="7"/>
  <c r="B1021" i="7"/>
  <c r="B1022" i="7"/>
  <c r="B1023" i="7"/>
  <c r="B1024" i="7"/>
  <c r="B1025" i="7"/>
  <c r="B1026" i="7"/>
  <c r="B1027" i="7"/>
  <c r="B1028" i="7"/>
  <c r="B1029" i="7"/>
  <c r="B1030" i="7"/>
  <c r="B1031" i="7"/>
  <c r="B1032" i="7"/>
  <c r="B1033" i="7"/>
  <c r="B1034" i="7"/>
  <c r="B1035" i="7"/>
  <c r="B1036" i="7"/>
  <c r="B1037" i="7"/>
  <c r="B1038" i="7"/>
  <c r="B1039" i="7"/>
  <c r="B1040" i="7"/>
  <c r="B1041" i="7"/>
  <c r="B1042" i="7"/>
  <c r="B1043" i="7"/>
  <c r="B1044" i="7"/>
  <c r="B1045" i="7"/>
  <c r="B1046" i="7"/>
  <c r="B1047" i="7"/>
  <c r="B1048" i="7"/>
  <c r="B1049" i="7"/>
  <c r="B1050" i="7"/>
  <c r="B1051" i="7"/>
  <c r="B1052" i="7"/>
  <c r="B1053" i="7"/>
  <c r="B1054" i="7"/>
  <c r="B1055" i="7"/>
  <c r="B1056" i="7"/>
  <c r="B1057" i="7"/>
  <c r="B1058" i="7"/>
  <c r="B1059" i="7"/>
  <c r="B1060" i="7"/>
  <c r="B1061" i="7"/>
  <c r="B1062" i="7"/>
  <c r="B1063" i="7"/>
  <c r="B1064" i="7"/>
  <c r="B1065" i="7"/>
  <c r="B1066" i="7"/>
  <c r="B1067" i="7"/>
  <c r="B1068" i="7"/>
  <c r="B1069" i="7"/>
  <c r="B1070" i="7"/>
  <c r="B1071" i="7"/>
  <c r="B1072" i="7"/>
  <c r="B1073" i="7"/>
  <c r="B1074" i="7"/>
  <c r="B1075" i="7"/>
  <c r="B1076" i="7"/>
  <c r="B1077" i="7"/>
  <c r="B1078" i="7"/>
  <c r="B1079" i="7"/>
  <c r="B1080" i="7"/>
  <c r="B1081" i="7"/>
  <c r="B1082" i="7"/>
  <c r="B1083" i="7"/>
  <c r="B1084" i="7"/>
  <c r="B1085" i="7"/>
  <c r="B1086" i="7"/>
  <c r="B1087" i="7"/>
  <c r="B1088" i="7"/>
  <c r="B1089" i="7"/>
  <c r="B1090" i="7"/>
  <c r="B1091" i="7"/>
  <c r="B1092" i="7"/>
  <c r="B1093" i="7"/>
  <c r="B1094" i="7"/>
  <c r="B1095" i="7"/>
  <c r="B1096" i="7"/>
  <c r="B1097" i="7"/>
  <c r="B1098" i="7"/>
  <c r="B1099" i="7"/>
  <c r="B1100" i="7"/>
  <c r="B1101" i="7"/>
  <c r="B1102" i="7"/>
  <c r="B1103" i="7"/>
  <c r="B1104" i="7"/>
  <c r="B1105" i="7"/>
  <c r="B1106" i="7"/>
  <c r="B1107" i="7"/>
  <c r="B1108" i="7"/>
  <c r="B1109" i="7"/>
  <c r="B1110" i="7"/>
  <c r="B1111" i="7"/>
  <c r="B1112" i="7"/>
  <c r="B1113" i="7"/>
  <c r="B1114" i="7"/>
  <c r="B1115" i="7"/>
  <c r="B1116" i="7"/>
  <c r="B1117" i="7"/>
  <c r="B1118" i="7"/>
  <c r="B1119" i="7"/>
  <c r="B1120" i="7"/>
  <c r="B1121" i="7"/>
  <c r="B1122" i="7"/>
  <c r="B1123" i="7"/>
  <c r="B1124" i="7"/>
  <c r="B1125" i="7"/>
  <c r="B1126" i="7"/>
  <c r="B1127" i="7"/>
  <c r="B1128" i="7"/>
  <c r="B1129" i="7"/>
  <c r="B1130" i="7"/>
  <c r="B1131" i="7"/>
  <c r="B1132" i="7"/>
  <c r="B1133" i="7"/>
  <c r="B1134" i="7"/>
  <c r="B1135" i="7"/>
  <c r="B1136" i="7"/>
  <c r="B1137" i="7"/>
  <c r="B1138" i="7"/>
  <c r="B1139" i="7"/>
  <c r="B1140" i="7"/>
  <c r="B1141" i="7"/>
  <c r="B1142" i="7"/>
  <c r="B1143" i="7"/>
  <c r="B1144" i="7"/>
  <c r="B1145" i="7"/>
  <c r="B1146" i="7"/>
  <c r="B1147" i="7"/>
  <c r="B1148" i="7"/>
  <c r="B1149" i="7"/>
  <c r="B1150" i="7"/>
  <c r="B1151" i="7"/>
  <c r="B1152" i="7"/>
  <c r="B1153" i="7"/>
  <c r="B1154" i="7"/>
  <c r="B1155" i="7"/>
  <c r="B1156" i="7"/>
  <c r="B1157" i="7"/>
  <c r="B1158" i="7"/>
  <c r="B1159" i="7"/>
  <c r="B1160" i="7"/>
  <c r="B1161" i="7"/>
  <c r="B1162" i="7"/>
  <c r="B1163" i="7"/>
  <c r="B1164" i="7"/>
  <c r="B1165" i="7"/>
  <c r="B1166" i="7"/>
  <c r="B1167" i="7"/>
  <c r="B1168" i="7"/>
  <c r="B1169" i="7"/>
  <c r="B1170" i="7"/>
  <c r="B1171" i="7"/>
  <c r="B1172" i="7"/>
  <c r="B1173" i="7"/>
  <c r="B1174" i="7"/>
  <c r="B1175" i="7"/>
  <c r="B1176" i="7"/>
  <c r="B1177" i="7"/>
  <c r="B1178" i="7"/>
  <c r="B1179" i="7"/>
  <c r="B1180" i="7"/>
  <c r="B1181" i="7"/>
  <c r="B1182" i="7"/>
  <c r="B1183" i="7"/>
  <c r="B1184" i="7"/>
  <c r="B1185" i="7"/>
  <c r="B1186" i="7"/>
  <c r="B1187" i="7"/>
  <c r="B1188" i="7"/>
  <c r="B1189" i="7"/>
  <c r="B1190" i="7"/>
  <c r="B1191" i="7"/>
  <c r="B1192" i="7"/>
  <c r="B1193" i="7"/>
  <c r="B1194" i="7"/>
  <c r="B1195" i="7"/>
  <c r="B1196" i="7"/>
  <c r="B1197" i="7"/>
  <c r="B1198" i="7"/>
  <c r="B1199" i="7"/>
  <c r="B1200" i="7"/>
  <c r="B1201" i="7"/>
  <c r="B1202" i="7"/>
  <c r="B1203" i="7"/>
  <c r="B1204" i="7"/>
  <c r="B1205" i="7"/>
  <c r="B1206" i="7"/>
  <c r="B1207" i="7"/>
  <c r="B1208" i="7"/>
  <c r="B1209" i="7"/>
  <c r="B1210" i="7"/>
  <c r="B1211" i="7"/>
  <c r="B1212" i="7"/>
  <c r="B1213" i="7"/>
  <c r="B1214" i="7"/>
  <c r="B1215" i="7"/>
  <c r="B1216" i="7"/>
  <c r="B1217" i="7"/>
  <c r="B1218" i="7"/>
  <c r="B1219" i="7"/>
  <c r="B1220" i="7"/>
  <c r="B1221" i="7"/>
  <c r="B1222" i="7"/>
  <c r="B1223" i="7"/>
  <c r="B1224" i="7"/>
  <c r="B1225" i="7"/>
  <c r="B1226" i="7"/>
  <c r="B1227" i="7"/>
  <c r="B1228" i="7"/>
  <c r="B1229" i="7"/>
  <c r="B1230" i="7"/>
  <c r="B1231" i="7"/>
  <c r="B1232" i="7"/>
  <c r="B1233" i="7"/>
  <c r="B1234" i="7"/>
  <c r="B1235" i="7"/>
  <c r="B1236" i="7"/>
  <c r="B1237" i="7"/>
  <c r="B1238" i="7"/>
  <c r="B1239" i="7"/>
  <c r="B1240" i="7"/>
  <c r="B1241" i="7"/>
  <c r="B1242" i="7"/>
  <c r="B1243" i="7"/>
  <c r="B1244" i="7"/>
  <c r="B1245" i="7"/>
  <c r="B1246" i="7"/>
  <c r="B1247" i="7"/>
  <c r="B1248" i="7"/>
  <c r="B1249" i="7"/>
  <c r="B1250" i="7"/>
  <c r="B1251" i="7"/>
  <c r="B1252" i="7"/>
  <c r="B1253" i="7"/>
  <c r="B1254" i="7"/>
  <c r="B1255" i="7"/>
  <c r="B1256" i="7"/>
  <c r="B1257" i="7"/>
  <c r="B1258" i="7"/>
  <c r="B1259" i="7"/>
  <c r="B1260" i="7"/>
  <c r="B1261" i="7"/>
  <c r="B1262" i="7"/>
  <c r="B1263" i="7"/>
  <c r="B1264" i="7"/>
  <c r="B1265" i="7"/>
  <c r="B1266" i="7"/>
  <c r="B1267" i="7"/>
  <c r="B1268" i="7"/>
  <c r="B1269" i="7"/>
  <c r="B1270" i="7"/>
  <c r="B1271" i="7"/>
  <c r="B1272" i="7"/>
  <c r="B1273" i="7"/>
  <c r="B1274" i="7"/>
  <c r="B1275" i="7"/>
  <c r="B1276" i="7"/>
  <c r="B1277" i="7"/>
  <c r="B1278" i="7"/>
  <c r="B1279" i="7"/>
  <c r="B1280" i="7"/>
  <c r="B1281" i="7"/>
  <c r="B1282" i="7"/>
  <c r="B1283" i="7"/>
  <c r="B1284" i="7"/>
  <c r="B1285" i="7"/>
  <c r="B1286" i="7"/>
  <c r="B1287" i="7"/>
  <c r="B1288" i="7"/>
  <c r="B1289" i="7"/>
  <c r="B1290" i="7"/>
  <c r="B1291" i="7"/>
  <c r="B1292" i="7"/>
  <c r="B1293" i="7"/>
  <c r="B1294" i="7"/>
  <c r="B1295" i="7"/>
  <c r="B1296" i="7"/>
  <c r="B1297" i="7"/>
  <c r="B1298" i="7"/>
  <c r="B1299" i="7"/>
  <c r="B1300" i="7"/>
  <c r="B1301" i="7"/>
  <c r="B1302" i="7"/>
  <c r="B1303" i="7"/>
  <c r="B1304" i="7"/>
  <c r="B1305" i="7"/>
  <c r="B1306" i="7"/>
  <c r="B1307" i="7"/>
  <c r="B1308" i="7"/>
  <c r="B1309" i="7"/>
  <c r="B1310" i="7"/>
  <c r="B1311" i="7"/>
  <c r="B1312" i="7"/>
  <c r="B1313" i="7"/>
  <c r="B1314" i="7"/>
  <c r="B1315" i="7"/>
  <c r="B1316" i="7"/>
  <c r="B1317" i="7"/>
  <c r="B1318" i="7"/>
  <c r="B1319" i="7"/>
  <c r="B1320" i="7"/>
  <c r="B1321" i="7"/>
  <c r="B1322" i="7"/>
  <c r="B1323" i="7"/>
  <c r="B1324" i="7"/>
  <c r="B1325" i="7"/>
  <c r="B1326" i="7"/>
  <c r="B1327" i="7"/>
  <c r="B1328" i="7"/>
  <c r="B1329" i="7"/>
  <c r="B1330" i="7"/>
  <c r="B1331" i="7"/>
  <c r="B1332" i="7"/>
  <c r="B1333" i="7"/>
  <c r="B1334" i="7"/>
  <c r="B1335" i="7"/>
  <c r="B1336" i="7"/>
  <c r="B1337" i="7"/>
  <c r="B1338" i="7"/>
  <c r="B1339" i="7"/>
  <c r="B1340" i="7"/>
  <c r="B1341" i="7"/>
  <c r="B1342" i="7"/>
  <c r="B1343" i="7"/>
  <c r="B1344" i="7"/>
  <c r="B1345" i="7"/>
  <c r="B1346" i="7"/>
  <c r="B1347" i="7"/>
  <c r="B1348" i="7"/>
  <c r="B1349" i="7"/>
  <c r="B1350" i="7"/>
  <c r="B1351" i="7"/>
  <c r="B1352" i="7"/>
  <c r="B1353" i="7"/>
  <c r="B1354" i="7"/>
  <c r="B1355" i="7"/>
  <c r="B1356" i="7"/>
  <c r="B1357" i="7"/>
  <c r="B1358" i="7"/>
  <c r="B1359" i="7"/>
  <c r="B1360" i="7"/>
  <c r="B1361" i="7"/>
  <c r="B1362" i="7"/>
  <c r="B1363" i="7"/>
  <c r="B1364" i="7"/>
  <c r="B1365" i="7"/>
  <c r="B1366" i="7"/>
  <c r="B1367" i="7"/>
  <c r="B1368" i="7"/>
  <c r="B1369" i="7"/>
  <c r="B1370" i="7"/>
  <c r="B1371" i="7"/>
  <c r="B1372" i="7"/>
  <c r="B1373" i="7"/>
  <c r="B1374" i="7"/>
  <c r="B1375" i="7"/>
  <c r="B1376" i="7"/>
  <c r="B1377" i="7"/>
  <c r="B1378" i="7"/>
  <c r="B1379" i="7"/>
  <c r="B1380" i="7"/>
  <c r="B1381" i="7"/>
  <c r="B1382" i="7"/>
  <c r="B1383" i="7"/>
  <c r="B1384" i="7"/>
  <c r="B1385" i="7"/>
  <c r="B1386" i="7"/>
  <c r="B1387" i="7"/>
  <c r="B1388" i="7"/>
  <c r="B1389" i="7"/>
  <c r="B1390" i="7"/>
  <c r="B1391" i="7"/>
  <c r="B1392" i="7"/>
  <c r="B1393" i="7"/>
  <c r="B1394" i="7"/>
  <c r="B1395" i="7"/>
  <c r="B1396" i="7"/>
  <c r="B1397" i="7"/>
  <c r="B1398" i="7"/>
  <c r="B1399" i="7"/>
  <c r="B1400" i="7"/>
  <c r="B1401" i="7"/>
  <c r="B1402" i="7"/>
  <c r="B1403" i="7"/>
  <c r="B1404" i="7"/>
  <c r="B1405" i="7"/>
  <c r="B1406" i="7"/>
  <c r="B1407" i="7"/>
  <c r="B1408" i="7"/>
  <c r="B1409" i="7"/>
  <c r="B1410" i="7"/>
  <c r="B1411" i="7"/>
  <c r="B1412" i="7"/>
  <c r="B1413" i="7"/>
  <c r="B1414" i="7"/>
  <c r="B1415" i="7"/>
  <c r="B1416" i="7"/>
  <c r="B1417" i="7"/>
  <c r="B1418" i="7"/>
  <c r="B1419" i="7"/>
  <c r="B1420" i="7"/>
  <c r="B1421" i="7"/>
  <c r="B1422" i="7"/>
  <c r="B1423" i="7"/>
  <c r="B1424" i="7"/>
  <c r="B1425" i="7"/>
  <c r="B1426" i="7"/>
  <c r="B1427" i="7"/>
  <c r="B1428" i="7"/>
  <c r="B1429" i="7"/>
  <c r="B1430" i="7"/>
  <c r="B1431" i="7"/>
  <c r="B1432" i="7"/>
  <c r="B1433" i="7"/>
  <c r="B1434" i="7"/>
  <c r="B1435" i="7"/>
  <c r="B1436" i="7"/>
  <c r="B1437" i="7"/>
  <c r="B1438" i="7"/>
  <c r="B1439" i="7"/>
  <c r="B1440" i="7"/>
  <c r="B1441" i="7"/>
  <c r="B1442" i="7"/>
  <c r="B1443" i="7"/>
  <c r="B1444" i="7"/>
  <c r="B1445" i="7"/>
  <c r="B1446" i="7"/>
  <c r="B1447" i="7"/>
  <c r="B1448" i="7"/>
  <c r="B1449" i="7"/>
  <c r="B1450" i="7"/>
  <c r="B1451" i="7"/>
  <c r="B1452" i="7"/>
  <c r="B1453" i="7"/>
  <c r="B1454" i="7"/>
  <c r="B1455" i="7"/>
  <c r="B1456" i="7"/>
  <c r="B1457" i="7"/>
  <c r="B1458" i="7"/>
  <c r="B1459" i="7"/>
  <c r="B1460" i="7"/>
  <c r="B1461" i="7"/>
  <c r="B1462" i="7"/>
  <c r="B1463" i="7"/>
  <c r="B1464" i="7"/>
  <c r="B1465" i="7"/>
  <c r="B1466" i="7"/>
  <c r="B1467" i="7"/>
  <c r="B1468" i="7"/>
  <c r="B1469" i="7"/>
  <c r="B1470" i="7"/>
  <c r="B1471" i="7"/>
  <c r="B1472" i="7"/>
  <c r="B1473" i="7"/>
  <c r="B1474" i="7"/>
  <c r="B1475" i="7"/>
  <c r="B1476" i="7"/>
  <c r="B1477" i="7"/>
  <c r="B1478" i="7"/>
  <c r="B1479" i="7"/>
  <c r="B1480" i="7"/>
  <c r="B1481" i="7"/>
  <c r="B1482" i="7"/>
  <c r="B1483" i="7"/>
  <c r="B1484" i="7"/>
  <c r="B1485" i="7"/>
  <c r="B1486" i="7"/>
  <c r="B1487" i="7"/>
  <c r="B1488" i="7"/>
  <c r="B1489" i="7"/>
  <c r="B1490" i="7"/>
  <c r="B1491" i="7"/>
  <c r="B1492" i="7"/>
  <c r="B1493" i="7"/>
  <c r="B1494" i="7"/>
  <c r="B1495" i="7"/>
  <c r="B1496" i="7"/>
  <c r="B1497" i="7"/>
  <c r="B1498" i="7"/>
  <c r="B1499" i="7"/>
  <c r="B1500" i="7"/>
  <c r="B1501" i="7"/>
  <c r="B1502" i="7"/>
  <c r="B1503" i="7"/>
  <c r="B1504" i="7"/>
  <c r="B1505" i="7"/>
  <c r="B1506" i="7"/>
  <c r="B1507" i="7"/>
  <c r="B1508" i="7"/>
  <c r="B1509" i="7"/>
  <c r="B1510" i="7"/>
  <c r="B1511" i="7"/>
  <c r="B1512" i="7"/>
  <c r="B1513" i="7"/>
  <c r="B1514" i="7"/>
  <c r="B1515" i="7"/>
  <c r="B1516" i="7"/>
  <c r="B1517" i="7"/>
  <c r="B1518" i="7"/>
  <c r="B1519" i="7"/>
  <c r="B1520" i="7"/>
  <c r="B1521" i="7"/>
  <c r="B1522" i="7"/>
  <c r="B1523" i="7"/>
  <c r="B1524" i="7"/>
  <c r="B1525" i="7"/>
  <c r="B1526" i="7"/>
  <c r="B1527" i="7"/>
  <c r="B1528" i="7"/>
  <c r="B1529" i="7"/>
  <c r="B1530" i="7"/>
  <c r="B1531" i="7"/>
  <c r="B1532" i="7"/>
  <c r="B1533" i="7"/>
  <c r="B1534" i="7"/>
  <c r="B1535" i="7"/>
  <c r="B1536" i="7"/>
  <c r="B1537" i="7"/>
  <c r="B1538" i="7"/>
  <c r="B1539" i="7"/>
  <c r="B1540" i="7"/>
  <c r="B1541" i="7"/>
  <c r="B1542" i="7"/>
  <c r="B1543" i="7"/>
  <c r="B1544" i="7"/>
  <c r="B1545" i="7"/>
  <c r="B1546" i="7"/>
  <c r="B1547" i="7"/>
  <c r="B1548" i="7"/>
  <c r="B1549" i="7"/>
  <c r="B1550" i="7"/>
  <c r="B1551" i="7"/>
  <c r="B1552" i="7"/>
  <c r="B1553" i="7"/>
  <c r="B1554" i="7"/>
  <c r="B1555" i="7"/>
  <c r="B1556" i="7"/>
  <c r="B1557" i="7"/>
  <c r="B1558" i="7"/>
  <c r="B1559" i="7"/>
  <c r="B1560" i="7"/>
  <c r="B1561" i="7"/>
  <c r="B1562" i="7"/>
  <c r="B1563" i="7"/>
  <c r="B1564" i="7"/>
  <c r="B1565" i="7"/>
  <c r="B1566" i="7"/>
  <c r="B1567" i="7"/>
  <c r="B1568" i="7"/>
  <c r="B1569" i="7"/>
  <c r="B1570" i="7"/>
  <c r="B1571" i="7"/>
  <c r="B1572" i="7"/>
  <c r="B1573" i="7"/>
  <c r="B1574" i="7"/>
  <c r="B1575" i="7"/>
  <c r="B1576" i="7"/>
  <c r="B1577" i="7"/>
  <c r="B1578" i="7"/>
  <c r="B1579" i="7"/>
  <c r="B1580" i="7"/>
  <c r="B1581" i="7"/>
  <c r="B1582" i="7"/>
  <c r="B1583" i="7"/>
  <c r="B1584" i="7"/>
  <c r="B1585" i="7"/>
  <c r="B1586" i="7"/>
  <c r="B1587" i="7"/>
  <c r="B1588" i="7"/>
  <c r="B1589" i="7"/>
  <c r="B1590" i="7"/>
  <c r="B1591" i="7"/>
  <c r="B1592" i="7"/>
  <c r="B1593" i="7"/>
  <c r="B1594" i="7"/>
  <c r="B1595" i="7"/>
  <c r="B1596" i="7"/>
  <c r="B1597" i="7"/>
  <c r="B1598" i="7"/>
  <c r="B1599" i="7"/>
  <c r="B1600" i="7"/>
  <c r="B1601" i="7"/>
  <c r="B1602" i="7"/>
  <c r="B1603" i="7"/>
  <c r="B1604" i="7"/>
  <c r="B1605" i="7"/>
  <c r="B1606" i="7"/>
  <c r="B1607" i="7"/>
  <c r="B1608" i="7"/>
  <c r="B1609" i="7"/>
  <c r="B1610" i="7"/>
  <c r="B1611" i="7"/>
  <c r="B1612" i="7"/>
  <c r="B1613" i="7"/>
  <c r="B1614" i="7"/>
  <c r="B1615" i="7"/>
  <c r="B1616" i="7"/>
  <c r="B1617" i="7"/>
  <c r="B1618" i="7"/>
  <c r="B1619" i="7"/>
  <c r="B1620" i="7"/>
  <c r="B1621" i="7"/>
  <c r="B1622" i="7"/>
  <c r="B1623" i="7"/>
  <c r="B1624" i="7"/>
  <c r="B1625" i="7"/>
  <c r="B1626" i="7"/>
  <c r="B1627" i="7"/>
  <c r="B1628" i="7"/>
  <c r="B1629" i="7"/>
  <c r="B1630" i="7"/>
  <c r="B1631" i="7"/>
  <c r="B1632" i="7"/>
  <c r="B1633" i="7"/>
  <c r="B1634" i="7"/>
  <c r="B1635" i="7"/>
  <c r="B1636" i="7"/>
  <c r="B1637" i="7"/>
  <c r="B1638" i="7"/>
  <c r="B1639" i="7"/>
  <c r="B1640" i="7"/>
  <c r="B1641" i="7"/>
  <c r="B1642" i="7"/>
  <c r="B1643" i="7"/>
  <c r="B1644" i="7"/>
  <c r="B1645" i="7"/>
  <c r="B1646" i="7"/>
  <c r="B1647" i="7"/>
  <c r="B1648" i="7"/>
  <c r="B1649" i="7"/>
  <c r="B1650" i="7"/>
  <c r="B1651" i="7"/>
  <c r="B1652" i="7"/>
  <c r="B1653" i="7"/>
  <c r="B1654" i="7"/>
  <c r="B1655" i="7"/>
  <c r="B1656" i="7"/>
  <c r="B1657" i="7"/>
  <c r="B1658" i="7"/>
  <c r="B1659" i="7"/>
  <c r="B1660" i="7"/>
  <c r="B1661" i="7"/>
  <c r="B1662" i="7"/>
  <c r="B1663" i="7"/>
  <c r="B1664" i="7"/>
  <c r="B1665" i="7"/>
  <c r="B1666" i="7"/>
  <c r="B1667" i="7"/>
  <c r="B1668" i="7"/>
  <c r="B1669" i="7"/>
  <c r="B1670" i="7"/>
  <c r="B1671" i="7"/>
  <c r="B1672" i="7"/>
  <c r="B1673" i="7"/>
  <c r="B1674" i="7"/>
  <c r="B1675" i="7"/>
  <c r="B1676" i="7"/>
  <c r="B1677" i="7"/>
  <c r="B1678" i="7"/>
  <c r="B1679" i="7"/>
  <c r="B1680" i="7"/>
  <c r="B1681" i="7"/>
  <c r="B1682" i="7"/>
  <c r="B1683" i="7"/>
  <c r="B1684" i="7"/>
  <c r="B1685" i="7"/>
  <c r="B1686" i="7"/>
  <c r="B1687" i="7"/>
  <c r="B1688" i="7"/>
  <c r="B1689" i="7"/>
  <c r="B1690" i="7"/>
  <c r="B1691" i="7"/>
  <c r="B1692" i="7"/>
  <c r="B1693" i="7"/>
  <c r="B1694" i="7"/>
  <c r="B1695" i="7"/>
  <c r="B1696" i="7"/>
  <c r="B1697" i="7"/>
  <c r="B1698" i="7"/>
  <c r="B1699" i="7"/>
  <c r="B1700" i="7"/>
  <c r="B1701" i="7"/>
  <c r="B1702" i="7"/>
  <c r="B1703" i="7"/>
  <c r="B1704" i="7"/>
  <c r="B1705" i="7"/>
  <c r="B1706" i="7"/>
  <c r="B1707" i="7"/>
  <c r="B1708" i="7"/>
  <c r="B1709" i="7"/>
  <c r="B1710" i="7"/>
  <c r="B1711" i="7"/>
  <c r="B1712" i="7"/>
  <c r="B1713" i="7"/>
  <c r="B1714" i="7"/>
  <c r="B1715" i="7"/>
  <c r="B1716" i="7"/>
  <c r="B1717" i="7"/>
  <c r="B1718" i="7"/>
  <c r="B1719" i="7"/>
  <c r="B1720" i="7"/>
  <c r="B1721" i="7"/>
  <c r="B1722" i="7"/>
  <c r="B1723" i="7"/>
  <c r="B1724" i="7"/>
  <c r="B1725" i="7"/>
  <c r="B1726" i="7"/>
  <c r="B1727" i="7"/>
  <c r="B1728" i="7"/>
  <c r="B1729" i="7"/>
  <c r="B1730" i="7"/>
  <c r="B1731" i="7"/>
  <c r="B1732" i="7"/>
  <c r="B1733" i="7"/>
  <c r="B1734" i="7"/>
  <c r="B1735" i="7"/>
  <c r="B1736" i="7"/>
  <c r="B1737" i="7"/>
  <c r="B1738" i="7"/>
  <c r="B1739" i="7"/>
  <c r="B1740" i="7"/>
  <c r="B1741" i="7"/>
  <c r="B1742" i="7"/>
  <c r="B1743" i="7"/>
  <c r="B1744" i="7"/>
  <c r="B1745" i="7"/>
  <c r="B1746" i="7"/>
  <c r="B1747" i="7"/>
  <c r="B1748" i="7"/>
  <c r="B1749" i="7"/>
  <c r="B1750" i="7"/>
  <c r="B1751" i="7"/>
  <c r="B1752" i="7"/>
  <c r="B1753" i="7"/>
  <c r="B1754" i="7"/>
  <c r="B1755" i="7"/>
  <c r="B1756" i="7"/>
  <c r="B1757" i="7"/>
  <c r="B1758" i="7"/>
  <c r="B1759" i="7"/>
  <c r="B1760" i="7"/>
  <c r="B1761" i="7"/>
  <c r="B1762" i="7"/>
  <c r="B1763" i="7"/>
  <c r="B1764" i="7"/>
  <c r="B1765" i="7"/>
  <c r="B1766" i="7"/>
  <c r="B1767" i="7"/>
  <c r="B1768" i="7"/>
  <c r="B1769" i="7"/>
  <c r="B1770" i="7"/>
  <c r="B1771" i="7"/>
  <c r="B1772" i="7"/>
  <c r="B1773" i="7"/>
  <c r="B1774" i="7"/>
  <c r="B1775" i="7"/>
  <c r="B1776" i="7"/>
  <c r="B1777" i="7"/>
  <c r="B1778" i="7"/>
  <c r="B1779" i="7"/>
  <c r="B1780" i="7"/>
  <c r="B1781" i="7"/>
  <c r="B1782" i="7"/>
  <c r="B1783" i="7"/>
  <c r="B1784" i="7"/>
  <c r="B1785" i="7"/>
  <c r="B1786" i="7"/>
  <c r="B1787" i="7"/>
  <c r="B1788" i="7"/>
  <c r="B1789" i="7"/>
  <c r="B1790" i="7"/>
  <c r="B1791" i="7"/>
  <c r="B1792" i="7"/>
  <c r="B1793" i="7"/>
  <c r="B1794" i="7"/>
  <c r="B1795" i="7"/>
  <c r="B1796" i="7"/>
  <c r="B1797" i="7"/>
  <c r="B1798" i="7"/>
  <c r="B1799" i="7"/>
  <c r="B1800" i="7"/>
  <c r="B1801" i="7"/>
  <c r="B1802" i="7"/>
  <c r="B1803" i="7"/>
  <c r="B1804" i="7"/>
  <c r="B1805" i="7"/>
  <c r="B1806" i="7"/>
  <c r="B1807" i="7"/>
  <c r="B1808" i="7"/>
  <c r="B1809" i="7"/>
  <c r="B1810" i="7"/>
  <c r="B1811" i="7"/>
  <c r="B1812" i="7"/>
  <c r="B1813" i="7"/>
  <c r="B1814" i="7"/>
  <c r="B1815" i="7"/>
  <c r="B1816" i="7"/>
  <c r="B1817" i="7"/>
  <c r="B1818" i="7"/>
  <c r="B1819" i="7"/>
  <c r="B1820" i="7"/>
  <c r="B1821" i="7"/>
  <c r="B1822" i="7"/>
  <c r="B1823" i="7"/>
  <c r="B1824" i="7"/>
  <c r="B1825" i="7"/>
  <c r="B1826" i="7"/>
  <c r="B1827" i="7"/>
  <c r="B1828" i="7"/>
  <c r="B1829" i="7"/>
  <c r="B1830" i="7"/>
  <c r="B1831" i="7"/>
  <c r="B1832" i="7"/>
  <c r="B1833" i="7"/>
  <c r="B1834" i="7"/>
  <c r="B1835" i="7"/>
  <c r="B1836" i="7"/>
  <c r="B1837" i="7"/>
  <c r="B1838" i="7"/>
  <c r="B1839" i="7"/>
  <c r="B1840" i="7"/>
  <c r="B1841" i="7"/>
  <c r="B1842" i="7"/>
  <c r="B1843" i="7"/>
  <c r="B1844" i="7"/>
  <c r="B1845" i="7"/>
  <c r="B1846" i="7"/>
  <c r="B1847" i="7"/>
  <c r="B1848" i="7"/>
  <c r="B1849" i="7"/>
  <c r="B1850" i="7"/>
  <c r="B1851" i="7"/>
  <c r="B1852" i="7"/>
  <c r="B1853" i="7"/>
  <c r="B1854" i="7"/>
  <c r="B1855" i="7"/>
  <c r="B1856" i="7"/>
  <c r="B1857" i="7"/>
  <c r="B1858" i="7"/>
  <c r="B1859" i="7"/>
  <c r="B1860" i="7"/>
  <c r="B1861" i="7"/>
  <c r="B1862" i="7"/>
  <c r="B1863" i="7"/>
  <c r="B1864" i="7"/>
  <c r="B1865" i="7"/>
  <c r="B1866" i="7"/>
  <c r="B1867" i="7"/>
  <c r="B1868" i="7"/>
  <c r="B1869" i="7"/>
  <c r="B1870" i="7"/>
  <c r="B1871" i="7"/>
  <c r="B1872" i="7"/>
  <c r="B1873" i="7"/>
  <c r="B1874" i="7"/>
  <c r="B1875" i="7"/>
  <c r="B1876" i="7"/>
  <c r="B1877" i="7"/>
  <c r="B1878" i="7"/>
  <c r="B1879" i="7"/>
  <c r="B1880" i="7"/>
  <c r="B1881" i="7"/>
  <c r="B1882" i="7"/>
  <c r="B1883" i="7"/>
  <c r="B1884" i="7"/>
  <c r="B1885" i="7"/>
  <c r="B1886" i="7"/>
  <c r="B1887" i="7"/>
  <c r="B1888" i="7"/>
  <c r="B1889" i="7"/>
  <c r="B1890" i="7"/>
  <c r="B1891" i="7"/>
  <c r="B1892" i="7"/>
  <c r="B1893" i="7"/>
  <c r="B1894" i="7"/>
  <c r="B1895" i="7"/>
  <c r="B1896" i="7"/>
  <c r="B1897" i="7"/>
  <c r="B1898" i="7"/>
  <c r="B1899" i="7"/>
  <c r="B1900" i="7"/>
  <c r="B1901" i="7"/>
  <c r="B1902" i="7"/>
  <c r="B1903" i="7"/>
  <c r="B1904" i="7"/>
  <c r="B1905" i="7"/>
  <c r="B1906" i="7"/>
  <c r="B1907" i="7"/>
  <c r="B1908" i="7"/>
  <c r="B1909" i="7"/>
  <c r="B1910" i="7"/>
  <c r="B1911" i="7"/>
  <c r="B1912" i="7"/>
  <c r="B1913" i="7"/>
  <c r="B1914" i="7"/>
  <c r="B1915" i="7"/>
  <c r="B1916" i="7"/>
  <c r="B1917" i="7"/>
  <c r="B1918" i="7"/>
  <c r="B1919" i="7"/>
  <c r="B1920" i="7"/>
  <c r="B1921" i="7"/>
  <c r="B1922" i="7"/>
  <c r="B1923" i="7"/>
  <c r="B1924" i="7"/>
  <c r="B1925" i="7"/>
  <c r="B1926" i="7"/>
  <c r="B1927" i="7"/>
  <c r="B1928" i="7"/>
  <c r="B1929" i="7"/>
  <c r="B1930" i="7"/>
  <c r="B1931" i="7"/>
  <c r="B1932" i="7"/>
  <c r="B1933" i="7"/>
  <c r="B1934" i="7"/>
  <c r="B1935" i="7"/>
  <c r="B1936" i="7"/>
  <c r="B1937" i="7"/>
  <c r="B1938" i="7"/>
  <c r="B1939" i="7"/>
  <c r="B1940" i="7"/>
  <c r="B1941" i="7"/>
  <c r="B1942" i="7"/>
  <c r="B1943" i="7"/>
  <c r="B1944" i="7"/>
  <c r="B1945" i="7"/>
  <c r="B1946" i="7"/>
  <c r="B1947" i="7"/>
  <c r="B1948" i="7"/>
  <c r="B1949" i="7"/>
  <c r="B1950" i="7"/>
  <c r="B1951" i="7"/>
  <c r="B1952" i="7"/>
  <c r="B1953" i="7"/>
  <c r="B1954" i="7"/>
  <c r="B1955" i="7"/>
  <c r="B1956" i="7"/>
  <c r="B1957" i="7"/>
  <c r="B1958" i="7"/>
  <c r="B1959" i="7"/>
  <c r="B1960" i="7"/>
  <c r="B1961" i="7"/>
  <c r="B1962" i="7"/>
  <c r="B1963" i="7"/>
  <c r="B1964" i="7"/>
  <c r="B1965" i="7"/>
  <c r="B1966" i="7"/>
  <c r="B1967" i="7"/>
  <c r="B1968" i="7"/>
  <c r="B1969" i="7"/>
  <c r="B1970" i="7"/>
  <c r="B1971" i="7"/>
  <c r="B1972" i="7"/>
  <c r="B1973" i="7"/>
  <c r="B1974" i="7"/>
  <c r="B1975" i="7"/>
  <c r="B1976" i="7"/>
  <c r="B1977" i="7"/>
  <c r="B1978" i="7"/>
  <c r="B1979" i="7"/>
  <c r="B1980" i="7"/>
  <c r="B1981" i="7"/>
  <c r="B1982" i="7"/>
  <c r="B1983" i="7"/>
  <c r="B1984" i="7"/>
  <c r="B1985" i="7"/>
  <c r="B1986" i="7"/>
  <c r="B1987" i="7"/>
  <c r="B1988" i="7"/>
  <c r="B1989" i="7"/>
  <c r="B1990" i="7"/>
  <c r="B1991" i="7"/>
  <c r="B1992" i="7"/>
  <c r="B1993" i="7"/>
  <c r="B1994" i="7"/>
  <c r="B1995" i="7"/>
  <c r="B1996" i="7"/>
  <c r="B1997" i="7"/>
  <c r="B1998" i="7"/>
  <c r="B1999" i="7"/>
  <c r="B2000" i="7"/>
  <c r="B2001" i="7"/>
  <c r="B2002" i="7"/>
  <c r="B2003" i="7"/>
  <c r="B2004" i="7"/>
  <c r="B2005" i="7"/>
  <c r="B2006" i="7"/>
  <c r="B2007" i="7"/>
  <c r="B2008" i="7"/>
  <c r="B2009" i="7"/>
  <c r="B2010" i="7"/>
  <c r="B2011" i="7"/>
  <c r="B2012" i="7"/>
  <c r="B2013" i="7"/>
  <c r="B2014" i="7"/>
  <c r="B2015" i="7"/>
  <c r="B2016" i="7"/>
  <c r="B2017" i="7"/>
  <c r="B2018" i="7"/>
  <c r="B2019" i="7"/>
  <c r="B2020" i="7"/>
  <c r="B2021" i="7"/>
  <c r="B2022" i="7"/>
  <c r="B2023" i="7"/>
  <c r="B2024" i="7"/>
  <c r="B2025" i="7"/>
  <c r="B2026" i="7"/>
  <c r="B2027" i="7"/>
  <c r="B2028" i="7"/>
  <c r="B2029" i="7"/>
  <c r="B2030" i="7"/>
  <c r="B2031" i="7"/>
  <c r="B2032" i="7"/>
  <c r="B2033" i="7"/>
  <c r="B2034" i="7"/>
  <c r="B2035" i="7"/>
  <c r="B2036" i="7"/>
  <c r="B2037" i="7"/>
  <c r="B2038" i="7"/>
  <c r="B2039" i="7"/>
  <c r="B2040" i="7"/>
  <c r="B2041" i="7"/>
  <c r="B2042" i="7"/>
  <c r="B2043" i="7"/>
  <c r="B2044" i="7"/>
  <c r="B2045" i="7"/>
  <c r="B2046" i="7"/>
  <c r="B2047" i="7"/>
  <c r="B2048" i="7"/>
  <c r="B2049" i="7"/>
  <c r="B2050" i="7"/>
  <c r="B2051" i="7"/>
  <c r="B2052" i="7"/>
  <c r="B2053" i="7"/>
  <c r="B2054" i="7"/>
  <c r="B2055" i="7"/>
  <c r="B2056" i="7"/>
  <c r="B2057" i="7"/>
  <c r="B2058" i="7"/>
  <c r="B2059" i="7"/>
  <c r="B2060" i="7"/>
  <c r="B2061" i="7"/>
  <c r="B2062" i="7"/>
  <c r="B2063" i="7"/>
  <c r="B2064" i="7"/>
  <c r="B2065" i="7"/>
  <c r="B2066" i="7"/>
  <c r="B2067" i="7"/>
  <c r="B2068" i="7"/>
  <c r="B2069" i="7"/>
  <c r="B2070" i="7"/>
  <c r="B2071" i="7"/>
  <c r="B2072" i="7"/>
  <c r="B2073" i="7"/>
  <c r="B2074" i="7"/>
  <c r="B2075" i="7"/>
  <c r="B2076" i="7"/>
  <c r="B2077" i="7"/>
  <c r="B2078" i="7"/>
  <c r="B2079" i="7"/>
  <c r="B2080" i="7"/>
  <c r="B2081" i="7"/>
  <c r="B2082" i="7"/>
  <c r="B2083" i="7"/>
  <c r="B2084" i="7"/>
  <c r="B2085" i="7"/>
  <c r="B2086" i="7"/>
  <c r="B2087" i="7"/>
  <c r="B2088" i="7"/>
  <c r="B2089" i="7"/>
  <c r="B2090" i="7"/>
  <c r="B2091" i="7"/>
  <c r="B2092" i="7"/>
  <c r="B2093" i="7"/>
  <c r="B2094" i="7"/>
  <c r="B2095" i="7"/>
  <c r="B2096" i="7"/>
  <c r="B2097" i="7"/>
  <c r="B2098" i="7"/>
  <c r="B2099" i="7"/>
  <c r="B2100" i="7"/>
  <c r="B2101" i="7"/>
  <c r="B2102" i="7"/>
  <c r="B2103" i="7"/>
  <c r="B2104" i="7"/>
  <c r="B2105" i="7"/>
  <c r="B2106" i="7"/>
  <c r="B2107" i="7"/>
  <c r="B2108" i="7"/>
  <c r="B2109" i="7"/>
  <c r="B2110" i="7"/>
  <c r="B2111" i="7"/>
  <c r="B2112" i="7"/>
  <c r="B2113" i="7"/>
  <c r="B2114" i="7"/>
  <c r="B2115" i="7"/>
  <c r="B2116" i="7"/>
  <c r="B2117" i="7"/>
  <c r="B2118" i="7"/>
  <c r="B2119" i="7"/>
  <c r="B2120" i="7"/>
  <c r="B2121" i="7"/>
  <c r="B2122" i="7"/>
  <c r="B2123" i="7"/>
  <c r="B2124" i="7"/>
  <c r="B2125" i="7"/>
  <c r="B2126" i="7"/>
  <c r="B2127" i="7"/>
  <c r="B2128" i="7"/>
  <c r="B2129" i="7"/>
  <c r="B2130" i="7"/>
  <c r="B2131" i="7"/>
  <c r="B2132" i="7"/>
  <c r="B2133" i="7"/>
  <c r="B2134" i="7"/>
  <c r="B2135" i="7"/>
  <c r="B2136" i="7"/>
  <c r="B2137" i="7"/>
  <c r="B2138" i="7"/>
  <c r="B2139" i="7"/>
  <c r="B2140" i="7"/>
  <c r="B2141" i="7"/>
  <c r="B2142" i="7"/>
  <c r="B2143" i="7"/>
  <c r="B2144" i="7"/>
  <c r="B2145" i="7"/>
  <c r="B2146" i="7"/>
  <c r="B2147" i="7"/>
  <c r="B2148" i="7"/>
  <c r="B2149" i="7"/>
  <c r="B2150" i="7"/>
  <c r="B2151" i="7"/>
  <c r="B2152" i="7"/>
  <c r="B2153" i="7"/>
  <c r="B2154" i="7"/>
  <c r="B2155" i="7"/>
  <c r="B2156" i="7"/>
  <c r="B2157" i="7"/>
  <c r="B2158" i="7"/>
  <c r="B2159" i="7"/>
  <c r="B2160" i="7"/>
  <c r="B2161" i="7"/>
  <c r="B2162" i="7"/>
  <c r="B2163" i="7"/>
  <c r="B2164" i="7"/>
  <c r="B2165" i="7"/>
  <c r="B2166" i="7"/>
  <c r="B2167" i="7"/>
  <c r="B2168" i="7"/>
  <c r="B2169" i="7"/>
  <c r="B2170" i="7"/>
  <c r="B2171" i="7"/>
  <c r="B2172" i="7"/>
  <c r="B2173" i="7"/>
  <c r="B2174" i="7"/>
  <c r="B2175" i="7"/>
  <c r="B2176" i="7"/>
  <c r="B2177" i="7"/>
  <c r="B2178" i="7"/>
  <c r="B2179" i="7"/>
  <c r="B2180" i="7"/>
  <c r="B2181" i="7"/>
  <c r="B2182" i="7"/>
  <c r="B2183" i="7"/>
  <c r="B2184" i="7"/>
  <c r="B2185" i="7"/>
  <c r="B2186" i="7"/>
  <c r="B2187" i="7"/>
  <c r="B2188" i="7"/>
  <c r="B2189" i="7"/>
  <c r="B2190" i="7"/>
  <c r="B2191" i="7"/>
  <c r="B2192" i="7"/>
  <c r="B2193" i="7"/>
  <c r="B2194" i="7"/>
  <c r="B2195" i="7"/>
  <c r="B2196" i="7"/>
  <c r="B2197" i="7"/>
  <c r="B2198" i="7"/>
  <c r="B2199" i="7"/>
  <c r="B2200" i="7"/>
  <c r="B2201" i="7"/>
  <c r="B2202" i="7"/>
  <c r="B2203" i="7"/>
  <c r="B2204" i="7"/>
  <c r="B2205" i="7"/>
  <c r="B2206" i="7"/>
  <c r="B2207" i="7"/>
  <c r="B2208" i="7"/>
  <c r="B2209" i="7"/>
  <c r="B2210" i="7"/>
  <c r="B2211" i="7"/>
  <c r="B2212" i="7"/>
  <c r="B2213" i="7"/>
  <c r="B2214" i="7"/>
  <c r="B2215" i="7"/>
  <c r="B2216" i="7"/>
  <c r="B2217" i="7"/>
  <c r="B2218" i="7"/>
  <c r="B2219" i="7"/>
  <c r="B2220" i="7"/>
  <c r="B2221" i="7"/>
  <c r="B2222" i="7"/>
  <c r="B2223" i="7"/>
  <c r="B2224" i="7"/>
  <c r="B2225" i="7"/>
  <c r="B2226" i="7"/>
  <c r="B2227" i="7"/>
  <c r="B2228" i="7"/>
  <c r="B2229" i="7"/>
  <c r="B2230" i="7"/>
  <c r="B2231" i="7"/>
  <c r="B2232" i="7"/>
  <c r="B2233" i="7"/>
  <c r="B2234" i="7"/>
  <c r="B2235" i="7"/>
  <c r="B2236" i="7"/>
  <c r="B2237" i="7"/>
  <c r="B2238" i="7"/>
  <c r="B2239" i="7"/>
  <c r="B2240" i="7"/>
  <c r="B2241" i="7"/>
  <c r="B2242" i="7"/>
  <c r="B2243" i="7"/>
  <c r="B2244" i="7"/>
  <c r="B2245" i="7"/>
  <c r="B2246" i="7"/>
  <c r="B2247" i="7"/>
  <c r="B2248" i="7"/>
  <c r="B2249" i="7"/>
  <c r="B2250" i="7"/>
  <c r="B2251" i="7"/>
  <c r="B2252" i="7"/>
  <c r="B2253" i="7"/>
  <c r="B2254" i="7"/>
  <c r="B2255" i="7"/>
  <c r="B2256" i="7"/>
  <c r="B2257" i="7"/>
  <c r="B2258" i="7"/>
  <c r="B2259" i="7"/>
  <c r="B2260" i="7"/>
  <c r="B2261" i="7"/>
  <c r="B2262" i="7"/>
  <c r="B2263" i="7"/>
  <c r="B2264" i="7"/>
  <c r="B2265" i="7"/>
  <c r="B2266" i="7"/>
  <c r="B2267" i="7"/>
  <c r="B2268" i="7"/>
  <c r="B2269" i="7"/>
  <c r="B2270" i="7"/>
  <c r="B2271" i="7"/>
  <c r="AE46" i="28" l="1"/>
  <c r="AD46" i="28"/>
  <c r="Z48" i="28"/>
  <c r="AA47" i="28"/>
  <c r="AE2" i="28"/>
  <c r="AD44" i="28"/>
  <c r="AE44" i="28"/>
  <c r="AD29" i="28"/>
  <c r="AE29" i="28"/>
  <c r="AD41" i="28"/>
  <c r="AE41" i="28"/>
  <c r="AD31" i="28"/>
  <c r="AE31" i="28"/>
  <c r="AD30" i="28"/>
  <c r="AE30" i="28"/>
  <c r="AD45" i="28"/>
  <c r="AE45" i="28"/>
  <c r="AD25" i="28"/>
  <c r="AE25" i="28"/>
  <c r="AD9" i="28"/>
  <c r="AE9" i="28"/>
  <c r="AD32" i="28"/>
  <c r="AE32" i="28"/>
  <c r="AD16" i="28"/>
  <c r="AE16" i="28"/>
  <c r="AD43" i="28"/>
  <c r="AE43" i="28"/>
  <c r="AD27" i="28"/>
  <c r="AE27" i="28"/>
  <c r="AD7" i="28"/>
  <c r="AE7" i="28"/>
  <c r="AD4" i="28"/>
  <c r="AE4" i="28"/>
  <c r="AD34" i="28"/>
  <c r="AE34" i="28"/>
  <c r="AD18" i="28"/>
  <c r="AE18" i="28"/>
  <c r="AD36" i="28"/>
  <c r="AE36" i="28"/>
  <c r="AD10" i="28"/>
  <c r="AE10" i="28"/>
  <c r="AD26" i="28"/>
  <c r="AE26" i="28"/>
  <c r="AD37" i="28"/>
  <c r="AE37" i="28"/>
  <c r="AD21" i="28"/>
  <c r="AE21" i="28"/>
  <c r="AD5" i="28"/>
  <c r="AE5" i="28"/>
  <c r="AD28" i="28"/>
  <c r="AE28" i="28"/>
  <c r="AD12" i="28"/>
  <c r="AE12" i="28"/>
  <c r="AD39" i="28"/>
  <c r="AE39" i="28"/>
  <c r="AD23" i="28"/>
  <c r="AE23" i="28"/>
  <c r="AD11" i="28"/>
  <c r="AE11" i="28"/>
  <c r="AD13" i="28"/>
  <c r="AE13" i="28"/>
  <c r="AD20" i="28"/>
  <c r="AE20" i="28"/>
  <c r="AD15" i="28"/>
  <c r="AE15" i="28"/>
  <c r="AD6" i="28"/>
  <c r="AE6" i="28"/>
  <c r="AD42" i="28"/>
  <c r="AE42" i="28"/>
  <c r="AD14" i="28"/>
  <c r="AE14" i="28"/>
  <c r="AD38" i="28"/>
  <c r="AE38" i="28"/>
  <c r="AD22" i="28"/>
  <c r="AE22" i="28"/>
  <c r="AD33" i="28"/>
  <c r="AE33" i="28"/>
  <c r="AD17" i="28"/>
  <c r="AE17" i="28"/>
  <c r="AD40" i="28"/>
  <c r="AE40" i="28"/>
  <c r="AD24" i="28"/>
  <c r="AE24" i="28"/>
  <c r="AD8" i="28"/>
  <c r="AE8" i="28"/>
  <c r="AD35" i="28"/>
  <c r="AE35" i="28"/>
  <c r="AD19" i="28"/>
  <c r="AE19" i="28"/>
  <c r="AD3" i="28"/>
  <c r="AE3" i="28"/>
  <c r="AD2" i="28"/>
  <c r="F44" i="17"/>
  <c r="F43" i="17"/>
  <c r="F42" i="17"/>
  <c r="F41" i="17"/>
  <c r="F40" i="17"/>
  <c r="F39" i="17"/>
  <c r="F38" i="17"/>
  <c r="F37" i="17"/>
  <c r="F36" i="17"/>
  <c r="F35" i="17"/>
  <c r="F34" i="17"/>
  <c r="F33" i="17"/>
  <c r="F32" i="17"/>
  <c r="F31" i="17"/>
  <c r="F30" i="17"/>
  <c r="F29" i="17"/>
  <c r="F28" i="17"/>
  <c r="F27" i="17"/>
  <c r="F26" i="17"/>
  <c r="F25" i="17"/>
  <c r="F24" i="17"/>
  <c r="F23" i="17"/>
  <c r="F22" i="17"/>
  <c r="F21" i="17"/>
  <c r="F20" i="17"/>
  <c r="F19" i="17"/>
  <c r="F18" i="17"/>
  <c r="F17" i="17"/>
  <c r="F16" i="17"/>
  <c r="F15" i="17"/>
  <c r="F14" i="17"/>
  <c r="F13" i="17"/>
  <c r="F12" i="17"/>
  <c r="F11" i="17"/>
  <c r="F10" i="17"/>
  <c r="F9" i="17"/>
  <c r="F8" i="17"/>
  <c r="F7" i="17"/>
  <c r="F6" i="17"/>
  <c r="F5" i="17"/>
  <c r="B902" i="7"/>
  <c r="B901" i="7"/>
  <c r="B900" i="7"/>
  <c r="B899" i="7"/>
  <c r="B898" i="7"/>
  <c r="B897" i="7"/>
  <c r="B896" i="7"/>
  <c r="B895" i="7"/>
  <c r="B894" i="7"/>
  <c r="B893" i="7"/>
  <c r="B892" i="7"/>
  <c r="B891" i="7"/>
  <c r="B890" i="7"/>
  <c r="B889" i="7"/>
  <c r="B888" i="7"/>
  <c r="B887" i="7"/>
  <c r="B886" i="7"/>
  <c r="B885" i="7"/>
  <c r="B884" i="7"/>
  <c r="B883" i="7"/>
  <c r="B882" i="7"/>
  <c r="B881" i="7"/>
  <c r="B880" i="7"/>
  <c r="B879" i="7"/>
  <c r="B878" i="7"/>
  <c r="B877" i="7"/>
  <c r="B876" i="7"/>
  <c r="B875" i="7"/>
  <c r="B874" i="7"/>
  <c r="B873" i="7"/>
  <c r="B872" i="7"/>
  <c r="B871" i="7"/>
  <c r="B870" i="7"/>
  <c r="B869" i="7"/>
  <c r="B868" i="7"/>
  <c r="B867" i="7"/>
  <c r="B866" i="7"/>
  <c r="B865" i="7"/>
  <c r="B864" i="7"/>
  <c r="B863" i="7"/>
  <c r="B862" i="7"/>
  <c r="B861" i="7"/>
  <c r="B860" i="7"/>
  <c r="B859" i="7"/>
  <c r="B858" i="7"/>
  <c r="B857" i="7"/>
  <c r="B856" i="7"/>
  <c r="B855" i="7"/>
  <c r="B854" i="7"/>
  <c r="B853" i="7"/>
  <c r="B852" i="7"/>
  <c r="B851" i="7"/>
  <c r="B850" i="7"/>
  <c r="B849" i="7"/>
  <c r="B848" i="7"/>
  <c r="B847" i="7"/>
  <c r="B846" i="7"/>
  <c r="B845" i="7"/>
  <c r="B844" i="7"/>
  <c r="B843" i="7"/>
  <c r="B842" i="7"/>
  <c r="B841" i="7"/>
  <c r="B840" i="7"/>
  <c r="B839" i="7"/>
  <c r="B838" i="7"/>
  <c r="B837" i="7"/>
  <c r="B836" i="7"/>
  <c r="B835" i="7"/>
  <c r="B834" i="7"/>
  <c r="B833" i="7"/>
  <c r="B832" i="7"/>
  <c r="B831" i="7"/>
  <c r="B830" i="7"/>
  <c r="B829" i="7"/>
  <c r="B828" i="7"/>
  <c r="B827" i="7"/>
  <c r="B826" i="7"/>
  <c r="B825" i="7"/>
  <c r="B824" i="7"/>
  <c r="B823" i="7"/>
  <c r="B822" i="7"/>
  <c r="B821" i="7"/>
  <c r="B820" i="7"/>
  <c r="B819" i="7"/>
  <c r="B818" i="7"/>
  <c r="B817" i="7"/>
  <c r="B816" i="7"/>
  <c r="B815" i="7"/>
  <c r="B814" i="7"/>
  <c r="B813" i="7"/>
  <c r="B812" i="7"/>
  <c r="B811" i="7"/>
  <c r="B810" i="7"/>
  <c r="B809" i="7"/>
  <c r="B808" i="7"/>
  <c r="B807" i="7"/>
  <c r="B806" i="7"/>
  <c r="B805" i="7"/>
  <c r="B804" i="7"/>
  <c r="B803" i="7"/>
  <c r="B802" i="7"/>
  <c r="B801" i="7"/>
  <c r="B800" i="7"/>
  <c r="B799" i="7"/>
  <c r="B798" i="7"/>
  <c r="B797" i="7"/>
  <c r="B796" i="7"/>
  <c r="B795" i="7"/>
  <c r="B794" i="7"/>
  <c r="B793" i="7"/>
  <c r="B792" i="7"/>
  <c r="B791" i="7"/>
  <c r="B790" i="7"/>
  <c r="B789" i="7"/>
  <c r="B788" i="7"/>
  <c r="B787" i="7"/>
  <c r="B786" i="7"/>
  <c r="B785" i="7"/>
  <c r="B784" i="7"/>
  <c r="B783" i="7"/>
  <c r="B782" i="7"/>
  <c r="B781" i="7"/>
  <c r="B780" i="7"/>
  <c r="B779" i="7"/>
  <c r="B778" i="7"/>
  <c r="B777" i="7"/>
  <c r="B776" i="7"/>
  <c r="B775" i="7"/>
  <c r="B774" i="7"/>
  <c r="B773" i="7"/>
  <c r="B772" i="7"/>
  <c r="B771" i="7"/>
  <c r="B770" i="7"/>
  <c r="B769" i="7"/>
  <c r="B768" i="7"/>
  <c r="B767" i="7"/>
  <c r="B766" i="7"/>
  <c r="B765" i="7"/>
  <c r="B764" i="7"/>
  <c r="B763" i="7"/>
  <c r="B762" i="7"/>
  <c r="B761" i="7"/>
  <c r="B760" i="7"/>
  <c r="B759" i="7"/>
  <c r="B758" i="7"/>
  <c r="B757" i="7"/>
  <c r="B756" i="7"/>
  <c r="B755" i="7"/>
  <c r="B754" i="7"/>
  <c r="B753" i="7"/>
  <c r="B752" i="7"/>
  <c r="B751" i="7"/>
  <c r="B750" i="7"/>
  <c r="B749" i="7"/>
  <c r="B748" i="7"/>
  <c r="B747" i="7"/>
  <c r="B746" i="7"/>
  <c r="B745" i="7"/>
  <c r="B744" i="7"/>
  <c r="B743" i="7"/>
  <c r="B742" i="7"/>
  <c r="B741" i="7"/>
  <c r="B740" i="7"/>
  <c r="B739" i="7"/>
  <c r="B738" i="7"/>
  <c r="B737" i="7"/>
  <c r="B736" i="7"/>
  <c r="B735" i="7"/>
  <c r="B734" i="7"/>
  <c r="B733" i="7"/>
  <c r="B732" i="7"/>
  <c r="B731" i="7"/>
  <c r="B730" i="7"/>
  <c r="B729" i="7"/>
  <c r="B728" i="7"/>
  <c r="B727" i="7"/>
  <c r="B726" i="7"/>
  <c r="B725" i="7"/>
  <c r="B724" i="7"/>
  <c r="B723" i="7"/>
  <c r="B722" i="7"/>
  <c r="B721" i="7"/>
  <c r="B720" i="7"/>
  <c r="B719" i="7"/>
  <c r="B718" i="7"/>
  <c r="B717" i="7"/>
  <c r="B716" i="7"/>
  <c r="B715" i="7"/>
  <c r="B714" i="7"/>
  <c r="B713" i="7"/>
  <c r="B712" i="7"/>
  <c r="B711" i="7"/>
  <c r="B710" i="7"/>
  <c r="B709" i="7"/>
  <c r="B708" i="7"/>
  <c r="B707" i="7"/>
  <c r="B706" i="7"/>
  <c r="B705" i="7"/>
  <c r="B704" i="7"/>
  <c r="B703" i="7"/>
  <c r="B702" i="7"/>
  <c r="B701" i="7"/>
  <c r="B700" i="7"/>
  <c r="B699" i="7"/>
  <c r="B698" i="7"/>
  <c r="B697" i="7"/>
  <c r="B696" i="7"/>
  <c r="B695" i="7"/>
  <c r="B694" i="7"/>
  <c r="B693" i="7"/>
  <c r="B692" i="7"/>
  <c r="B691" i="7"/>
  <c r="B690" i="7"/>
  <c r="B689" i="7"/>
  <c r="B688" i="7"/>
  <c r="B687" i="7"/>
  <c r="B686" i="7"/>
  <c r="B685" i="7"/>
  <c r="B684" i="7"/>
  <c r="B683" i="7"/>
  <c r="B682" i="7"/>
  <c r="B681" i="7"/>
  <c r="B680" i="7"/>
  <c r="B679" i="7"/>
  <c r="B678" i="7"/>
  <c r="B677" i="7"/>
  <c r="B676" i="7"/>
  <c r="B675" i="7"/>
  <c r="B674" i="7"/>
  <c r="B673" i="7"/>
  <c r="B672" i="7"/>
  <c r="B671" i="7"/>
  <c r="B670" i="7"/>
  <c r="B669" i="7"/>
  <c r="B668" i="7"/>
  <c r="B667" i="7"/>
  <c r="B666" i="7"/>
  <c r="B665" i="7"/>
  <c r="B664" i="7"/>
  <c r="B663" i="7"/>
  <c r="B662" i="7"/>
  <c r="B661" i="7"/>
  <c r="B660" i="7"/>
  <c r="B659" i="7"/>
  <c r="B658" i="7"/>
  <c r="B657" i="7"/>
  <c r="B656" i="7"/>
  <c r="B655" i="7"/>
  <c r="B654" i="7"/>
  <c r="B653" i="7"/>
  <c r="B652" i="7"/>
  <c r="B651" i="7"/>
  <c r="B650" i="7"/>
  <c r="B649" i="7"/>
  <c r="B648" i="7"/>
  <c r="B647" i="7"/>
  <c r="B646" i="7"/>
  <c r="B645" i="7"/>
  <c r="B644" i="7"/>
  <c r="B643" i="7"/>
  <c r="B642" i="7"/>
  <c r="B641" i="7"/>
  <c r="B640" i="7"/>
  <c r="B639" i="7"/>
  <c r="B638" i="7"/>
  <c r="B637" i="7"/>
  <c r="B636" i="7"/>
  <c r="B635" i="7"/>
  <c r="B634" i="7"/>
  <c r="B633" i="7"/>
  <c r="B632" i="7"/>
  <c r="B631" i="7"/>
  <c r="B630" i="7"/>
  <c r="B629" i="7"/>
  <c r="B628" i="7"/>
  <c r="B627" i="7"/>
  <c r="B626" i="7"/>
  <c r="B625" i="7"/>
  <c r="B624" i="7"/>
  <c r="B623" i="7"/>
  <c r="B622" i="7"/>
  <c r="B621" i="7"/>
  <c r="B620" i="7"/>
  <c r="B619" i="7"/>
  <c r="B618" i="7"/>
  <c r="B617" i="7"/>
  <c r="B616" i="7"/>
  <c r="B615" i="7"/>
  <c r="B614" i="7"/>
  <c r="B613" i="7"/>
  <c r="B612" i="7"/>
  <c r="B611" i="7"/>
  <c r="B610" i="7"/>
  <c r="B609" i="7"/>
  <c r="B608" i="7"/>
  <c r="B607" i="7"/>
  <c r="B606" i="7"/>
  <c r="B605" i="7"/>
  <c r="B604" i="7"/>
  <c r="B603" i="7"/>
  <c r="B602" i="7"/>
  <c r="B601" i="7"/>
  <c r="B600" i="7"/>
  <c r="B599" i="7"/>
  <c r="B598" i="7"/>
  <c r="B597" i="7"/>
  <c r="B596" i="7"/>
  <c r="B595" i="7"/>
  <c r="B594" i="7"/>
  <c r="B593" i="7"/>
  <c r="B592" i="7"/>
  <c r="B591" i="7"/>
  <c r="B590" i="7"/>
  <c r="B589" i="7"/>
  <c r="B588" i="7"/>
  <c r="B587" i="7"/>
  <c r="B586" i="7"/>
  <c r="B585" i="7"/>
  <c r="B584" i="7"/>
  <c r="B583" i="7"/>
  <c r="B582" i="7"/>
  <c r="B581" i="7"/>
  <c r="B580" i="7"/>
  <c r="B579" i="7"/>
  <c r="B578" i="7"/>
  <c r="B577" i="7"/>
  <c r="B576" i="7"/>
  <c r="B575" i="7"/>
  <c r="B574" i="7"/>
  <c r="B573" i="7"/>
  <c r="B572" i="7"/>
  <c r="B571" i="7"/>
  <c r="B570" i="7"/>
  <c r="B569" i="7"/>
  <c r="B568" i="7"/>
  <c r="B567" i="7"/>
  <c r="B566" i="7"/>
  <c r="B565" i="7"/>
  <c r="B564" i="7"/>
  <c r="B563" i="7"/>
  <c r="B562" i="7"/>
  <c r="B561" i="7"/>
  <c r="B560" i="7"/>
  <c r="B559" i="7"/>
  <c r="B558" i="7"/>
  <c r="B557" i="7"/>
  <c r="B556" i="7"/>
  <c r="B555" i="7"/>
  <c r="B554" i="7"/>
  <c r="B553" i="7"/>
  <c r="B552" i="7"/>
  <c r="B551" i="7"/>
  <c r="B550" i="7"/>
  <c r="B549" i="7"/>
  <c r="B548" i="7"/>
  <c r="B547" i="7"/>
  <c r="B546" i="7"/>
  <c r="B545" i="7"/>
  <c r="B544" i="7"/>
  <c r="B543" i="7"/>
  <c r="B542" i="7"/>
  <c r="B541" i="7"/>
  <c r="B540" i="7"/>
  <c r="B539" i="7"/>
  <c r="B538" i="7"/>
  <c r="B537" i="7"/>
  <c r="B536" i="7"/>
  <c r="B535" i="7"/>
  <c r="B534" i="7"/>
  <c r="B533" i="7"/>
  <c r="B532" i="7"/>
  <c r="B531" i="7"/>
  <c r="B530" i="7"/>
  <c r="B529" i="7"/>
  <c r="B528" i="7"/>
  <c r="B527" i="7"/>
  <c r="B526" i="7"/>
  <c r="B525" i="7"/>
  <c r="B524" i="7"/>
  <c r="B523" i="7"/>
  <c r="B522" i="7"/>
  <c r="B521" i="7"/>
  <c r="B520" i="7"/>
  <c r="B519" i="7"/>
  <c r="B518" i="7"/>
  <c r="B517" i="7"/>
  <c r="B516" i="7"/>
  <c r="B515" i="7"/>
  <c r="B514" i="7"/>
  <c r="B513" i="7"/>
  <c r="B512" i="7"/>
  <c r="B511" i="7"/>
  <c r="B510" i="7"/>
  <c r="B509" i="7"/>
  <c r="B508" i="7"/>
  <c r="B507" i="7"/>
  <c r="B506" i="7"/>
  <c r="B505" i="7"/>
  <c r="B504" i="7"/>
  <c r="B503" i="7"/>
  <c r="B502" i="7"/>
  <c r="B501" i="7"/>
  <c r="B500" i="7"/>
  <c r="B499" i="7"/>
  <c r="B498" i="7"/>
  <c r="B497" i="7"/>
  <c r="B496" i="7"/>
  <c r="B495" i="7"/>
  <c r="B494" i="7"/>
  <c r="B493" i="7"/>
  <c r="B492" i="7"/>
  <c r="B491" i="7"/>
  <c r="B490" i="7"/>
  <c r="B489" i="7"/>
  <c r="B488" i="7"/>
  <c r="B487" i="7"/>
  <c r="B486" i="7"/>
  <c r="B485" i="7"/>
  <c r="B484" i="7"/>
  <c r="B483" i="7"/>
  <c r="B482" i="7"/>
  <c r="B481" i="7"/>
  <c r="B480" i="7"/>
  <c r="B479" i="7"/>
  <c r="B478" i="7"/>
  <c r="B477" i="7"/>
  <c r="B476" i="7"/>
  <c r="B475" i="7"/>
  <c r="B474" i="7"/>
  <c r="B473" i="7"/>
  <c r="B472" i="7"/>
  <c r="B471" i="7"/>
  <c r="B470" i="7"/>
  <c r="B469" i="7"/>
  <c r="B468" i="7"/>
  <c r="B467" i="7"/>
  <c r="B466" i="7"/>
  <c r="B465" i="7"/>
  <c r="B464" i="7"/>
  <c r="B463" i="7"/>
  <c r="B462" i="7"/>
  <c r="B461" i="7"/>
  <c r="B460" i="7"/>
  <c r="B459" i="7"/>
  <c r="B458" i="7"/>
  <c r="B457" i="7"/>
  <c r="B456" i="7"/>
  <c r="B455" i="7"/>
  <c r="B454" i="7"/>
  <c r="B453" i="7"/>
  <c r="B452" i="7"/>
  <c r="B451" i="7"/>
  <c r="B450" i="7"/>
  <c r="B449" i="7"/>
  <c r="B448" i="7"/>
  <c r="B447" i="7"/>
  <c r="B446" i="7"/>
  <c r="B445" i="7"/>
  <c r="B444" i="7"/>
  <c r="B443" i="7"/>
  <c r="B442" i="7"/>
  <c r="B441" i="7"/>
  <c r="B440" i="7"/>
  <c r="B439" i="7"/>
  <c r="B438" i="7"/>
  <c r="B437" i="7"/>
  <c r="B436" i="7"/>
  <c r="B435" i="7"/>
  <c r="B434" i="7"/>
  <c r="B433" i="7"/>
  <c r="B432" i="7"/>
  <c r="B431" i="7"/>
  <c r="B430" i="7"/>
  <c r="B429" i="7"/>
  <c r="B428" i="7"/>
  <c r="B427" i="7"/>
  <c r="B426" i="7"/>
  <c r="B425" i="7"/>
  <c r="B424" i="7"/>
  <c r="B423" i="7"/>
  <c r="B422" i="7"/>
  <c r="B421" i="7"/>
  <c r="B420" i="7"/>
  <c r="B419" i="7"/>
  <c r="B418" i="7"/>
  <c r="B417" i="7"/>
  <c r="B416" i="7"/>
  <c r="B415" i="7"/>
  <c r="B414" i="7"/>
  <c r="B413" i="7"/>
  <c r="B412" i="7"/>
  <c r="B411" i="7"/>
  <c r="B410" i="7"/>
  <c r="B409" i="7"/>
  <c r="B408" i="7"/>
  <c r="B407" i="7"/>
  <c r="B406" i="7"/>
  <c r="B405" i="7"/>
  <c r="B404" i="7"/>
  <c r="B403" i="7"/>
  <c r="B402" i="7"/>
  <c r="B401" i="7"/>
  <c r="B400" i="7"/>
  <c r="B399" i="7"/>
  <c r="B398" i="7"/>
  <c r="B397" i="7"/>
  <c r="B396" i="7"/>
  <c r="B395" i="7"/>
  <c r="B394" i="7"/>
  <c r="B393" i="7"/>
  <c r="B392" i="7"/>
  <c r="B391" i="7"/>
  <c r="B390" i="7"/>
  <c r="B389" i="7"/>
  <c r="B388" i="7"/>
  <c r="B387" i="7"/>
  <c r="B386" i="7"/>
  <c r="B385" i="7"/>
  <c r="B384" i="7"/>
  <c r="B383" i="7"/>
  <c r="B382" i="7"/>
  <c r="B381" i="7"/>
  <c r="B380" i="7"/>
  <c r="B379" i="7"/>
  <c r="B378" i="7"/>
  <c r="B377" i="7"/>
  <c r="B376" i="7"/>
  <c r="B375" i="7"/>
  <c r="B374" i="7"/>
  <c r="B373" i="7"/>
  <c r="B372" i="7"/>
  <c r="B371" i="7"/>
  <c r="B370" i="7"/>
  <c r="B369" i="7"/>
  <c r="B368" i="7"/>
  <c r="B367" i="7"/>
  <c r="B366" i="7"/>
  <c r="B365" i="7"/>
  <c r="B364" i="7"/>
  <c r="B363" i="7"/>
  <c r="B362" i="7"/>
  <c r="B361" i="7"/>
  <c r="B360" i="7"/>
  <c r="B359" i="7"/>
  <c r="B358" i="7"/>
  <c r="B357" i="7"/>
  <c r="B356" i="7"/>
  <c r="B355" i="7"/>
  <c r="B354" i="7"/>
  <c r="B353" i="7"/>
  <c r="B352" i="7"/>
  <c r="B351" i="7"/>
  <c r="B350" i="7"/>
  <c r="B349" i="7"/>
  <c r="B348" i="7"/>
  <c r="B347" i="7"/>
  <c r="B346" i="7"/>
  <c r="B345" i="7"/>
  <c r="B344" i="7"/>
  <c r="B343" i="7"/>
  <c r="B342" i="7"/>
  <c r="B341" i="7"/>
  <c r="B340" i="7"/>
  <c r="B339" i="7"/>
  <c r="B338" i="7"/>
  <c r="B337" i="7"/>
  <c r="B336" i="7"/>
  <c r="B335" i="7"/>
  <c r="B334" i="7"/>
  <c r="B333" i="7"/>
  <c r="B332" i="7"/>
  <c r="B331" i="7"/>
  <c r="B330" i="7"/>
  <c r="B329" i="7"/>
  <c r="B328" i="7"/>
  <c r="B327" i="7"/>
  <c r="B326" i="7"/>
  <c r="B325" i="7"/>
  <c r="B324" i="7"/>
  <c r="B323" i="7"/>
  <c r="B322" i="7"/>
  <c r="B321" i="7"/>
  <c r="B320" i="7"/>
  <c r="B319" i="7"/>
  <c r="B318" i="7"/>
  <c r="B317" i="7"/>
  <c r="B316" i="7"/>
  <c r="B315" i="7"/>
  <c r="B314" i="7"/>
  <c r="B313" i="7"/>
  <c r="B312" i="7"/>
  <c r="B311" i="7"/>
  <c r="B310" i="7"/>
  <c r="B309" i="7"/>
  <c r="B308" i="7"/>
  <c r="F307" i="7"/>
  <c r="B307" i="7"/>
  <c r="F306" i="7"/>
  <c r="B306" i="7"/>
  <c r="F305" i="7"/>
  <c r="B305" i="7"/>
  <c r="F304" i="7"/>
  <c r="B304" i="7"/>
  <c r="F303" i="7"/>
  <c r="B303" i="7"/>
  <c r="F302" i="7"/>
  <c r="B302" i="7"/>
  <c r="F301" i="7"/>
  <c r="B301" i="7"/>
  <c r="F300" i="7"/>
  <c r="B300" i="7"/>
  <c r="F299" i="7"/>
  <c r="B299" i="7"/>
  <c r="F298" i="7"/>
  <c r="B298" i="7"/>
  <c r="F297" i="7"/>
  <c r="B297" i="7"/>
  <c r="F296" i="7"/>
  <c r="B296" i="7"/>
  <c r="F295" i="7"/>
  <c r="B295" i="7"/>
  <c r="F294" i="7"/>
  <c r="B294" i="7"/>
  <c r="F293" i="7"/>
  <c r="B293" i="7"/>
  <c r="F292" i="7"/>
  <c r="B292" i="7"/>
  <c r="F291" i="7"/>
  <c r="B291" i="7"/>
  <c r="F290" i="7"/>
  <c r="B290" i="7"/>
  <c r="F289" i="7"/>
  <c r="B289" i="7"/>
  <c r="F288" i="7"/>
  <c r="B288" i="7"/>
  <c r="F287" i="7"/>
  <c r="B287" i="7"/>
  <c r="F286" i="7"/>
  <c r="B286" i="7"/>
  <c r="F285" i="7"/>
  <c r="B285" i="7"/>
  <c r="F284" i="7"/>
  <c r="B284" i="7"/>
  <c r="F283" i="7"/>
  <c r="B283" i="7"/>
  <c r="F282" i="7"/>
  <c r="B282" i="7"/>
  <c r="F281" i="7"/>
  <c r="B281" i="7"/>
  <c r="F280" i="7"/>
  <c r="B280" i="7"/>
  <c r="F279" i="7"/>
  <c r="B279" i="7"/>
  <c r="F278" i="7"/>
  <c r="B278" i="7"/>
  <c r="F277" i="7"/>
  <c r="B277" i="7"/>
  <c r="F276" i="7"/>
  <c r="B276" i="7"/>
  <c r="F275" i="7"/>
  <c r="B275" i="7"/>
  <c r="F274" i="7"/>
  <c r="B274" i="7"/>
  <c r="F273" i="7"/>
  <c r="B273" i="7"/>
  <c r="F272" i="7"/>
  <c r="B272" i="7"/>
  <c r="F271" i="7"/>
  <c r="B271" i="7"/>
  <c r="F270" i="7"/>
  <c r="B270" i="7"/>
  <c r="F269" i="7"/>
  <c r="B269" i="7"/>
  <c r="F268" i="7"/>
  <c r="B268" i="7"/>
  <c r="F267" i="7"/>
  <c r="B267" i="7"/>
  <c r="F266" i="7"/>
  <c r="B266" i="7"/>
  <c r="F265" i="7"/>
  <c r="B265" i="7"/>
  <c r="F264" i="7"/>
  <c r="B264" i="7"/>
  <c r="F263" i="7"/>
  <c r="B263" i="7"/>
  <c r="F262" i="7"/>
  <c r="B262" i="7"/>
  <c r="F261" i="7"/>
  <c r="B261" i="7"/>
  <c r="F260" i="7"/>
  <c r="B260" i="7"/>
  <c r="F259" i="7"/>
  <c r="B259" i="7"/>
  <c r="F258" i="7"/>
  <c r="B258" i="7"/>
  <c r="F257" i="7"/>
  <c r="B257" i="7"/>
  <c r="F256" i="7"/>
  <c r="B256" i="7"/>
  <c r="F255" i="7"/>
  <c r="B255" i="7"/>
  <c r="F254" i="7"/>
  <c r="B254" i="7"/>
  <c r="F253" i="7"/>
  <c r="B253" i="7"/>
  <c r="F252" i="7"/>
  <c r="B252" i="7"/>
  <c r="F251" i="7"/>
  <c r="B251" i="7"/>
  <c r="F250" i="7"/>
  <c r="B250" i="7"/>
  <c r="F249" i="7"/>
  <c r="B249" i="7"/>
  <c r="F248" i="7"/>
  <c r="B248" i="7"/>
  <c r="F247" i="7"/>
  <c r="B247" i="7"/>
  <c r="F246" i="7"/>
  <c r="B246" i="7"/>
  <c r="F245" i="7"/>
  <c r="B245" i="7"/>
  <c r="F244" i="7"/>
  <c r="B244" i="7"/>
  <c r="F243" i="7"/>
  <c r="B243" i="7"/>
  <c r="F242" i="7"/>
  <c r="B242" i="7"/>
  <c r="F241" i="7"/>
  <c r="B241" i="7"/>
  <c r="F240" i="7"/>
  <c r="B240" i="7"/>
  <c r="F239" i="7"/>
  <c r="B239" i="7"/>
  <c r="F238" i="7"/>
  <c r="B238" i="7"/>
  <c r="F237" i="7"/>
  <c r="B237" i="7"/>
  <c r="F236" i="7"/>
  <c r="B236" i="7"/>
  <c r="F235" i="7"/>
  <c r="B235" i="7"/>
  <c r="F234" i="7"/>
  <c r="B234" i="7"/>
  <c r="F233" i="7"/>
  <c r="B233" i="7"/>
  <c r="F232" i="7"/>
  <c r="B232" i="7"/>
  <c r="F231" i="7"/>
  <c r="B231" i="7"/>
  <c r="F230" i="7"/>
  <c r="B230" i="7"/>
  <c r="F229" i="7"/>
  <c r="B229" i="7"/>
  <c r="F228" i="7"/>
  <c r="B228" i="7"/>
  <c r="F227" i="7"/>
  <c r="B227" i="7"/>
  <c r="F226" i="7"/>
  <c r="B226" i="7"/>
  <c r="F225" i="7"/>
  <c r="B225" i="7"/>
  <c r="F224" i="7"/>
  <c r="B224" i="7"/>
  <c r="F223" i="7"/>
  <c r="B223" i="7"/>
  <c r="F222" i="7"/>
  <c r="B222" i="7"/>
  <c r="F221" i="7"/>
  <c r="B221" i="7"/>
  <c r="F220" i="7"/>
  <c r="B220" i="7"/>
  <c r="F219" i="7"/>
  <c r="B219" i="7"/>
  <c r="F218" i="7"/>
  <c r="B218" i="7"/>
  <c r="F217" i="7"/>
  <c r="B217" i="7"/>
  <c r="F216" i="7"/>
  <c r="B216" i="7"/>
  <c r="F215" i="7"/>
  <c r="B215" i="7"/>
  <c r="F214" i="7"/>
  <c r="B214" i="7"/>
  <c r="F213" i="7"/>
  <c r="B213" i="7"/>
  <c r="F212" i="7"/>
  <c r="B212" i="7"/>
  <c r="F211" i="7"/>
  <c r="B211" i="7"/>
  <c r="F210" i="7"/>
  <c r="B210" i="7"/>
  <c r="F209" i="7"/>
  <c r="B209" i="7"/>
  <c r="F208" i="7"/>
  <c r="B208" i="7"/>
  <c r="F207" i="7"/>
  <c r="B207" i="7"/>
  <c r="F206" i="7"/>
  <c r="B206" i="7"/>
  <c r="F205" i="7"/>
  <c r="B205" i="7"/>
  <c r="F204" i="7"/>
  <c r="B204" i="7"/>
  <c r="F203" i="7"/>
  <c r="B203" i="7"/>
  <c r="F202" i="7"/>
  <c r="B202" i="7"/>
  <c r="F201" i="7"/>
  <c r="B201" i="7"/>
  <c r="F200" i="7"/>
  <c r="B200" i="7"/>
  <c r="F199" i="7"/>
  <c r="B199" i="7"/>
  <c r="F198" i="7"/>
  <c r="B198" i="7"/>
  <c r="F197" i="7"/>
  <c r="B197" i="7"/>
  <c r="F196" i="7"/>
  <c r="B196" i="7"/>
  <c r="F195" i="7"/>
  <c r="B195" i="7"/>
  <c r="F194" i="7"/>
  <c r="B194" i="7"/>
  <c r="F193" i="7"/>
  <c r="B193" i="7"/>
  <c r="F192" i="7"/>
  <c r="B192" i="7"/>
  <c r="F191" i="7"/>
  <c r="B191" i="7"/>
  <c r="F190" i="7"/>
  <c r="B190" i="7"/>
  <c r="F189" i="7"/>
  <c r="B189" i="7"/>
  <c r="F188" i="7"/>
  <c r="B188" i="7"/>
  <c r="F187" i="7"/>
  <c r="B187" i="7"/>
  <c r="F186" i="7"/>
  <c r="B186" i="7"/>
  <c r="F185" i="7"/>
  <c r="B185" i="7"/>
  <c r="F184" i="7"/>
  <c r="B184" i="7"/>
  <c r="F183" i="7"/>
  <c r="B183" i="7"/>
  <c r="F182" i="7"/>
  <c r="B182" i="7"/>
  <c r="F181" i="7"/>
  <c r="B181" i="7"/>
  <c r="F180" i="7"/>
  <c r="B180" i="7"/>
  <c r="F179" i="7"/>
  <c r="B179" i="7"/>
  <c r="F178" i="7"/>
  <c r="B178" i="7"/>
  <c r="F177" i="7"/>
  <c r="B177" i="7"/>
  <c r="F176" i="7"/>
  <c r="B176" i="7"/>
  <c r="F175" i="7"/>
  <c r="B175" i="7"/>
  <c r="F174" i="7"/>
  <c r="B174" i="7"/>
  <c r="F173" i="7"/>
  <c r="B173" i="7"/>
  <c r="F172" i="7"/>
  <c r="B172" i="7"/>
  <c r="F171" i="7"/>
  <c r="B171" i="7"/>
  <c r="F170" i="7"/>
  <c r="B170" i="7"/>
  <c r="F169" i="7"/>
  <c r="B169" i="7"/>
  <c r="F168" i="7"/>
  <c r="B168" i="7"/>
  <c r="F167" i="7"/>
  <c r="B167" i="7"/>
  <c r="F166" i="7"/>
  <c r="B166" i="7"/>
  <c r="F165" i="7"/>
  <c r="B165" i="7"/>
  <c r="F164" i="7"/>
  <c r="B164" i="7"/>
  <c r="F163" i="7"/>
  <c r="B163" i="7"/>
  <c r="F162" i="7"/>
  <c r="B162" i="7"/>
  <c r="F161" i="7"/>
  <c r="B161" i="7"/>
  <c r="F160" i="7"/>
  <c r="B160" i="7"/>
  <c r="F159" i="7"/>
  <c r="B159" i="7"/>
  <c r="F158" i="7"/>
  <c r="B158" i="7"/>
  <c r="F157" i="7"/>
  <c r="B157" i="7"/>
  <c r="F156" i="7"/>
  <c r="B156" i="7"/>
  <c r="F155" i="7"/>
  <c r="B155" i="7"/>
  <c r="F154" i="7"/>
  <c r="B154" i="7"/>
  <c r="F153" i="7"/>
  <c r="B153" i="7"/>
  <c r="F152" i="7"/>
  <c r="B152" i="7"/>
  <c r="F151" i="7"/>
  <c r="B151" i="7"/>
  <c r="F150" i="7"/>
  <c r="B150" i="7"/>
  <c r="F149" i="7"/>
  <c r="B149" i="7"/>
  <c r="F148" i="7"/>
  <c r="B148" i="7"/>
  <c r="F147" i="7"/>
  <c r="B147" i="7"/>
  <c r="F146" i="7"/>
  <c r="B146" i="7"/>
  <c r="F145" i="7"/>
  <c r="B145" i="7"/>
  <c r="F144" i="7"/>
  <c r="B144" i="7"/>
  <c r="F143" i="7"/>
  <c r="B143" i="7"/>
  <c r="F142" i="7"/>
  <c r="B142" i="7"/>
  <c r="F141" i="7"/>
  <c r="B141" i="7"/>
  <c r="F140" i="7"/>
  <c r="B140" i="7"/>
  <c r="F139" i="7"/>
  <c r="B139" i="7"/>
  <c r="F138" i="7"/>
  <c r="B138" i="7"/>
  <c r="F137" i="7"/>
  <c r="B137" i="7"/>
  <c r="F136" i="7"/>
  <c r="B136" i="7"/>
  <c r="F135" i="7"/>
  <c r="B135" i="7"/>
  <c r="F134" i="7"/>
  <c r="B134" i="7"/>
  <c r="F133" i="7"/>
  <c r="B133" i="7"/>
  <c r="F132" i="7"/>
  <c r="B132" i="7"/>
  <c r="F131" i="7"/>
  <c r="B131" i="7"/>
  <c r="F130" i="7"/>
  <c r="B130" i="7"/>
  <c r="F129" i="7"/>
  <c r="B129" i="7"/>
  <c r="F128" i="7"/>
  <c r="B128" i="7"/>
  <c r="F127" i="7"/>
  <c r="B127" i="7"/>
  <c r="F126" i="7"/>
  <c r="B126" i="7"/>
  <c r="F125" i="7"/>
  <c r="B125" i="7"/>
  <c r="F124" i="7"/>
  <c r="B124" i="7"/>
  <c r="F123" i="7"/>
  <c r="B123" i="7"/>
  <c r="F122" i="7"/>
  <c r="B122" i="7"/>
  <c r="F121" i="7"/>
  <c r="B121" i="7"/>
  <c r="F120" i="7"/>
  <c r="B120" i="7"/>
  <c r="F119" i="7"/>
  <c r="B119" i="7"/>
  <c r="F118" i="7"/>
  <c r="B118" i="7"/>
  <c r="F117" i="7"/>
  <c r="B117" i="7"/>
  <c r="F116" i="7"/>
  <c r="B116" i="7"/>
  <c r="F115" i="7"/>
  <c r="B115" i="7"/>
  <c r="F114" i="7"/>
  <c r="B114" i="7"/>
  <c r="F113" i="7"/>
  <c r="B113" i="7"/>
  <c r="F112" i="7"/>
  <c r="B112" i="7"/>
  <c r="F111" i="7"/>
  <c r="B111" i="7"/>
  <c r="F110" i="7"/>
  <c r="B110" i="7"/>
  <c r="F109" i="7"/>
  <c r="B109" i="7"/>
  <c r="F108" i="7"/>
  <c r="B108" i="7"/>
  <c r="F107" i="7"/>
  <c r="B107" i="7"/>
  <c r="F106" i="7"/>
  <c r="B106" i="7"/>
  <c r="F105" i="7"/>
  <c r="B105" i="7"/>
  <c r="F104" i="7"/>
  <c r="B104" i="7"/>
  <c r="F103" i="7"/>
  <c r="B103" i="7"/>
  <c r="F102" i="7"/>
  <c r="B102" i="7"/>
  <c r="F101" i="7"/>
  <c r="B101" i="7"/>
  <c r="F100" i="7"/>
  <c r="B100" i="7"/>
  <c r="F99" i="7"/>
  <c r="B99" i="7"/>
  <c r="F98" i="7"/>
  <c r="B98" i="7"/>
  <c r="F97" i="7"/>
  <c r="B97" i="7"/>
  <c r="F96" i="7"/>
  <c r="B96" i="7"/>
  <c r="F95" i="7"/>
  <c r="B95" i="7"/>
  <c r="F94" i="7"/>
  <c r="B94" i="7"/>
  <c r="F93" i="7"/>
  <c r="B93" i="7"/>
  <c r="F92" i="7"/>
  <c r="B92" i="7"/>
  <c r="F91" i="7"/>
  <c r="B91" i="7"/>
  <c r="F90" i="7"/>
  <c r="B90" i="7"/>
  <c r="F89" i="7"/>
  <c r="B89" i="7"/>
  <c r="F88" i="7"/>
  <c r="B88" i="7"/>
  <c r="F87" i="7"/>
  <c r="B87" i="7"/>
  <c r="F86" i="7"/>
  <c r="B86" i="7"/>
  <c r="F85" i="7"/>
  <c r="B85" i="7"/>
  <c r="F84" i="7"/>
  <c r="B84" i="7"/>
  <c r="F83" i="7"/>
  <c r="B83" i="7"/>
  <c r="F82" i="7"/>
  <c r="B82" i="7"/>
  <c r="F81" i="7"/>
  <c r="B81" i="7"/>
  <c r="F80" i="7"/>
  <c r="B80" i="7"/>
  <c r="F79" i="7"/>
  <c r="B79" i="7"/>
  <c r="F78" i="7"/>
  <c r="B78" i="7"/>
  <c r="F77" i="7"/>
  <c r="B77" i="7"/>
  <c r="F76" i="7"/>
  <c r="B76" i="7"/>
  <c r="F75" i="7"/>
  <c r="B75" i="7"/>
  <c r="F74" i="7"/>
  <c r="B74" i="7"/>
  <c r="F73" i="7"/>
  <c r="B73" i="7"/>
  <c r="F72" i="7"/>
  <c r="B72" i="7"/>
  <c r="F71" i="7"/>
  <c r="B71" i="7"/>
  <c r="F70" i="7"/>
  <c r="B70" i="7"/>
  <c r="F69" i="7"/>
  <c r="B69" i="7"/>
  <c r="F68" i="7"/>
  <c r="B68" i="7"/>
  <c r="F67" i="7"/>
  <c r="B67" i="7"/>
  <c r="F66" i="7"/>
  <c r="B66" i="7"/>
  <c r="F65" i="7"/>
  <c r="B65" i="7"/>
  <c r="F64" i="7"/>
  <c r="B64" i="7"/>
  <c r="F63" i="7"/>
  <c r="B63" i="7"/>
  <c r="F62" i="7"/>
  <c r="B62" i="7"/>
  <c r="F61" i="7"/>
  <c r="B61" i="7"/>
  <c r="F60" i="7"/>
  <c r="B60" i="7"/>
  <c r="F59" i="7"/>
  <c r="B59" i="7"/>
  <c r="F58" i="7"/>
  <c r="B58" i="7"/>
  <c r="F57" i="7"/>
  <c r="B57" i="7"/>
  <c r="F56" i="7"/>
  <c r="B56" i="7"/>
  <c r="F55" i="7"/>
  <c r="B55" i="7"/>
  <c r="F54" i="7"/>
  <c r="B54" i="7"/>
  <c r="F53" i="7"/>
  <c r="B53" i="7"/>
  <c r="F52" i="7"/>
  <c r="B52" i="7"/>
  <c r="F51" i="7"/>
  <c r="B51" i="7"/>
  <c r="F50" i="7"/>
  <c r="B50" i="7"/>
  <c r="F49" i="7"/>
  <c r="B49" i="7"/>
  <c r="F48" i="7"/>
  <c r="B48" i="7"/>
  <c r="F47" i="7"/>
  <c r="B47" i="7"/>
  <c r="F46" i="7"/>
  <c r="B46" i="7"/>
  <c r="F45" i="7"/>
  <c r="B45" i="7"/>
  <c r="F44" i="7"/>
  <c r="B44" i="7"/>
  <c r="F43" i="7"/>
  <c r="B43" i="7"/>
  <c r="F42" i="7"/>
  <c r="B42" i="7"/>
  <c r="F41" i="7"/>
  <c r="B41" i="7"/>
  <c r="F40" i="7"/>
  <c r="B40" i="7"/>
  <c r="F39" i="7"/>
  <c r="B39" i="7"/>
  <c r="F38" i="7"/>
  <c r="B38" i="7"/>
  <c r="F37" i="7"/>
  <c r="B37" i="7"/>
  <c r="F36" i="7"/>
  <c r="B36" i="7"/>
  <c r="F35" i="7"/>
  <c r="B35" i="7"/>
  <c r="F34" i="7"/>
  <c r="B34" i="7"/>
  <c r="F33" i="7"/>
  <c r="B33" i="7"/>
  <c r="F32" i="7"/>
  <c r="B32" i="7"/>
  <c r="F31" i="7"/>
  <c r="B31" i="7"/>
  <c r="F30" i="7"/>
  <c r="B30" i="7"/>
  <c r="F29" i="7"/>
  <c r="B29" i="7"/>
  <c r="F28" i="7"/>
  <c r="B28" i="7"/>
  <c r="F27" i="7"/>
  <c r="B27" i="7"/>
  <c r="F26" i="7"/>
  <c r="B26" i="7"/>
  <c r="F25" i="7"/>
  <c r="B25" i="7"/>
  <c r="F24" i="7"/>
  <c r="B24" i="7"/>
  <c r="F23" i="7"/>
  <c r="B23" i="7"/>
  <c r="F22" i="7"/>
  <c r="B22" i="7"/>
  <c r="F21" i="7"/>
  <c r="B21" i="7"/>
  <c r="F20" i="7"/>
  <c r="B20" i="7"/>
  <c r="F19" i="7"/>
  <c r="B19" i="7"/>
  <c r="F18" i="7"/>
  <c r="B18" i="7"/>
  <c r="F17" i="7"/>
  <c r="B17" i="7"/>
  <c r="F16" i="7"/>
  <c r="B16" i="7"/>
  <c r="F15" i="7"/>
  <c r="B15" i="7"/>
  <c r="F14" i="7"/>
  <c r="B14" i="7"/>
  <c r="F13" i="7"/>
  <c r="B13" i="7"/>
  <c r="F12" i="7"/>
  <c r="B12" i="7"/>
  <c r="F11" i="7"/>
  <c r="B11" i="7"/>
  <c r="F10" i="7"/>
  <c r="B10" i="7"/>
  <c r="F9" i="7"/>
  <c r="B9" i="7"/>
  <c r="F8" i="7"/>
  <c r="B8" i="7"/>
  <c r="F7" i="7"/>
  <c r="B7" i="7"/>
  <c r="F6" i="7"/>
  <c r="B6" i="7"/>
  <c r="F5" i="7"/>
  <c r="B5" i="7"/>
  <c r="F4" i="7"/>
  <c r="B4" i="7"/>
  <c r="F3" i="7"/>
  <c r="B3" i="7"/>
  <c r="F2" i="7"/>
  <c r="B2" i="7"/>
  <c r="T1" i="21"/>
  <c r="R1" i="21"/>
  <c r="R3" i="21" s="1"/>
  <c r="R4" i="21" s="1"/>
  <c r="AA48" i="28" l="1"/>
  <c r="Z49" i="28"/>
  <c r="AD47" i="28"/>
  <c r="AE47" i="28"/>
  <c r="AC47" i="28"/>
  <c r="Z50" i="28" l="1"/>
  <c r="AA50" i="28" s="1"/>
  <c r="AA49" i="28"/>
  <c r="AD48" i="28"/>
  <c r="AE48" i="28"/>
  <c r="AC48" i="28"/>
  <c r="AD49" i="28" l="1"/>
  <c r="AE49" i="28"/>
  <c r="AC49" i="28"/>
  <c r="AE50" i="28"/>
  <c r="AD50" i="28"/>
  <c r="AC50" i="28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MASINE" type="1" refreshedVersion="8" savePassword="1" background="1" refreshOnLoad="1" saveData="1">
    <dbPr connection="DRIVER=SQL Server Native Client 11.0;SERVER=192.168.0.45,1433;UID=gstmtprint;PWD=GStmt321$;APP=Microsoft Office 2010;WSID=MLADEN-PC;DATABASE=SBO_GS-TMT_GOLIVE_JAN;" command="select code as 'Kod Masine', [name] as 'Naziv Masine' _x000d__x000a__x000d__x000a_from [dbo].[@BXPWORKCENTER]"/>
  </connection>
  <connection id="2" xr16:uid="{87834944-3328-49C2-B2E6-2864F768A721}" keepAlive="1" name="Query - DatumSAS" description="Connection to the 'DatumSAS' query in the workbook." type="5" refreshedVersion="7" background="1" saveData="1">
    <dbPr connection="Provider=Microsoft.Mashup.OleDb.1;Data Source=$Workbook$;Location=DatumSAS;Extended Properties=&quot;&quot;" command="SELECT * FROM [DatumSAS]"/>
  </connection>
  <connection id="3" xr16:uid="{A003C189-6BBD-4D5D-93BD-AB52BD91DADE}" keepAlive="1" name="Query - PlanMasine" description="Connection to the 'PlanMasine' query in the workbook." type="5" refreshedVersion="8" background="1" refreshOnLoad="1" saveData="1">
    <dbPr connection="Provider=Microsoft.Mashup.OleDb.1;Data Source=$Workbook$;Location=PlanMasine;Extended Properties=&quot;&quot;" command="SELECT * FROM [PlanMasine]"/>
  </connection>
  <connection id="4" xr16:uid="{8DD04327-7540-4BB0-B124-9BDAA73300D5}" keepAlive="1" name="Query - ZADAVANJE" description="Connection to the 'ZADAVANJE' query in the workbook." type="5" refreshedVersion="7" background="1" refreshOnLoad="1" saveData="1">
    <dbPr connection="Provider=Microsoft.Mashup.OleDb.1;Data Source=$Workbook$;Location=ZADAVANJE;Extended Properties=&quot;&quot;" command="SELECT * FROM [ZADAVANJE]"/>
  </connection>
</connections>
</file>

<file path=xl/sharedStrings.xml><?xml version="1.0" encoding="utf-8"?>
<sst xmlns="http://schemas.openxmlformats.org/spreadsheetml/2006/main" count="17606" uniqueCount="2480">
  <si>
    <t>RN</t>
  </si>
  <si>
    <t>Kod Masine</t>
  </si>
  <si>
    <t>Naziv Masine</t>
  </si>
  <si>
    <t>MGM100</t>
  </si>
  <si>
    <t>"MGM" Omnicut 3100</t>
  </si>
  <si>
    <t>SAV100</t>
  </si>
  <si>
    <t>G700</t>
  </si>
  <si>
    <t>G1100</t>
  </si>
  <si>
    <t>H1400</t>
  </si>
  <si>
    <t>Bravarsko radno mjesto 1.1</t>
  </si>
  <si>
    <t>H1500</t>
  </si>
  <si>
    <t>Bravarsko Radno mjesto 1.5</t>
  </si>
  <si>
    <t>H1600</t>
  </si>
  <si>
    <t>Bravarsko radno mjesto 2.1</t>
  </si>
  <si>
    <t>BR200</t>
  </si>
  <si>
    <t>BR100</t>
  </si>
  <si>
    <t>Brusilica "Smederevo"</t>
  </si>
  <si>
    <t>BR300</t>
  </si>
  <si>
    <t>Brusilica kruzna AFD3000AF</t>
  </si>
  <si>
    <t>BU100</t>
  </si>
  <si>
    <t>BU200</t>
  </si>
  <si>
    <t>Buš "Pobeda" RB-70x1600/2</t>
  </si>
  <si>
    <t>BU300</t>
  </si>
  <si>
    <t>Buš "Pobeda" RB-70x1600/3</t>
  </si>
  <si>
    <t>G1000</t>
  </si>
  <si>
    <t>G1400</t>
  </si>
  <si>
    <t>G1300</t>
  </si>
  <si>
    <t>CNC Glodalica  "MAHO" MH1200S</t>
  </si>
  <si>
    <t>G1500</t>
  </si>
  <si>
    <t>CNC Glodalica  "MAHO" MH1600S</t>
  </si>
  <si>
    <t>G1600</t>
  </si>
  <si>
    <t>CNC Glodalica "Haas TM3"</t>
  </si>
  <si>
    <t>BU400</t>
  </si>
  <si>
    <t>CNC Glodalica "Kunzmann"</t>
  </si>
  <si>
    <t>G1200</t>
  </si>
  <si>
    <t>CNC Glodalica "MAHO MH 600 E2"</t>
  </si>
  <si>
    <t>G1700</t>
  </si>
  <si>
    <t>Str500</t>
  </si>
  <si>
    <t>F100</t>
  </si>
  <si>
    <t>Farbaona</t>
  </si>
  <si>
    <t>500</t>
  </si>
  <si>
    <t>Glod "Köllmann" PT500</t>
  </si>
  <si>
    <t>G500</t>
  </si>
  <si>
    <t>Glod "Köllmann" PT500'</t>
  </si>
  <si>
    <t>G300</t>
  </si>
  <si>
    <t>Glod "Prvomajska" ALG-200B/1</t>
  </si>
  <si>
    <t>G400</t>
  </si>
  <si>
    <t>Glod "Prvomajska" ALG-200B/2</t>
  </si>
  <si>
    <t>G100</t>
  </si>
  <si>
    <t>Glod "Prvomajska" GHK-3N</t>
  </si>
  <si>
    <t>G800</t>
  </si>
  <si>
    <t>Glod "Prvomajska" GUK-2N</t>
  </si>
  <si>
    <t>G200</t>
  </si>
  <si>
    <t>Glod "Prvomajska" GVK-3N</t>
  </si>
  <si>
    <t>G600</t>
  </si>
  <si>
    <t>G900</t>
  </si>
  <si>
    <t>H1300</t>
  </si>
  <si>
    <t>Heftačko mj. 10</t>
  </si>
  <si>
    <t>H1100</t>
  </si>
  <si>
    <t>Heftačko mj. 11 Veliki sklop.</t>
  </si>
  <si>
    <t>H1200</t>
  </si>
  <si>
    <t>Heftačko mj. 12 Betstender</t>
  </si>
  <si>
    <t>H200</t>
  </si>
  <si>
    <t>Heftačko mj. 2 Knorr B.</t>
  </si>
  <si>
    <t>H300</t>
  </si>
  <si>
    <t>Heftačko mj. 3  Hinterwagen</t>
  </si>
  <si>
    <t>H400</t>
  </si>
  <si>
    <t>Heftačko mj. 4 Konsole</t>
  </si>
  <si>
    <t>H500</t>
  </si>
  <si>
    <t>Heftačko mj. 5 Fuehrungsbett</t>
  </si>
  <si>
    <t>H600</t>
  </si>
  <si>
    <t>Heftačko mj. 6 Staender</t>
  </si>
  <si>
    <t>H700</t>
  </si>
  <si>
    <t>Heftačko mj. 7 Kreuzschliten</t>
  </si>
  <si>
    <t>HB100</t>
  </si>
  <si>
    <t>Heftačko mjesto - Zavarivač</t>
  </si>
  <si>
    <t>H100</t>
  </si>
  <si>
    <t>Heftačko mjesto 1</t>
  </si>
  <si>
    <t>H800N</t>
  </si>
  <si>
    <t>Heftacko mjesto neograniceno</t>
  </si>
  <si>
    <t>BU500</t>
  </si>
  <si>
    <t>IZ100</t>
  </si>
  <si>
    <t>Izdavanje poluproizvoda</t>
  </si>
  <si>
    <t>P400</t>
  </si>
  <si>
    <t>Jedinica za plastificiranje</t>
  </si>
  <si>
    <t>K100</t>
  </si>
  <si>
    <t>Kontrola kvaliteta</t>
  </si>
  <si>
    <t>PJES100</t>
  </si>
  <si>
    <t>masina za pjeskarenje</t>
  </si>
  <si>
    <t>MzR100</t>
  </si>
  <si>
    <t>Mjesto za rad 1</t>
  </si>
  <si>
    <t>Pol100</t>
  </si>
  <si>
    <t>Ne koristi se!</t>
  </si>
  <si>
    <t>Pla100</t>
  </si>
  <si>
    <t>Ne koristi se!!</t>
  </si>
  <si>
    <t>OC100</t>
  </si>
  <si>
    <t>P300</t>
  </si>
  <si>
    <t>Peć za polimerizaciju praha</t>
  </si>
  <si>
    <t>P100</t>
  </si>
  <si>
    <t>Peć za žarenje</t>
  </si>
  <si>
    <t>PO100</t>
  </si>
  <si>
    <t>Pomoćni radnici</t>
  </si>
  <si>
    <t>PO200</t>
  </si>
  <si>
    <t>Pomoćni radnici (bicikl)</t>
  </si>
  <si>
    <t>G1800</t>
  </si>
  <si>
    <t>Radijalna busilica Kikinda RB-40</t>
  </si>
  <si>
    <t>WCDO</t>
  </si>
  <si>
    <t>RC dodatno vrijeme</t>
  </si>
  <si>
    <t>RE200</t>
  </si>
  <si>
    <t>Rendisaljka Minganti SM100</t>
  </si>
  <si>
    <t>RE100</t>
  </si>
  <si>
    <t>Rendisaljka Minganti SM360</t>
  </si>
  <si>
    <t>RO100</t>
  </si>
  <si>
    <t>Rol Masina</t>
  </si>
  <si>
    <t>S100</t>
  </si>
  <si>
    <t>Sekator</t>
  </si>
  <si>
    <t>Str200</t>
  </si>
  <si>
    <t>Strug "Böhringer" D-530/2000</t>
  </si>
  <si>
    <t>Str100</t>
  </si>
  <si>
    <t>Strug "Böhringer" DE-480/1500</t>
  </si>
  <si>
    <t>Str400</t>
  </si>
  <si>
    <t>Strug "Prvomajska" ADA/PA</t>
  </si>
  <si>
    <t>Str300</t>
  </si>
  <si>
    <t>Strug "Prvomajska" PA900R</t>
  </si>
  <si>
    <t>TE100</t>
  </si>
  <si>
    <t>TE200</t>
  </si>
  <si>
    <t>Test Horizontalna HB 280 B</t>
  </si>
  <si>
    <t>R100</t>
  </si>
  <si>
    <t>Testera MEBA 335GA</t>
  </si>
  <si>
    <t>U100</t>
  </si>
  <si>
    <t>Usluga</t>
  </si>
  <si>
    <t>Z100</t>
  </si>
  <si>
    <t>Zavarivačko mjesto 1</t>
  </si>
  <si>
    <t>Z1000</t>
  </si>
  <si>
    <t>Zavarivačko mjesto 10</t>
  </si>
  <si>
    <t>Z1100</t>
  </si>
  <si>
    <t>Zavarivačko mjesto 11</t>
  </si>
  <si>
    <t>Z1200</t>
  </si>
  <si>
    <t>Zavarivačko mjesto 12</t>
  </si>
  <si>
    <t>Z1300</t>
  </si>
  <si>
    <t>Zavarivačko mjesto 13</t>
  </si>
  <si>
    <t>Z1400</t>
  </si>
  <si>
    <t>Zavarivačko mjesto 14</t>
  </si>
  <si>
    <t>Z1500</t>
  </si>
  <si>
    <t>Zavarivačko mjesto 15</t>
  </si>
  <si>
    <t>Z1600</t>
  </si>
  <si>
    <t>Zavarivačko mjesto 16 (bicikl)</t>
  </si>
  <si>
    <t>Z200</t>
  </si>
  <si>
    <t>Zavarivacko mjesto 2</t>
  </si>
  <si>
    <t>Z300</t>
  </si>
  <si>
    <t>Zavarivačko mjesto 3</t>
  </si>
  <si>
    <t>Z400</t>
  </si>
  <si>
    <t>Zavarivačko mjesto 4</t>
  </si>
  <si>
    <t>Z500</t>
  </si>
  <si>
    <t>Zavarivačko mjesto 5</t>
  </si>
  <si>
    <t>Z600</t>
  </si>
  <si>
    <t>Zavarivačko mjesto 6</t>
  </si>
  <si>
    <t>Z700</t>
  </si>
  <si>
    <t>Zavarivačko mjesto 7</t>
  </si>
  <si>
    <t>Z800</t>
  </si>
  <si>
    <t>Zavarivačko mjesto 8</t>
  </si>
  <si>
    <t>Z900</t>
  </si>
  <si>
    <t>Zavarivačko mjesto 9</t>
  </si>
  <si>
    <t>Z1700</t>
  </si>
  <si>
    <t>Zavarivacko radno mjesto 1.2</t>
  </si>
  <si>
    <t>Z1800</t>
  </si>
  <si>
    <t>Zavarivacko radno mjesto 2.2</t>
  </si>
  <si>
    <t>Z1900</t>
  </si>
  <si>
    <t>Zavarivacko radno mjesto 2.3</t>
  </si>
  <si>
    <t>SAV200</t>
  </si>
  <si>
    <t>ZOPF ZB60/3 H</t>
  </si>
  <si>
    <t>Konsole (G526-1100-0100-01-2)-W008</t>
  </si>
  <si>
    <t>LBH HW088 WP11449089 P80</t>
  </si>
  <si>
    <t>Fuehrungsbett (R-G326-1100-0104-01-1)-W002</t>
  </si>
  <si>
    <t>LBH HW088 i 464 WP11449093 P120</t>
  </si>
  <si>
    <t>Kreuzschlitten (R-G350-1200-0010-03-1)-W004</t>
  </si>
  <si>
    <t>Kreuzschlitten (R-G350-1200-0010-03-1)-W020</t>
  </si>
  <si>
    <t>WUH Stutze STANDARD cijev tip 01 L=2312</t>
  </si>
  <si>
    <t>WUH Extruderrahmen 30188339- P2 cijev 140x140x10 x1</t>
  </si>
  <si>
    <t>SALV Grundrahmen (P4L-2116/P2L-21)-46M06432A201</t>
  </si>
  <si>
    <t>Datum</t>
  </si>
  <si>
    <t>Dan</t>
  </si>
  <si>
    <t>KPL</t>
  </si>
  <si>
    <t>KPLQ</t>
  </si>
  <si>
    <t>NAZIV</t>
  </si>
  <si>
    <t>Norma</t>
  </si>
  <si>
    <t>Q</t>
  </si>
  <si>
    <t>ZQ</t>
  </si>
  <si>
    <t>CQ</t>
  </si>
  <si>
    <t>WC</t>
  </si>
  <si>
    <t>WCNAME</t>
  </si>
  <si>
    <t>MTO</t>
  </si>
  <si>
    <t>Isporuka</t>
  </si>
  <si>
    <t>TIME</t>
  </si>
  <si>
    <t>Datum SAS</t>
  </si>
  <si>
    <t>STATUS</t>
  </si>
  <si>
    <t>START:</t>
  </si>
  <si>
    <t>TRAJANJE</t>
  </si>
  <si>
    <t>PAUZA</t>
  </si>
  <si>
    <t>-</t>
  </si>
  <si>
    <t>END TIME</t>
  </si>
  <si>
    <t>NORMA/J</t>
  </si>
  <si>
    <t>DATUM:</t>
  </si>
  <si>
    <t>VRIJEME:</t>
  </si>
  <si>
    <t>SAP</t>
  </si>
  <si>
    <t>Nova godina</t>
  </si>
  <si>
    <t>Međunarodni praznik rada</t>
  </si>
  <si>
    <t>PROMJENA</t>
  </si>
  <si>
    <t>KASNI</t>
  </si>
  <si>
    <t>START</t>
  </si>
  <si>
    <t>KOMBINACIJA</t>
  </si>
  <si>
    <t>NAZIV POZICIJE</t>
  </si>
  <si>
    <t>S2</t>
  </si>
  <si>
    <t>S3</t>
  </si>
  <si>
    <t>S1</t>
  </si>
  <si>
    <t>HITNO</t>
  </si>
  <si>
    <t>G1900</t>
  </si>
  <si>
    <t>KB Alstom (C202184) P3</t>
  </si>
  <si>
    <t>Kampf Rahmenunterbau 882008068-Podsklop PS3x1</t>
  </si>
  <si>
    <t>Kampf Rahmenunterbau 882007909 - Podsklop PS1 x1</t>
  </si>
  <si>
    <t>Kampf Rahmenunterbau 882007909 - Podsklop PS3 x1</t>
  </si>
  <si>
    <t>Kampf Rahmenunterbau 882008068-Podsklop PS2x1</t>
  </si>
  <si>
    <t>Traeger (R-G526-1900-0000-04-1)-W007</t>
  </si>
  <si>
    <t>Traeger (R-G526-1900-0000-04-1)-W015</t>
  </si>
  <si>
    <t>Traeger (R-G526-1900-0000-04-1)-W014</t>
  </si>
  <si>
    <t>Traeger (G516-1900-0000-03-6)-W002</t>
  </si>
  <si>
    <t>SALV Haltewange (P4L-3220 ST)-46M06252A418-P240</t>
  </si>
  <si>
    <t>SALV Haltewange (P4L-3220 ST)-46M06252A401-P100</t>
  </si>
  <si>
    <t>Kampf Hebel 882058723-P2 cijev 100x100x10 x1</t>
  </si>
  <si>
    <t>WUH Stutze STANDARD cijev tip 04 L=2312</t>
  </si>
  <si>
    <t>SALV Grundrahmen (P4L_3216)-46M06221A362</t>
  </si>
  <si>
    <t>SALV Grundrahmen (P4L_3216)-46M06221A305</t>
  </si>
  <si>
    <t>SALV Grundrahmen (P4L_3216)-46M06221A361</t>
  </si>
  <si>
    <t>SALV Grundgestell P2P/2116 Schweist (46M05808A304)-P040</t>
  </si>
  <si>
    <t>SALV Grundgestell P2P/2116 Schweist (46M05808A305)-P050</t>
  </si>
  <si>
    <t>SALV Haltewange (P4L-3216)-46M06268A401</t>
  </si>
  <si>
    <t>Kampf Rahmenunterbau 882008068-Podsklop PS1x1</t>
  </si>
  <si>
    <t>Konsole (G552-1100-0003-01-2)-W018</t>
  </si>
  <si>
    <t>Konsole (G552-1100-0003-01-2)-W019</t>
  </si>
  <si>
    <t>Konsole (G552-1100-0003-01-2)-W001</t>
  </si>
  <si>
    <t>SALV Biegewange (46M06888A303)-P030</t>
  </si>
  <si>
    <t>SALV Biegewange (46M06888A304)-P040</t>
  </si>
  <si>
    <t>Fuehrungsbett (R-G516-1100-0002-01-1)-W096</t>
  </si>
  <si>
    <t>Konsole (G552-1100-0003-01-2)-W005</t>
  </si>
  <si>
    <t>WuH Extruderrahmen 30266290-P1A cijev 120x120x10 (1x)</t>
  </si>
  <si>
    <t>WuH Extruderrahmen 30266290-P1B cijev 120x120x10 (1x)</t>
  </si>
  <si>
    <t>Konsole (G516-1100-0003-01-2)-W028</t>
  </si>
  <si>
    <t>Konsole (G516-1100-0003-01-2)-W019</t>
  </si>
  <si>
    <t>Konsole (G516-1100-0003-01-2)-W001</t>
  </si>
  <si>
    <t>SALV Grundrahmen (P4L_3216)-46M06221A304</t>
  </si>
  <si>
    <t>SALV Biegewange (46M04945A203)-P030</t>
  </si>
  <si>
    <t>SALV Haltewange (P4L-3216)-46M06268A304</t>
  </si>
  <si>
    <t>SALV Haltewange (P4L-3220 ST)-46M06252A413-P190</t>
  </si>
  <si>
    <t>Kreuzschlitten (R-G350-1200-0010-03-1)-W029</t>
  </si>
  <si>
    <t>SALV Grundrahmen (P4L-3216/20) - 46M06738A304</t>
  </si>
  <si>
    <t>SALV Grundrahmen (P4L-3216/20) - 46M06738A305</t>
  </si>
  <si>
    <t>Fuehrungsbett (R-G751-1100-0100-01-1)-W084</t>
  </si>
  <si>
    <t>Haltewange PZ 46M06891A401</t>
  </si>
  <si>
    <t>SALV Biegewange (46M06888A201)-P010</t>
  </si>
  <si>
    <t>SALV Biegewange (46M06888A202)-P020</t>
  </si>
  <si>
    <t>SALV Grundgestell MNP P4L-3816/3220 FT (46M06441A304)-P40</t>
  </si>
  <si>
    <t>SALV Grundgestell MNP P4L-3816/3220 FT (46M06441A305)-P50</t>
  </si>
  <si>
    <t>SALV Haltewange (P4L-2516/20)-46M06468A322-P070</t>
  </si>
  <si>
    <t>SALV Haltewange (P4L-2516/20)-46M06468A401-P100</t>
  </si>
  <si>
    <t>G2000</t>
  </si>
  <si>
    <t>WuH Extruderrahmen 30288073-P2</t>
  </si>
  <si>
    <t>BU600</t>
  </si>
  <si>
    <t>Baileigh-Industrial</t>
  </si>
  <si>
    <t>Str700</t>
  </si>
  <si>
    <t>CNC strug "NILES N30"</t>
  </si>
  <si>
    <t>SAV300</t>
  </si>
  <si>
    <t>JUTEC 3000(stroj za savijanje cijevi)</t>
  </si>
  <si>
    <t>P500</t>
  </si>
  <si>
    <t>Pec za stabilizaciju PS32020</t>
  </si>
  <si>
    <t>BR400</t>
  </si>
  <si>
    <t>Stroj za izbrusivanje cijevi Φ20-Φ76</t>
  </si>
  <si>
    <t>SAC100</t>
  </si>
  <si>
    <t>Stroj za sacmarenje "TST GOSTOL P-2000X600/8"</t>
  </si>
  <si>
    <t>Str600</t>
  </si>
  <si>
    <t>Strug "TNP 160"</t>
  </si>
  <si>
    <t>WUH Stutze 30250325-320 cijev L=2966 P1 (Rev. 04)</t>
  </si>
  <si>
    <t>WUH Stutze 30250327-321 cijev L=2966</t>
  </si>
  <si>
    <t>KVAR MASINE</t>
  </si>
  <si>
    <t>DATUM</t>
  </si>
  <si>
    <t>UZROK</t>
  </si>
  <si>
    <t>prihvat alata i harmonika</t>
  </si>
  <si>
    <t>OD</t>
  </si>
  <si>
    <t>DO</t>
  </si>
  <si>
    <t>glava nece da uklopi</t>
  </si>
  <si>
    <t>blokada glave,lezajevi popucali</t>
  </si>
  <si>
    <t>od 09.11.19.</t>
  </si>
  <si>
    <t>obrtaji glave nece da rade</t>
  </si>
  <si>
    <t>pad napona</t>
  </si>
  <si>
    <t>ZASTOJ</t>
  </si>
  <si>
    <t>BRV100</t>
  </si>
  <si>
    <t>BRV200</t>
  </si>
  <si>
    <t>BRV300</t>
  </si>
  <si>
    <t>Bravarsko radno mjesto LBH 1.3</t>
  </si>
  <si>
    <t>Z2100</t>
  </si>
  <si>
    <t>Robot za zavarivanje</t>
  </si>
  <si>
    <t>Z2200</t>
  </si>
  <si>
    <t>Zavarivacko mjesto LBH 1.1</t>
  </si>
  <si>
    <t>odrzavanje radi neke provjere masine</t>
  </si>
  <si>
    <t>ulje curilo ispod masine</t>
  </si>
  <si>
    <t>DOP Streifenkorb Muell (042980)-P2 (kup.)</t>
  </si>
  <si>
    <t>Konsole (G316-1100-0003-01-2)-W021</t>
  </si>
  <si>
    <t>Traeger (R-G526-1900-0000-04-1)-W006</t>
  </si>
  <si>
    <t>Traeger (R-G526-1900-0000-04-1)-W008</t>
  </si>
  <si>
    <t>Traeger (R-G526-1900-0000-04-1)-W016</t>
  </si>
  <si>
    <t>SALV Biegewange (46M04945A201)-P010</t>
  </si>
  <si>
    <t>zaprljana mjerna letva</t>
  </si>
  <si>
    <t>Konsole (R-EMMH-0090-114-01-02-1)-W003</t>
  </si>
  <si>
    <t>LBH VW249 Rückenblech 12418246 P140</t>
  </si>
  <si>
    <t>n</t>
  </si>
  <si>
    <t>Kampf Rahmenunterbau 882007909 - Podsklop PS2 x1</t>
  </si>
  <si>
    <t>r</t>
  </si>
  <si>
    <t>SALV Grundrahmen (P4L-3216/20) - 46M06738A301</t>
  </si>
  <si>
    <t>Konsole (G500S-1100-0100-01-2)-W008</t>
  </si>
  <si>
    <t>Konsole (G500S-1100-0100-01-2)-W007</t>
  </si>
  <si>
    <t>Konsole (G525-1100-0000-01-2)-W004a</t>
  </si>
  <si>
    <t>Konsole (R-EMMH-0030-001-04-02-1)-W010</t>
  </si>
  <si>
    <t>NERADNO</t>
  </si>
  <si>
    <t>Stuetze (LG4S1-111-230-20-3150-03-BG)-PS Kpl</t>
  </si>
  <si>
    <t>rev11</t>
  </si>
  <si>
    <t>rev12</t>
  </si>
  <si>
    <t>rev 13</t>
  </si>
  <si>
    <t>rev14</t>
  </si>
  <si>
    <t>rev15</t>
  </si>
  <si>
    <t>rev16</t>
  </si>
  <si>
    <t>rev17</t>
  </si>
  <si>
    <t>rev18</t>
  </si>
  <si>
    <t>rev19</t>
  </si>
  <si>
    <t>rev20</t>
  </si>
  <si>
    <t>rev21</t>
  </si>
  <si>
    <t>rev22</t>
  </si>
  <si>
    <t>Konsole (G326-1100-0101-01-2)-W008</t>
  </si>
  <si>
    <t>Konsole (G520F-1100-0100-01-2)-W004a</t>
  </si>
  <si>
    <t>Konsole (G520F-1100-0100-01-2)-W008</t>
  </si>
  <si>
    <t>Item</t>
  </si>
  <si>
    <t>WuH Extruderrahmen 30288071-P5 cijev 140x140x10 (1x)</t>
  </si>
  <si>
    <t>WuH Extruderrahmen 30181511-P2</t>
  </si>
  <si>
    <t>WUH Stutze STANDARD cijev tip 01 L=2966</t>
  </si>
  <si>
    <t>Staender (R-G500S-1700-1000-01-1)-W001</t>
  </si>
  <si>
    <t>Staender (R-G500S-1700-2000-01-1)-W001</t>
  </si>
  <si>
    <t>Kampf Grundkorper 882110451-P1 #65x1</t>
  </si>
  <si>
    <t>KB Alstom (C202184) P2</t>
  </si>
  <si>
    <t>Kampf Schwenkarm 882065465-P1 cijev 200x100x10 (1x)</t>
  </si>
  <si>
    <t>SALV Haltewange (P4L-3220 ST)-46M06252A304-P010</t>
  </si>
  <si>
    <t>Kampf Trager 882058830-P1 cijev 60x60x5 x1</t>
  </si>
  <si>
    <t>Traeger (G751-1720-0001-01-5)-W001</t>
  </si>
  <si>
    <t>WuH Extruderrahmen 30299036-P1A x1</t>
  </si>
  <si>
    <t>WuH Extruderrahmen 30299036-P1B x1</t>
  </si>
  <si>
    <t>Staender (R-G515-1100-0600-01-3)-W157</t>
  </si>
  <si>
    <t>Staender (R-G515-1100-0600-01-3)-W090</t>
  </si>
  <si>
    <t>DOP Streifenkorb Muell (042980)-p1</t>
  </si>
  <si>
    <t>ITEM</t>
  </si>
  <si>
    <t>Thumbs</t>
  </si>
  <si>
    <t>SMF W01-0102755 P3 #10 x2</t>
  </si>
  <si>
    <t>SMF W01-0102524 P5 #10 x2</t>
  </si>
  <si>
    <t>SMF W01-0102621 P3 #10 x3</t>
  </si>
  <si>
    <t>SMF W01-0102761 P5 #10 x3</t>
  </si>
  <si>
    <t>NOVA MAŠINA</t>
  </si>
  <si>
    <t>DATUM PROMJENE</t>
  </si>
  <si>
    <t>Konsole (R-GM5239/01-60-62/1-1)-W003</t>
  </si>
  <si>
    <t>Konsole (R-GM5239/01-60-62/1-1)-W005</t>
  </si>
  <si>
    <t>Konsole (R-EMMH-0080-014-02-02-1)-W034</t>
  </si>
  <si>
    <t>Konsole (R-GM7010/01-1050-141/1-1)-W001</t>
  </si>
  <si>
    <t>BC Untergestell 6427915 P1 x3</t>
  </si>
  <si>
    <t>WUH Schiene 30202546 P5</t>
  </si>
  <si>
    <t>H4</t>
  </si>
  <si>
    <t>Stuetze (LG4S1-141-530-21-3640-04-BG)-PS Kpl</t>
  </si>
  <si>
    <t>Rahmen (GM4999/01-0040-1/1-1)-W005</t>
  </si>
  <si>
    <t>Grundgestell (GM5052/01-1010-1-1/1-1-1)-W001</t>
  </si>
  <si>
    <t>Grundgestell (GM5052/01-1010-1-1/1-1-1)-W002</t>
  </si>
  <si>
    <t>Dan nezavisnosti Bosne i Hercegovine</t>
  </si>
  <si>
    <t>Veliki petak i Uskrs (za rimokatolike)</t>
  </si>
  <si>
    <t>Veliki petak i Vaskrs (za pravoslavce)</t>
  </si>
  <si>
    <t>Ramazanski bajram (za pripadnike islamske vjeroispovijesti)</t>
  </si>
  <si>
    <t>Kurban-bajram (za pripadnike islamske vjeroispovijesti)</t>
  </si>
  <si>
    <t>Dan državnosti Bosne i Hercegovine</t>
  </si>
  <si>
    <t>Badnji dan i Božić (za katolike)</t>
  </si>
  <si>
    <t>kvar na hidraulici</t>
  </si>
  <si>
    <t>ALATI</t>
  </si>
  <si>
    <t>ANDRITZ</t>
  </si>
  <si>
    <t>ATS</t>
  </si>
  <si>
    <t>BHS</t>
  </si>
  <si>
    <t>BICIKLA</t>
  </si>
  <si>
    <t>BOBST</t>
  </si>
  <si>
    <t>BOBST MEX</t>
  </si>
  <si>
    <t>BOMBARDIER</t>
  </si>
  <si>
    <t>CHIRON</t>
  </si>
  <si>
    <t>CINCINNATI</t>
  </si>
  <si>
    <t>DIOSNA</t>
  </si>
  <si>
    <t>Doppstadt</t>
  </si>
  <si>
    <t>EFCO</t>
  </si>
  <si>
    <t>ENEK B&amp;E</t>
  </si>
  <si>
    <t>EROWA</t>
  </si>
  <si>
    <t>FFT</t>
  </si>
  <si>
    <t>GOEBEL-IMS</t>
  </si>
  <si>
    <t>GROB</t>
  </si>
  <si>
    <t>HELLER</t>
  </si>
  <si>
    <t>HF MIXING GROUP</t>
  </si>
  <si>
    <t>HF NaJUS</t>
  </si>
  <si>
    <t>HIDROENERGIJA</t>
  </si>
  <si>
    <t>KAMPF</t>
  </si>
  <si>
    <t>KNORR BREMSSE</t>
  </si>
  <si>
    <t>KOIKE</t>
  </si>
  <si>
    <t>LIEBHER</t>
  </si>
  <si>
    <t>MESSER</t>
  </si>
  <si>
    <t>MGM</t>
  </si>
  <si>
    <t>MITTAL ZENICA</t>
  </si>
  <si>
    <t>ODRZAVANJE</t>
  </si>
  <si>
    <t>PHLEGON-SOLAR</t>
  </si>
  <si>
    <t>PMP Jelsingrad</t>
  </si>
  <si>
    <t>POBJEDA TEŠANJ</t>
  </si>
  <si>
    <t>SALVAGNINI</t>
  </si>
  <si>
    <t>SATO</t>
  </si>
  <si>
    <t>SAWO</t>
  </si>
  <si>
    <t>SCC INDUSTRY</t>
  </si>
  <si>
    <t>SCHEFFER</t>
  </si>
  <si>
    <t>SIEMENS</t>
  </si>
  <si>
    <t>SMED</t>
  </si>
  <si>
    <t>SPRINGER</t>
  </si>
  <si>
    <t>TEH-CUT</t>
  </si>
  <si>
    <t>Thyssen</t>
  </si>
  <si>
    <t>VAG</t>
  </si>
  <si>
    <t>WUH</t>
  </si>
  <si>
    <t>ZIENSER</t>
  </si>
  <si>
    <t>kvar na elektroinstalacijama(Visic dolazio od kuce)</t>
  </si>
  <si>
    <t>PROVJERA</t>
  </si>
  <si>
    <t>PRIORITET</t>
  </si>
  <si>
    <t>KPL-POZ</t>
  </si>
  <si>
    <t>POMJERANJE TERMINA</t>
  </si>
  <si>
    <t>PREMA DATUMU ISPORUKE</t>
  </si>
  <si>
    <t>URAČUNAJ POMJERANJE TERMINA</t>
  </si>
  <si>
    <t>rev29</t>
  </si>
  <si>
    <t>rev28</t>
  </si>
  <si>
    <t>Kreuzschlitten (R-G350-1200-0010-03-1)-W022</t>
  </si>
  <si>
    <t>Kreuzschlitten (R-G350-1200-0010-03-1)-W050</t>
  </si>
  <si>
    <t>HELLER Staender 00.980720 - P020</t>
  </si>
  <si>
    <t>LBH VW933 Deckblech 12870954  P170</t>
  </si>
  <si>
    <t>WuH Extruderrahmen 30292067-P2 #8 x1</t>
  </si>
  <si>
    <t>SALV Biegewange (46M05140A204)-P40</t>
  </si>
  <si>
    <t>SALV Grundrahmen (P4L-2116/P2L-21)-46M06432A302</t>
  </si>
  <si>
    <t>SALV Grundrahmen (P4L-2116/P2L-21)-46M06432A305</t>
  </si>
  <si>
    <t>not aus zablokirao</t>
  </si>
  <si>
    <t>hidraulika</t>
  </si>
  <si>
    <t>WuH Extruderrahmen 30288073-P3</t>
  </si>
  <si>
    <t>Fuehrungsbett (R-G150-1100-0000-01-1)-W103</t>
  </si>
  <si>
    <t>Fuehrungsbett (R-G150-1100-0000-01-1)-W130</t>
  </si>
  <si>
    <t>SALV Biegewange P2L-P4L-2120 (46M07219A0)-303</t>
  </si>
  <si>
    <t>Fuehrungsbett (R-G352-1100-0003-01-1)- W023</t>
  </si>
  <si>
    <t>Fuehrungsbett (R-G352-1100-0003-01-1)- W116</t>
  </si>
  <si>
    <t>Fuehrungsbett (R-G352-1100-0003-01-1)- W120</t>
  </si>
  <si>
    <t>glava</t>
  </si>
  <si>
    <t>mjerna letva</t>
  </si>
  <si>
    <t>harmonika</t>
  </si>
  <si>
    <t>skidanje i obrada stola</t>
  </si>
  <si>
    <t>KLTNBCH Msockel 0-8701-001701 -P10 #6x1</t>
  </si>
  <si>
    <t>KLTNBCH Msockel 0-8701-001701 -P15 #6x1</t>
  </si>
  <si>
    <t>SALV Grundgestell MNP PxL-2520 46M07319A304 P015</t>
  </si>
  <si>
    <t>SALV Grundgestell MNP PxL-2520 46M07319A305 P020</t>
  </si>
  <si>
    <t>GH Rahmen 3204435  - P3.1</t>
  </si>
  <si>
    <t>GH Rahmen 3204435  - P25</t>
  </si>
  <si>
    <t>GH Rahmen 3204435  - P28</t>
  </si>
  <si>
    <t>GH Rahmen 3204435  - P48</t>
  </si>
  <si>
    <t>Halter (LG402Z100-10-1-1)-W001</t>
  </si>
  <si>
    <t>Kampf Wanne 882002084 #3 x2 (bez povrsinske zastite)</t>
  </si>
  <si>
    <t>Nhauser Rotor 1142303 D600 P2.4-2#50 x1</t>
  </si>
  <si>
    <t>Nhauser Rotor 1142303 D600 P2.4-1#50 x1</t>
  </si>
  <si>
    <t>566726-566756</t>
  </si>
  <si>
    <t>568559-568587</t>
  </si>
  <si>
    <t>CHIRON Quertraeger 1615433 - P005</t>
  </si>
  <si>
    <t>572829-572897</t>
  </si>
  <si>
    <t>573785-573812</t>
  </si>
  <si>
    <t>573406-573408</t>
  </si>
  <si>
    <t>572712-572780</t>
  </si>
  <si>
    <t>574236-574338</t>
  </si>
  <si>
    <t>574378-574482</t>
  </si>
  <si>
    <t>574378-574485</t>
  </si>
  <si>
    <t>576967-576973</t>
  </si>
  <si>
    <t>576967-576985</t>
  </si>
  <si>
    <t>577104-577091</t>
  </si>
  <si>
    <t>578345-578375</t>
  </si>
  <si>
    <t>579194-579200</t>
  </si>
  <si>
    <t>579194-579201</t>
  </si>
  <si>
    <t>578943-578969</t>
  </si>
  <si>
    <t>Konsole (G550a-1100-0001-01-2)-W017</t>
  </si>
  <si>
    <t>Konsole (G550a-1100-0001-01-2)-W003</t>
  </si>
  <si>
    <t>Konsole (G550a-1100-0001-01-2)-W014</t>
  </si>
  <si>
    <t>Konsole (G550a-1100-0001-01-2)-W018</t>
  </si>
  <si>
    <t>582295-582270</t>
  </si>
  <si>
    <t>582295-582272</t>
  </si>
  <si>
    <t>582295-582274</t>
  </si>
  <si>
    <t>582295-582283</t>
  </si>
  <si>
    <t>Staender (R-PSSR-401-0200-0000-02-1) - W002</t>
  </si>
  <si>
    <t>Fuehrungsbett (R-G517-1100-0001-01-1)- W090</t>
  </si>
  <si>
    <t>Fuehrungsbett (R-G517-1100-0001-01-1)- W096</t>
  </si>
  <si>
    <t>Fuehrungsbett (R-G517-1100-0001-01-1)- W116</t>
  </si>
  <si>
    <t>589034-589036</t>
  </si>
  <si>
    <t>588284-588289</t>
  </si>
  <si>
    <t>583865-583866</t>
  </si>
  <si>
    <t>583865-583867</t>
  </si>
  <si>
    <t>583865-583880</t>
  </si>
  <si>
    <t>583865-583892</t>
  </si>
  <si>
    <t>589885-589886</t>
  </si>
  <si>
    <t>589885-589887</t>
  </si>
  <si>
    <t>589861-589862</t>
  </si>
  <si>
    <t>589861-589863</t>
  </si>
  <si>
    <t xml:space="preserve">lezajevi </t>
  </si>
  <si>
    <t>MJR100</t>
  </si>
  <si>
    <t>Mjerna masina DEA 4207</t>
  </si>
  <si>
    <t>ZNS100</t>
  </si>
  <si>
    <t>Kreuzschlitten (R-SFM1000-5315/01-01-1-3)- W001</t>
  </si>
  <si>
    <t>Kreuzschlitten (R-SFM1000-5315/01-01-1-3)- W028</t>
  </si>
  <si>
    <t>CNC strug "DOOSAN PUMA 2600M"</t>
  </si>
  <si>
    <t>Testera  MEBA 335GA</t>
  </si>
  <si>
    <t>Zinser plasma cutting 2425</t>
  </si>
  <si>
    <t>AL_BUS_KON_G720F-1100-0100-01-2_P1</t>
  </si>
  <si>
    <t>AL_BUS_KON_G720F-1100-0100-01-2_P3</t>
  </si>
  <si>
    <t>AL_BUS_KON_G720F-1100-0100-01-2_P12</t>
  </si>
  <si>
    <t>vreteno</t>
  </si>
  <si>
    <t xml:space="preserve"> greska po Z osi</t>
  </si>
  <si>
    <t>607069-607073</t>
  </si>
  <si>
    <t>607069-607075</t>
  </si>
  <si>
    <t>607069-607084</t>
  </si>
  <si>
    <t>592828-592858</t>
  </si>
  <si>
    <t>592025-592018</t>
  </si>
  <si>
    <t>600339-600340</t>
  </si>
  <si>
    <t>600339-600364</t>
  </si>
  <si>
    <t>593632-593659</t>
  </si>
  <si>
    <t>593633-593659</t>
  </si>
  <si>
    <t>593631-593659</t>
  </si>
  <si>
    <t>593634-593659</t>
  </si>
  <si>
    <t>593631-593660</t>
  </si>
  <si>
    <t>593633-593660</t>
  </si>
  <si>
    <t>593632-593660</t>
  </si>
  <si>
    <t>593634-593660</t>
  </si>
  <si>
    <t>593634-593665</t>
  </si>
  <si>
    <t>593631-593665</t>
  </si>
  <si>
    <t>593632-593665</t>
  </si>
  <si>
    <t>593633-593665</t>
  </si>
  <si>
    <t>594814-594844</t>
  </si>
  <si>
    <t>594897-594927</t>
  </si>
  <si>
    <t>598380-598469</t>
  </si>
  <si>
    <t>598380-598475</t>
  </si>
  <si>
    <t>598380-598495</t>
  </si>
  <si>
    <t>598716-598717</t>
  </si>
  <si>
    <t>597699-597700</t>
  </si>
  <si>
    <t>597699-597703</t>
  </si>
  <si>
    <t>597484-597485</t>
  </si>
  <si>
    <t>597484-597488</t>
  </si>
  <si>
    <t>590564-590553</t>
  </si>
  <si>
    <t>593781-593795</t>
  </si>
  <si>
    <t>593780-593795</t>
  </si>
  <si>
    <t>595287-595308</t>
  </si>
  <si>
    <t>595287-595379</t>
  </si>
  <si>
    <t>595287-595382</t>
  </si>
  <si>
    <t>598937-598967</t>
  </si>
  <si>
    <t>591226-591319</t>
  </si>
  <si>
    <t>597178-597198</t>
  </si>
  <si>
    <t>596107-596141</t>
  </si>
  <si>
    <t>596108-596141</t>
  </si>
  <si>
    <t>596109-596141</t>
  </si>
  <si>
    <t>596110-596141</t>
  </si>
  <si>
    <t>596160-596161</t>
  </si>
  <si>
    <t>596160-596162</t>
  </si>
  <si>
    <t>596160-596163</t>
  </si>
  <si>
    <t>596160-596164</t>
  </si>
  <si>
    <t>596160-596165</t>
  </si>
  <si>
    <t>Abkant presa "HACO"</t>
  </si>
  <si>
    <t>LBH HW959 WP11449089 P80</t>
  </si>
  <si>
    <t>LBH HW921 WP11348479 P60</t>
  </si>
  <si>
    <t>LBH HW921 WP11348480 P110</t>
  </si>
  <si>
    <t>Datum PS</t>
  </si>
  <si>
    <t>596913-596916</t>
  </si>
  <si>
    <t>548405-614067</t>
  </si>
  <si>
    <t>TEST</t>
  </si>
  <si>
    <t>SUMA H</t>
  </si>
  <si>
    <t>G2100</t>
  </si>
  <si>
    <t>CNC Glodalica Grob BZ800</t>
  </si>
  <si>
    <t>Kreuzschlitten (R-G350-1200-0010-03-1)-W033</t>
  </si>
  <si>
    <t>Kreuzschlitten (R-G350-1200-0010-03-1)-W043</t>
  </si>
  <si>
    <t>Konsole (G550a-1100-0001-01-2)-W013</t>
  </si>
  <si>
    <t>Konsole (G250-1100-0000-01-2)-W017</t>
  </si>
  <si>
    <t>Konsole (G250-1100-0000-01-2)-W003</t>
  </si>
  <si>
    <t>Konsole (G250-1100-0000-01-2)-W015</t>
  </si>
  <si>
    <t>Konsole (G250-1100-0000-01-2)-W014</t>
  </si>
  <si>
    <t>Konsole (G250-1100-0000-01-2)-W018</t>
  </si>
  <si>
    <t>Konsole (G250-1100-0000-01-2)-W007</t>
  </si>
  <si>
    <t>Konsole (G350a-1100-0001-01-2)-W017</t>
  </si>
  <si>
    <t>Konsole (G350a-1100-0001-01-2)-W018</t>
  </si>
  <si>
    <t>Staender (R-PLSP630-0200-0000-02-1)-W002</t>
  </si>
  <si>
    <t>Brusilica za ravno brusenje</t>
  </si>
  <si>
    <t>Buš "Pobeda" RB-70x1600/1(Logistika)</t>
  </si>
  <si>
    <t>CNC Bohrwerk FERMAT WFT11</t>
  </si>
  <si>
    <t>CNC Bohrwerk TOS WHN</t>
  </si>
  <si>
    <t>CNC Glodalica Kekeisen 2500</t>
  </si>
  <si>
    <t>CNC Glodalica Kekeisen 4000</t>
  </si>
  <si>
    <t>CNC Glodalica Kekeisen 6000</t>
  </si>
  <si>
    <t>CNC obradni centar "Burkhardt&amp;Weber" MC80</t>
  </si>
  <si>
    <t>CNC trovretena glodalica "Wachtberger" FZ2</t>
  </si>
  <si>
    <t>Hydroptic-GA (m. koordinatka)</t>
  </si>
  <si>
    <t>Koordinatka "TOS" WKV 100 (v.koordinatka)</t>
  </si>
  <si>
    <t>NC Bohrwerk "Wotan" B-130-ST</t>
  </si>
  <si>
    <t>NC Bohrwerk BH-90</t>
  </si>
  <si>
    <t>LBH HW196 WP13402197 P80#15 x1</t>
  </si>
  <si>
    <t>KLTNBCH Gehause 0-5301-000600-601-P11 #20x1</t>
  </si>
  <si>
    <t>KLTNBCH Gehause 0-5301-000601-P2 #40x1</t>
  </si>
  <si>
    <t>SALV Grundgestell MNP P4L-3220-4020 46M07347A304 P015</t>
  </si>
  <si>
    <t>Konsole (G440-1100-0000-01-2)-W027</t>
  </si>
  <si>
    <t>SALV Haltewange P4L-4020 46M07142A304-P005</t>
  </si>
  <si>
    <t>RAČUNAJ PO BROJU DANA</t>
  </si>
  <si>
    <t>G2200</t>
  </si>
  <si>
    <t>CNC Glodalica Kekeisen 3000</t>
  </si>
  <si>
    <t>M100</t>
  </si>
  <si>
    <t>Montazno mjesto</t>
  </si>
  <si>
    <t>M200</t>
  </si>
  <si>
    <t>Montazno mjesto farbaona H3</t>
  </si>
  <si>
    <t>M400</t>
  </si>
  <si>
    <t>Montazno mjesto masinska obrada H2</t>
  </si>
  <si>
    <t>M300</t>
  </si>
  <si>
    <t>Montazno mjesto zavarene konstrukcije H1</t>
  </si>
  <si>
    <t>SMF EINSPEISKOPF W01-0173815 P2.2</t>
  </si>
  <si>
    <t>SALV Grundgestell P2P/2116 Schweist (46M05808A305)-P020</t>
  </si>
  <si>
    <t>Kampf Stander 882142402 P9 cijev 100x60x5 x1</t>
  </si>
  <si>
    <t>Fuehrungsbett (R-G350a-1100-0001-01-1)- W100</t>
  </si>
  <si>
    <t>Fuehrungsbett (R-G350a-1100-0001-01-1)- W135</t>
  </si>
  <si>
    <t>Fuehrungsbett (R-G350a-1100-0001-01-1)- W145</t>
  </si>
  <si>
    <t>Stuetze (GM5112/01-2301-60/1-3)-W001</t>
  </si>
  <si>
    <t>Konsole (G840-1100-0000-01-2)-W001</t>
  </si>
  <si>
    <t>Konsole (G840-1100-0000-01-2)-W004</t>
  </si>
  <si>
    <t>KOSTWEIN Foundation bracket (2-KO16671)_P30</t>
  </si>
  <si>
    <t>SALV Biegewange P2L-P4L-2120 (46M07219A0)-304</t>
  </si>
  <si>
    <t>700381-700432</t>
  </si>
  <si>
    <t>700382-700432</t>
  </si>
  <si>
    <t>691991-692001</t>
  </si>
  <si>
    <t>704362-704330</t>
  </si>
  <si>
    <t>704363-704330</t>
  </si>
  <si>
    <t>704364-704330</t>
  </si>
  <si>
    <t>703848-703845</t>
  </si>
  <si>
    <t>704415-704423</t>
  </si>
  <si>
    <t>704365-704330</t>
  </si>
  <si>
    <t>706439-706466</t>
  </si>
  <si>
    <t>706440-706466</t>
  </si>
  <si>
    <t>704260-704219</t>
  </si>
  <si>
    <t>706786-706793</t>
  </si>
  <si>
    <t>706787-706793</t>
  </si>
  <si>
    <t>704259-704219</t>
  </si>
  <si>
    <t>712933-712942</t>
  </si>
  <si>
    <t>707930-707948</t>
  </si>
  <si>
    <t>706389-706400</t>
  </si>
  <si>
    <t>717212-717215</t>
  </si>
  <si>
    <t>716302-716298</t>
  </si>
  <si>
    <t>716390-716384</t>
  </si>
  <si>
    <t>713280-713247</t>
  </si>
  <si>
    <t>SALV Grundgestell P2P/2116 Schweist (46M05808A304)-P015</t>
  </si>
  <si>
    <t>706438-706466</t>
  </si>
  <si>
    <t>706391-706400</t>
  </si>
  <si>
    <t>706390-706400</t>
  </si>
  <si>
    <t>713811-713813</t>
  </si>
  <si>
    <t>BC Untergestell 6623153 P3.2 x1</t>
  </si>
  <si>
    <t>BC Untergestell 6623153 P3.3 x1</t>
  </si>
  <si>
    <t>718037-718040</t>
  </si>
  <si>
    <t>718037-718041</t>
  </si>
  <si>
    <t>Fuehrungsbett (R-G316-1100-0001-01-1)-W023</t>
  </si>
  <si>
    <t>Fuehrungsbett (R-G316-1100-0001-01-1)-W031</t>
  </si>
  <si>
    <t>719120-719123</t>
  </si>
  <si>
    <t>713678-713680</t>
  </si>
  <si>
    <t>SALV Biegewange P2L-P4L-2120 (46M07219A0)-202</t>
  </si>
  <si>
    <t>719997-720130</t>
  </si>
  <si>
    <t>713279-713247</t>
  </si>
  <si>
    <t>721788-721754</t>
  </si>
  <si>
    <t>721786-721754</t>
  </si>
  <si>
    <t>721789-721754</t>
  </si>
  <si>
    <t>729238-729279</t>
  </si>
  <si>
    <t>714508-714525</t>
  </si>
  <si>
    <t>726974-726975</t>
  </si>
  <si>
    <t>726974-726978</t>
  </si>
  <si>
    <t>722587-722562</t>
  </si>
  <si>
    <t>722587-722566</t>
  </si>
  <si>
    <t>722587-722575</t>
  </si>
  <si>
    <t>724083-724050</t>
  </si>
  <si>
    <t>732961-732976</t>
  </si>
  <si>
    <t>732961-732988</t>
  </si>
  <si>
    <t>732961-733001</t>
  </si>
  <si>
    <t>732961-733017</t>
  </si>
  <si>
    <t>732961-733018</t>
  </si>
  <si>
    <t>KOSTWEIN Traverse GM Y5130341 P1</t>
  </si>
  <si>
    <t>Staender (R-G720F-1700-2000-02-1)-W019</t>
  </si>
  <si>
    <t>Staender (R-G720F-1700-2000-02-1)-W010B</t>
  </si>
  <si>
    <t>728732-728733</t>
  </si>
  <si>
    <t>724613-724746</t>
  </si>
  <si>
    <t>724613-724756</t>
  </si>
  <si>
    <t>724082-724050</t>
  </si>
  <si>
    <t>723484-723539</t>
  </si>
  <si>
    <t>723484-723541</t>
  </si>
  <si>
    <t>723484-723554</t>
  </si>
  <si>
    <t>731547-731556</t>
  </si>
  <si>
    <t>731547-731557</t>
  </si>
  <si>
    <t>736052-736053</t>
  </si>
  <si>
    <t>723485-723539</t>
  </si>
  <si>
    <t>723485-723541</t>
  </si>
  <si>
    <t>723485-723554</t>
  </si>
  <si>
    <t>731488-731463</t>
  </si>
  <si>
    <t>731488-731481</t>
  </si>
  <si>
    <t>728497-728501</t>
  </si>
  <si>
    <t>721787-721754</t>
  </si>
  <si>
    <t>731292-731274</t>
  </si>
  <si>
    <t>731262-731258</t>
  </si>
  <si>
    <t>730015-730018</t>
  </si>
  <si>
    <t>731090-731086</t>
  </si>
  <si>
    <t>732872-732877</t>
  </si>
  <si>
    <t>723486-723539</t>
  </si>
  <si>
    <t>723486-723541</t>
  </si>
  <si>
    <t>723486-723554</t>
  </si>
  <si>
    <t>731120-731095</t>
  </si>
  <si>
    <t>731120-731098</t>
  </si>
  <si>
    <t>731120-731102</t>
  </si>
  <si>
    <t>731120-731107</t>
  </si>
  <si>
    <t>731120-731108</t>
  </si>
  <si>
    <t>727423-727391</t>
  </si>
  <si>
    <t>746641-746642</t>
  </si>
  <si>
    <t>F600</t>
  </si>
  <si>
    <t>Komora za hemijsku pripremu</t>
  </si>
  <si>
    <t>PJES300</t>
  </si>
  <si>
    <t>Komora za sačmarenje GOSTOL (10.000x5.000x4.000)</t>
  </si>
  <si>
    <t>F500</t>
  </si>
  <si>
    <t>Otvorena komora za farbanje</t>
  </si>
  <si>
    <t>PAK100</t>
  </si>
  <si>
    <t>Pakovanje</t>
  </si>
  <si>
    <t>PJES200</t>
  </si>
  <si>
    <t>Pjeskara AKZ</t>
  </si>
  <si>
    <t>PJES400</t>
  </si>
  <si>
    <t>Priprema za sačmarenje</t>
  </si>
  <si>
    <t>SUS100</t>
  </si>
  <si>
    <t>F300</t>
  </si>
  <si>
    <t>Termolakirnica - Blowtherm 1/1  (7.000x5.000x5.400)</t>
  </si>
  <si>
    <t>F200</t>
  </si>
  <si>
    <t>Termolakirnica - Blowtherm 1/2  (16.800x5.000x5.400)</t>
  </si>
  <si>
    <t>F400</t>
  </si>
  <si>
    <t>Termolakirnica - Blowtherm 1/3 (16.700x5.000x4.000)</t>
  </si>
  <si>
    <t>727424-727391</t>
  </si>
  <si>
    <t>738666-738643</t>
  </si>
  <si>
    <t>734365-734391</t>
  </si>
  <si>
    <t>734365-734396</t>
  </si>
  <si>
    <t>734362-734391</t>
  </si>
  <si>
    <t>734362-734396</t>
  </si>
  <si>
    <t>733963-733965</t>
  </si>
  <si>
    <t>733963-733966</t>
  </si>
  <si>
    <t>738768-738764</t>
  </si>
  <si>
    <t>722395-722422</t>
  </si>
  <si>
    <t>740159-740263</t>
  </si>
  <si>
    <t>737564-737560</t>
  </si>
  <si>
    <t>G2400</t>
  </si>
  <si>
    <t>CNC Glodalica Kekeisen 10000</t>
  </si>
  <si>
    <t>G2300</t>
  </si>
  <si>
    <t>CNC Glodalica Kekeisen 3000-2 Logistika</t>
  </si>
  <si>
    <t>741823-741844</t>
  </si>
  <si>
    <t>741823-741913</t>
  </si>
  <si>
    <t>743905-743995</t>
  </si>
  <si>
    <t>739834-739932</t>
  </si>
  <si>
    <t>733528-733525</t>
  </si>
  <si>
    <t>742608-742627</t>
  </si>
  <si>
    <t>742608-742676</t>
  </si>
  <si>
    <t>741682-741666</t>
  </si>
  <si>
    <t>735558-735521</t>
  </si>
  <si>
    <t>735557-735521</t>
  </si>
  <si>
    <t>744565-744661</t>
  </si>
  <si>
    <t>SALV Grundrahmen ( P4L-4016) -46M07136A301_P005</t>
  </si>
  <si>
    <t>735555-735521</t>
  </si>
  <si>
    <t>735559-735521</t>
  </si>
  <si>
    <t>735560-735521</t>
  </si>
  <si>
    <t>747802-747899</t>
  </si>
  <si>
    <t>747802-747933</t>
  </si>
  <si>
    <t>738890-738854</t>
  </si>
  <si>
    <t>738889-738854</t>
  </si>
  <si>
    <t>Nhauser Fahrwerk Z4A04-01-00 - P7 #12x1</t>
  </si>
  <si>
    <t>Nhauser Fahrwerk Z4A04-01-00 - P8 #12x1</t>
  </si>
  <si>
    <t>Nhauser Fahrwerk Z4A04-01-00 - P14 #8x2</t>
  </si>
  <si>
    <t>Nhauser Fahrwerk Z4A04-01-00 - P15 #12x2</t>
  </si>
  <si>
    <t>757745-757741</t>
  </si>
  <si>
    <t>753644-753611</t>
  </si>
  <si>
    <t>WuH Extruderr. 30263135-30332171-P3 cijev 160x160x12,5 (1x)</t>
  </si>
  <si>
    <t>ZECK Grundrahmen 991200030298 P13</t>
  </si>
  <si>
    <t>Rahmen (GH-TW503-10120-0000-01-1)-W029</t>
  </si>
  <si>
    <t>SUS200</t>
  </si>
  <si>
    <t>Susenje otvorena komora</t>
  </si>
  <si>
    <t>Susenje termolakirnica</t>
  </si>
  <si>
    <t>745046-745043</t>
  </si>
  <si>
    <t>737563-737560</t>
  </si>
  <si>
    <t>753329-753290</t>
  </si>
  <si>
    <t>753329-753295</t>
  </si>
  <si>
    <t>753337-753290</t>
  </si>
  <si>
    <t>753337-753295</t>
  </si>
  <si>
    <t>753332-753290</t>
  </si>
  <si>
    <t>753332-753295</t>
  </si>
  <si>
    <t>753341-753290</t>
  </si>
  <si>
    <t>753341-753295</t>
  </si>
  <si>
    <t>KLTNBCH Spannstock 0-5301-000701-00 P23#8 x1</t>
  </si>
  <si>
    <t>KLTNBCH Spannstock 0-5301-000701-00 P24#8 x1</t>
  </si>
  <si>
    <t>SMF Grundrahmen W01-0199117 P2.7</t>
  </si>
  <si>
    <t>SMF Grundrahmen W01-0098029 (DU1)- P6</t>
  </si>
  <si>
    <t>753059-753087</t>
  </si>
  <si>
    <t>753057-753087</t>
  </si>
  <si>
    <t>749061-749063</t>
  </si>
  <si>
    <t>753055-753087</t>
  </si>
  <si>
    <t>753336-753290</t>
  </si>
  <si>
    <t>753336-753295</t>
  </si>
  <si>
    <t>753330-753290</t>
  </si>
  <si>
    <t>753330-753295</t>
  </si>
  <si>
    <t>750535-750538</t>
  </si>
  <si>
    <t>750535-750539</t>
  </si>
  <si>
    <t>753331-753290</t>
  </si>
  <si>
    <t>753331-753295</t>
  </si>
  <si>
    <t>753646-753611</t>
  </si>
  <si>
    <t>753342-753290</t>
  </si>
  <si>
    <t>753342-753295</t>
  </si>
  <si>
    <t>753335-753290</t>
  </si>
  <si>
    <t>753335-753295</t>
  </si>
  <si>
    <t>753339-753290</t>
  </si>
  <si>
    <t>753339-753295</t>
  </si>
  <si>
    <t>761801-761808</t>
  </si>
  <si>
    <t>761801-761809</t>
  </si>
  <si>
    <t>761801-761815</t>
  </si>
  <si>
    <t>761801-761816</t>
  </si>
  <si>
    <t>753647-753611</t>
  </si>
  <si>
    <t>753705-753672</t>
  </si>
  <si>
    <t>753590-753551</t>
  </si>
  <si>
    <t>753590-753556</t>
  </si>
  <si>
    <t>753648-753611</t>
  </si>
  <si>
    <t>753333-753290</t>
  </si>
  <si>
    <t>753333-753295</t>
  </si>
  <si>
    <t>753704-753672</t>
  </si>
  <si>
    <t>753460-753421</t>
  </si>
  <si>
    <t>753460-753426</t>
  </si>
  <si>
    <t>753759-753724</t>
  </si>
  <si>
    <t>753761-753724</t>
  </si>
  <si>
    <t>735313-735314</t>
  </si>
  <si>
    <t>753402-753357</t>
  </si>
  <si>
    <t>753402-753362</t>
  </si>
  <si>
    <t>756206-756209</t>
  </si>
  <si>
    <t>753058-753087</t>
  </si>
  <si>
    <t>762706-762715</t>
  </si>
  <si>
    <t>753401-753357</t>
  </si>
  <si>
    <t>753401-753362</t>
  </si>
  <si>
    <t>753398-753357</t>
  </si>
  <si>
    <t>753398-753362</t>
  </si>
  <si>
    <t>755654-755655</t>
  </si>
  <si>
    <t>753403-753357</t>
  </si>
  <si>
    <t>753403-753362</t>
  </si>
  <si>
    <t>753708-753672</t>
  </si>
  <si>
    <t>753406-753357</t>
  </si>
  <si>
    <t>753406-753362</t>
  </si>
  <si>
    <t>753465-753421</t>
  </si>
  <si>
    <t>753465-753426</t>
  </si>
  <si>
    <t>753464-753421</t>
  </si>
  <si>
    <t>753464-753426</t>
  </si>
  <si>
    <t>753471-753421</t>
  </si>
  <si>
    <t>753471-753426</t>
  </si>
  <si>
    <t>753056-753087</t>
  </si>
  <si>
    <t>753340-753290</t>
  </si>
  <si>
    <t>753340-753295</t>
  </si>
  <si>
    <t>753707-753672</t>
  </si>
  <si>
    <t>753399-753357</t>
  </si>
  <si>
    <t>753399-753362</t>
  </si>
  <si>
    <t>762274-762298</t>
  </si>
  <si>
    <t>753461-753421</t>
  </si>
  <si>
    <t>753461-753426</t>
  </si>
  <si>
    <t>753466-753421</t>
  </si>
  <si>
    <t>753466-753426</t>
  </si>
  <si>
    <t>753757-753724</t>
  </si>
  <si>
    <t>753710-753672</t>
  </si>
  <si>
    <t>753711-753672</t>
  </si>
  <si>
    <t>762111-762114</t>
  </si>
  <si>
    <t>753468-753421</t>
  </si>
  <si>
    <t>753468-753426</t>
  </si>
  <si>
    <t>753756-753724</t>
  </si>
  <si>
    <t>767395-767426</t>
  </si>
  <si>
    <t>769310-769331</t>
  </si>
  <si>
    <t>766284-766290</t>
  </si>
  <si>
    <t>753338-753290</t>
  </si>
  <si>
    <t>753338-753295</t>
  </si>
  <si>
    <t>753334-753290</t>
  </si>
  <si>
    <t>753334-753295</t>
  </si>
  <si>
    <t>753397-753357</t>
  </si>
  <si>
    <t>753397-753362</t>
  </si>
  <si>
    <t>753396-753357</t>
  </si>
  <si>
    <t>753396-753362</t>
  </si>
  <si>
    <t>753404-753357</t>
  </si>
  <si>
    <t>753404-753362</t>
  </si>
  <si>
    <t>753706-753672</t>
  </si>
  <si>
    <t>761799-761808</t>
  </si>
  <si>
    <t>761799-761809</t>
  </si>
  <si>
    <t>761799-761815</t>
  </si>
  <si>
    <t>761799-761816</t>
  </si>
  <si>
    <t>753400-753357</t>
  </si>
  <si>
    <t>753400-753362</t>
  </si>
  <si>
    <t>753709-753672</t>
  </si>
  <si>
    <t>753405-753357</t>
  </si>
  <si>
    <t>753405-753362</t>
  </si>
  <si>
    <t>753462-753421</t>
  </si>
  <si>
    <t>753462-753426</t>
  </si>
  <si>
    <t>753760-753724</t>
  </si>
  <si>
    <t>753467-753421</t>
  </si>
  <si>
    <t>753467-753426</t>
  </si>
  <si>
    <t>753712-753672</t>
  </si>
  <si>
    <t>767392-767426</t>
  </si>
  <si>
    <t>767394-767426</t>
  </si>
  <si>
    <t>753463-753421</t>
  </si>
  <si>
    <t>753463-753426</t>
  </si>
  <si>
    <t>753469-753421</t>
  </si>
  <si>
    <t>753469-753426</t>
  </si>
  <si>
    <t>753470-753421</t>
  </si>
  <si>
    <t>753470-753426</t>
  </si>
  <si>
    <t>753594-753551</t>
  </si>
  <si>
    <t>767397-767426</t>
  </si>
  <si>
    <t>767396-767426</t>
  </si>
  <si>
    <t>767393-767426</t>
  </si>
  <si>
    <t>767398-767426</t>
  </si>
  <si>
    <t>753594-753556</t>
  </si>
  <si>
    <t>753595-753551</t>
  </si>
  <si>
    <t>753595-753556</t>
  </si>
  <si>
    <t>753591-753551</t>
  </si>
  <si>
    <t>753591-753556</t>
  </si>
  <si>
    <t>753592-753556</t>
  </si>
  <si>
    <t>753592-753551</t>
  </si>
  <si>
    <t>753596-753556</t>
  </si>
  <si>
    <t>753596-753551</t>
  </si>
  <si>
    <t>753597-753556</t>
  </si>
  <si>
    <t>753597-753551</t>
  </si>
  <si>
    <t>753598-753551</t>
  </si>
  <si>
    <t>753598-753556</t>
  </si>
  <si>
    <t>SALV Biegewange (46M05127)- 46M05127A203-P030</t>
  </si>
  <si>
    <t>768973-768986</t>
  </si>
  <si>
    <t>LINDNER Seitenteil-Geh Desni 336465 - P350</t>
  </si>
  <si>
    <t>LINDNER Seitenteil-Geh Desni 336465 - P80</t>
  </si>
  <si>
    <t>LINDNER Seitenteil-Geh Desni 336465 - P30</t>
  </si>
  <si>
    <t>LINDNER Seitenteil-Geh Lijevi 336466 - P150</t>
  </si>
  <si>
    <t>Kampf Rahmen 882048771-P3 cijev 60x40x4 (1x)</t>
  </si>
  <si>
    <t>Kampf Konsole 882104758-P3 #40x2</t>
  </si>
  <si>
    <t>764940-764932</t>
  </si>
  <si>
    <t>775054-775069</t>
  </si>
  <si>
    <t>775014-775048</t>
  </si>
  <si>
    <t>775102-775106</t>
  </si>
  <si>
    <t>774471-774474</t>
  </si>
  <si>
    <t>SMF Ausboxerfeld W01-0208309-P1.17</t>
  </si>
  <si>
    <t>SALV Haltewange (P4L-2516/20)-46M06468A322-P035</t>
  </si>
  <si>
    <t>LBH VW933 Lasche mitte 12810642 P50.10</t>
  </si>
  <si>
    <t>Konsole (G327-1100-0100-01-2)-W024</t>
  </si>
  <si>
    <t>781390-781413</t>
  </si>
  <si>
    <t>781390-781414</t>
  </si>
  <si>
    <t>777044-777074</t>
  </si>
  <si>
    <t>785459-785488</t>
  </si>
  <si>
    <t>779850-779946</t>
  </si>
  <si>
    <t>779850-779943</t>
  </si>
  <si>
    <t>779985-780078</t>
  </si>
  <si>
    <t>786962-786976</t>
  </si>
  <si>
    <t>786963-786976</t>
  </si>
  <si>
    <t>786964-786976</t>
  </si>
  <si>
    <t>783245-783251</t>
  </si>
  <si>
    <t>783245-783250</t>
  </si>
  <si>
    <t>784793-784827</t>
  </si>
  <si>
    <t>Column1</t>
  </si>
  <si>
    <t>ZAVRŠETAK MAŠINSKE</t>
  </si>
  <si>
    <t>Column2</t>
  </si>
  <si>
    <t>Column3</t>
  </si>
  <si>
    <t>SEDMICA</t>
  </si>
  <si>
    <t>SUMA SATI</t>
  </si>
  <si>
    <t>POPUNJENO</t>
  </si>
  <si>
    <t>FALI</t>
  </si>
  <si>
    <t>PREKO</t>
  </si>
  <si>
    <t>KAPACITET</t>
  </si>
  <si>
    <t>SMF Antriebstation W01-0207977 P2.4</t>
  </si>
  <si>
    <t>LINDNER Seitenteil-Geh Lijevi 336466 - P80</t>
  </si>
  <si>
    <t>LINDNER Seitenteil-Geh Lijevi 336466 - P250</t>
  </si>
  <si>
    <t>LINDNER Seitenteil-Geh Lijevi 336466 - P120</t>
  </si>
  <si>
    <t>SALV Haltewange (P4L-2120/P2L-21)-46M06606A323-P070</t>
  </si>
  <si>
    <t>Fuehrungsbett (R-G552-1100-0004-01-1)-W100</t>
  </si>
  <si>
    <t>Fuehrungsbett (R-G752-1100-0100-01-1) - W084</t>
  </si>
  <si>
    <t>Stuetze (R-GH-B512-5100-0000-01-1)-W006</t>
  </si>
  <si>
    <t>Rahmen (GH-TW503-10130-0000-01-1)-W003</t>
  </si>
  <si>
    <t>Rahmen (GH-TW503-10130-0000-01-1)-W009</t>
  </si>
  <si>
    <t>GH Rahmen 3351315 P24</t>
  </si>
  <si>
    <t>GH Rahmen 3351315 P52</t>
  </si>
  <si>
    <t>GH Rahmen 3351315 P18</t>
  </si>
  <si>
    <t>GH Rahmen 3351315 P41</t>
  </si>
  <si>
    <t>GH Rahmen 3351315 P44</t>
  </si>
  <si>
    <t>GH Rahmen 3351315 P28</t>
  </si>
  <si>
    <t>GH Rahmen 3351315 P73</t>
  </si>
  <si>
    <t>GH Rahmen 3351315 P8.2</t>
  </si>
  <si>
    <t>GH Rahmen 3351315 P1.13</t>
  </si>
  <si>
    <t>GH Rahmen 3351315 P72</t>
  </si>
  <si>
    <t>SALV Haltewange (P4L-2120/P2L-21)-46M06606A421-P240</t>
  </si>
  <si>
    <t>SALV Haltewange (P4L-2120/P2L-21)-46M06606A428-P260</t>
  </si>
  <si>
    <t>Staender (R-G327-1700-2000-01-1)-W036</t>
  </si>
  <si>
    <t>Staender (R-G327-1700-2000-01-1)-W035</t>
  </si>
  <si>
    <t>Staender (R-G327-1700-1000-01-1)-W035</t>
  </si>
  <si>
    <t>Staender (R-G327-1700-1000-01-1)-W029</t>
  </si>
  <si>
    <t>Staender (R-G327-1700-1000-01-1)-W036</t>
  </si>
  <si>
    <t>Fuehrungsbett (R-G327-1100-0100-01-1)-W055</t>
  </si>
  <si>
    <t>Fuehrungsbett (R-G327-1100-0100-01-1)-W075</t>
  </si>
  <si>
    <t>791615-791643</t>
  </si>
  <si>
    <t>775664-775732</t>
  </si>
  <si>
    <t>775664-775740</t>
  </si>
  <si>
    <t>775664-775729</t>
  </si>
  <si>
    <t>775664-775713</t>
  </si>
  <si>
    <t>775664-775707</t>
  </si>
  <si>
    <t>775664-775795</t>
  </si>
  <si>
    <t>775664-775675</t>
  </si>
  <si>
    <t>775664-775794</t>
  </si>
  <si>
    <t>775664-775698</t>
  </si>
  <si>
    <t>775809-775820</t>
  </si>
  <si>
    <t>775809-775874</t>
  </si>
  <si>
    <t>775809-775843</t>
  </si>
  <si>
    <t>775809-775852</t>
  </si>
  <si>
    <t>775809-775877</t>
  </si>
  <si>
    <t>775809-775940</t>
  </si>
  <si>
    <t>775809-775858</t>
  </si>
  <si>
    <t>775809-775885</t>
  </si>
  <si>
    <t>775809-775939</t>
  </si>
  <si>
    <t>775809-775862</t>
  </si>
  <si>
    <t>LINDNER Seitenteil-Geh Desni 336465 - P140</t>
  </si>
  <si>
    <t>LINDNER Seitenteil-Geh Desni 336465 - P120</t>
  </si>
  <si>
    <t>LINDNER Seitenteil-Geh Lijevi 336466 - P30</t>
  </si>
  <si>
    <t>LINDNER Seitenteil-Geh Lijevi 336466 - P140</t>
  </si>
  <si>
    <t>LINDNER Seitenteil-Geh Lijevi 336466 - P350</t>
  </si>
  <si>
    <t>784431-784455</t>
  </si>
  <si>
    <t>787925-787928</t>
  </si>
  <si>
    <t>787936-787939</t>
  </si>
  <si>
    <t>787947-787950</t>
  </si>
  <si>
    <t>787958-787961</t>
  </si>
  <si>
    <t>LINDNER Gegenmesseraufnahme 364197 - P90 #5 x1</t>
  </si>
  <si>
    <t>SALV Haltewange (P4L-2516/20)-46M06468A418-P120</t>
  </si>
  <si>
    <t>SALV Grundgestell MNP PxL-2520 46M07319A408 P040</t>
  </si>
  <si>
    <t>790095-790121</t>
  </si>
  <si>
    <t>790094-790121</t>
  </si>
  <si>
    <t>Traeger (R-G327-1900-0000-01-3)-W009</t>
  </si>
  <si>
    <t>776972-776974</t>
  </si>
  <si>
    <t>779098-779155</t>
  </si>
  <si>
    <t>LBH HW001 WP12411466 P80</t>
  </si>
  <si>
    <t>791338-791341</t>
  </si>
  <si>
    <t>784833-784845</t>
  </si>
  <si>
    <t>790788-790796</t>
  </si>
  <si>
    <t>791387-791396</t>
  </si>
  <si>
    <t>792563-792584</t>
  </si>
  <si>
    <t>792688-792709</t>
  </si>
  <si>
    <t>788744-788732</t>
  </si>
  <si>
    <t>789672-789659</t>
  </si>
  <si>
    <t>791437-791512</t>
  </si>
  <si>
    <t>791526-791601</t>
  </si>
  <si>
    <t>791526-791581</t>
  </si>
  <si>
    <t>Konsole (G327-1100-0100-01-2)-W008</t>
  </si>
  <si>
    <t>797623-797632</t>
  </si>
  <si>
    <t>798704-798685</t>
  </si>
  <si>
    <t>782246-782282</t>
  </si>
  <si>
    <t>782246-782283</t>
  </si>
  <si>
    <t>789882-789860</t>
  </si>
  <si>
    <t>789882-789872</t>
  </si>
  <si>
    <t>796355-796358</t>
  </si>
  <si>
    <t>798705-798685</t>
  </si>
  <si>
    <t>782292-782327</t>
  </si>
  <si>
    <t>782292-782328</t>
  </si>
  <si>
    <t>786415-786519</t>
  </si>
  <si>
    <t>780545-780542</t>
  </si>
  <si>
    <t>793029-793064</t>
  </si>
  <si>
    <t>LINDNER Gegenmesseraufnahme 248725-P80B #20 x2</t>
  </si>
  <si>
    <t>LINDNER Gegenmesseraufnahme 248725-P80A #20 x2</t>
  </si>
  <si>
    <t>LINDNER Gegenmesseraufnahme 248725-P30 #20 x1</t>
  </si>
  <si>
    <t>796925-796938</t>
  </si>
  <si>
    <t>797769-797798</t>
  </si>
  <si>
    <t>LINDNER Seitenteil-Geh Desni 336465 - P40</t>
  </si>
  <si>
    <t>LINDNER Seitenteil-Geh Desni 336465 - P150</t>
  </si>
  <si>
    <t>LINDNER Seitenteil-Geh Desni 336465 - P250</t>
  </si>
  <si>
    <t>LINDNER Seitenteil-Geh Desni 336465 - P380</t>
  </si>
  <si>
    <t>LINDNER Seitenteil-Geh Lijevi 336466 - P380</t>
  </si>
  <si>
    <t>GH Rahmen 3204435  - P103</t>
  </si>
  <si>
    <t>798368-798379</t>
  </si>
  <si>
    <t>800486-800476</t>
  </si>
  <si>
    <t>Stuetze (MEA800-600-340-1)-W001</t>
  </si>
  <si>
    <t>807981-807982</t>
  </si>
  <si>
    <t>800562-800557</t>
  </si>
  <si>
    <t>SALV Biegewange P2L-P4L-2120 (46M07219A0)-201</t>
  </si>
  <si>
    <t>800697-800692</t>
  </si>
  <si>
    <t>798370-798379</t>
  </si>
  <si>
    <t>795995-796070</t>
  </si>
  <si>
    <t>AL_MANIPULATOR_LBH_SAMARI_PS.07</t>
  </si>
  <si>
    <t>808724-808708</t>
  </si>
  <si>
    <t>808724-808707</t>
  </si>
  <si>
    <t>Traeger (R-G521F-1900-0001-01-2) W003</t>
  </si>
  <si>
    <t>811142-811246</t>
  </si>
  <si>
    <t>Konsole (G350a-1100-0001-01-2)-W003</t>
  </si>
  <si>
    <t>Konsole (G440-1100-0002-01-2)-W001</t>
  </si>
  <si>
    <t>Konsole (G440-1100-0002-01-2)-W037</t>
  </si>
  <si>
    <t>Konsole (G440-1100-0002-01-2)-W015</t>
  </si>
  <si>
    <t>Konsole (G440-1100-0002-01-2)-W008</t>
  </si>
  <si>
    <t>Konsole (G440-1100-0002-01-2)-W006</t>
  </si>
  <si>
    <t>Konsole (G440-1100-0002-01-2)-W004</t>
  </si>
  <si>
    <t>Konsole (G440-1100-0002-01-2)-W002</t>
  </si>
  <si>
    <t>Maschinenbett (PSS630-L-0010-0004-01-1)-W021</t>
  </si>
  <si>
    <t>Maschinenbett (PSS630-L-0010-0004-01-1)-W014</t>
  </si>
  <si>
    <t>Maschinenbett (PSS630-L-0010-0004-01-1)-W011</t>
  </si>
  <si>
    <t>Konsole (G704-1100-0100-03-2)-W004a</t>
  </si>
  <si>
    <t>Konsole (G704-1100-0100-03-2)-W004b</t>
  </si>
  <si>
    <t>Konsole (R-GH-B512-1200-0000-01-1)-W003</t>
  </si>
  <si>
    <t>Konsole (G601F-1100-0000-01-2)-W019</t>
  </si>
  <si>
    <t>MJR200</t>
  </si>
  <si>
    <t>Mjerna ruka FARO PRIME</t>
  </si>
  <si>
    <t>MJR300</t>
  </si>
  <si>
    <t>Mjerna ruka FARO QUANTUM</t>
  </si>
  <si>
    <t>Maschinenbett (PSS630-L-0010-0000-04-1)-W043</t>
  </si>
  <si>
    <t>Maschinenbett (PSS630-L-0010-0000-04-1)-W034</t>
  </si>
  <si>
    <t>Maschinenbett (PSS630-L-0010-0000-04-1)-W010</t>
  </si>
  <si>
    <t>Maschinenbett (PSS630-L-0010-0000-04-1)-W013</t>
  </si>
  <si>
    <t>Maschinenbett (PSS630-L-0010-0000-04-1)-W009</t>
  </si>
  <si>
    <t>Maschinenbett (PSS630-L-0010-0000-04-1)-W038</t>
  </si>
  <si>
    <t>Maschinenbett (PSS630-L-0010-0000-04-1)-W037</t>
  </si>
  <si>
    <t>Maschinenbett (PSS630-L-0010-0000-04-1)-W042</t>
  </si>
  <si>
    <t>Maschinenbett (PSS630-L-0010-0000-04-1)-W039</t>
  </si>
  <si>
    <t>Konsole (GH-B504-1200-0000-01-1)-W017</t>
  </si>
  <si>
    <t>Konsole (GH-B504-1200-0000-01-1)-W008</t>
  </si>
  <si>
    <t>822782-822786</t>
  </si>
  <si>
    <t>822782-822787</t>
  </si>
  <si>
    <t>808696-808677</t>
  </si>
  <si>
    <t>809145-809139</t>
  </si>
  <si>
    <t>Staender (R-G900F-1200-2000-01-1)-W064</t>
  </si>
  <si>
    <t>Staender (R-G900F-1200-2000-01-1)-W004</t>
  </si>
  <si>
    <t>Staender (R-G900F-1200-1000-01-1)-W004</t>
  </si>
  <si>
    <t>Staender (R-G900F-1200-1000-01-1)-W064</t>
  </si>
  <si>
    <t>SMF Bleiauskleidung W01-0212126 P3</t>
  </si>
  <si>
    <t>SMF Bleiauskleidung W01-0212126 P2</t>
  </si>
  <si>
    <t>Stuetze (G327-1900-0000-01-4)-W001</t>
  </si>
  <si>
    <t>Stuetze (L4MS300-GM7101/1-02-1)-W005</t>
  </si>
  <si>
    <t>822642-822672</t>
  </si>
  <si>
    <t>824613-824614</t>
  </si>
  <si>
    <t>822644-822672</t>
  </si>
  <si>
    <t>822677-822672</t>
  </si>
  <si>
    <t>822643-822672</t>
  </si>
  <si>
    <t>Konsole (G720F-1100-0100-01-2)-W013</t>
  </si>
  <si>
    <t>Konsole (G720F-1100-0100-01-2)-W024</t>
  </si>
  <si>
    <t>Konsole (G720F-1100-0100-01-2)-W008</t>
  </si>
  <si>
    <t>Konsole (G720F-1100-0100-01-2)-W004</t>
  </si>
  <si>
    <t>811956-811963</t>
  </si>
  <si>
    <t>824532-824534</t>
  </si>
  <si>
    <t>824532-824535</t>
  </si>
  <si>
    <t>805234-805243</t>
  </si>
  <si>
    <t>805234-805244</t>
  </si>
  <si>
    <t>806601-806656</t>
  </si>
  <si>
    <t>806601-806680</t>
  </si>
  <si>
    <t>806601-806654</t>
  </si>
  <si>
    <t>806599-806656</t>
  </si>
  <si>
    <t>806599-806654</t>
  </si>
  <si>
    <t>806599-806680</t>
  </si>
  <si>
    <t>806600-806680</t>
  </si>
  <si>
    <t>806600-806656</t>
  </si>
  <si>
    <t>806600-806654</t>
  </si>
  <si>
    <t>814073-814169</t>
  </si>
  <si>
    <t>815856-815877</t>
  </si>
  <si>
    <t>818261-818264</t>
  </si>
  <si>
    <t>821021-820998</t>
  </si>
  <si>
    <t>821258-821246</t>
  </si>
  <si>
    <t>824636-824641</t>
  </si>
  <si>
    <t>800983-800973</t>
  </si>
  <si>
    <t>800983-800970</t>
  </si>
  <si>
    <t>810872-810965</t>
  </si>
  <si>
    <t>811007-811100</t>
  </si>
  <si>
    <t>820512-820516</t>
  </si>
  <si>
    <t>820994-820971</t>
  </si>
  <si>
    <t>821386-821405</t>
  </si>
  <si>
    <t>821816-821820</t>
  </si>
  <si>
    <t>821817-821820</t>
  </si>
  <si>
    <t>821818-821820</t>
  </si>
  <si>
    <t>821819-821820</t>
  </si>
  <si>
    <t>821911-821936</t>
  </si>
  <si>
    <t>821911-821937</t>
  </si>
  <si>
    <t>821911-821942</t>
  </si>
  <si>
    <t>820443-820454</t>
  </si>
  <si>
    <t>820443-820464</t>
  </si>
  <si>
    <t>820443-820457</t>
  </si>
  <si>
    <t>820725-820731</t>
  </si>
  <si>
    <t>820725-820727</t>
  </si>
  <si>
    <t>820725-820729</t>
  </si>
  <si>
    <t>820725-820726</t>
  </si>
  <si>
    <t>820725-820761</t>
  </si>
  <si>
    <t>820725-820739</t>
  </si>
  <si>
    <t>820725-820733</t>
  </si>
  <si>
    <t>820843-820850</t>
  </si>
  <si>
    <t>820843-820859</t>
  </si>
  <si>
    <t>821909-821936</t>
  </si>
  <si>
    <t>821909-821942</t>
  </si>
  <si>
    <t>821909-821937</t>
  </si>
  <si>
    <t>821910-821937</t>
  </si>
  <si>
    <t>821910-821936</t>
  </si>
  <si>
    <t>821910-821942</t>
  </si>
  <si>
    <t>824644-824648</t>
  </si>
  <si>
    <t>824644-824708</t>
  </si>
  <si>
    <t>824715-824779</t>
  </si>
  <si>
    <t>824715-824719</t>
  </si>
  <si>
    <t>820475-820489</t>
  </si>
  <si>
    <t>820475-820496</t>
  </si>
  <si>
    <t>820475-820486</t>
  </si>
  <si>
    <t>821908-821936</t>
  </si>
  <si>
    <t>821908-821942</t>
  </si>
  <si>
    <t>821908-821937</t>
  </si>
  <si>
    <t>822279-822321</t>
  </si>
  <si>
    <t>822279-822288</t>
  </si>
  <si>
    <t>822279-822289</t>
  </si>
  <si>
    <t>822279-822317</t>
  </si>
  <si>
    <t>822279-822316</t>
  </si>
  <si>
    <t>822279-822313</t>
  </si>
  <si>
    <t>822279-822318</t>
  </si>
  <si>
    <t>822279-822292</t>
  </si>
  <si>
    <t>822328-822341</t>
  </si>
  <si>
    <t>822328-822338</t>
  </si>
  <si>
    <t>822328-822337</t>
  </si>
  <si>
    <t>822328-822362</t>
  </si>
  <si>
    <t>822328-822367</t>
  </si>
  <si>
    <t>822328-822366</t>
  </si>
  <si>
    <t>822328-822365</t>
  </si>
  <si>
    <t>822328-822371</t>
  </si>
  <si>
    <t>822328-822370</t>
  </si>
  <si>
    <t>820584-820567</t>
  </si>
  <si>
    <t>820584-820565</t>
  </si>
  <si>
    <t>820584-820579</t>
  </si>
  <si>
    <t>820584-820568</t>
  </si>
  <si>
    <t>821372-821359</t>
  </si>
  <si>
    <t>821372-821362</t>
  </si>
  <si>
    <t>821372-821350</t>
  </si>
  <si>
    <t>815765-815795</t>
  </si>
  <si>
    <t>818363-818392</t>
  </si>
  <si>
    <t>818363-818398</t>
  </si>
  <si>
    <t>821144-821134</t>
  </si>
  <si>
    <t>821198-821187</t>
  </si>
  <si>
    <t>821198-821188</t>
  </si>
  <si>
    <t>830028-830005</t>
  </si>
  <si>
    <t>830028-830001</t>
  </si>
  <si>
    <t>816978-816990</t>
  </si>
  <si>
    <t>816978-816982</t>
  </si>
  <si>
    <t>816978-817012</t>
  </si>
  <si>
    <t>816978-817015</t>
  </si>
  <si>
    <t>816978-817002</t>
  </si>
  <si>
    <t>834063-834066</t>
  </si>
  <si>
    <t>834063-834071</t>
  </si>
  <si>
    <t>834063-834077</t>
  </si>
  <si>
    <t>834063-834087</t>
  </si>
  <si>
    <t>834063-834097</t>
  </si>
  <si>
    <t>834063-834075</t>
  </si>
  <si>
    <t>834063-834078</t>
  </si>
  <si>
    <t>834147-834162</t>
  </si>
  <si>
    <t>834147-834171</t>
  </si>
  <si>
    <t>834147-834181</t>
  </si>
  <si>
    <t>834147-834150</t>
  </si>
  <si>
    <t>834147-834184</t>
  </si>
  <si>
    <t>834147-834159</t>
  </si>
  <si>
    <t>834147-834155</t>
  </si>
  <si>
    <t>834147-834161</t>
  </si>
  <si>
    <t>Konsole (G900F-1100-0000-01-2)-W011</t>
  </si>
  <si>
    <t>817020-817054</t>
  </si>
  <si>
    <t>817020-817057</t>
  </si>
  <si>
    <t>817020-817044</t>
  </si>
  <si>
    <t>BRV1100</t>
  </si>
  <si>
    <t>Rad Bravar - H4</t>
  </si>
  <si>
    <t>BRV400</t>
  </si>
  <si>
    <t>Rad Bravarsko radno mjesto 11</t>
  </si>
  <si>
    <t>BRV500</t>
  </si>
  <si>
    <t>Rad Bravarsko radno mjesto 12</t>
  </si>
  <si>
    <t>BRV600</t>
  </si>
  <si>
    <t>Rad Bravarsko radno mjesto 13</t>
  </si>
  <si>
    <t>BRV1200</t>
  </si>
  <si>
    <t>Rad Bravarsko radno mjesto 21</t>
  </si>
  <si>
    <t>BRV1400</t>
  </si>
  <si>
    <t>Rad Bravarsko radno mjesto 22</t>
  </si>
  <si>
    <t>BRV700</t>
  </si>
  <si>
    <t>Rad Bravarsko radno mjesto 23</t>
  </si>
  <si>
    <t>BRV800</t>
  </si>
  <si>
    <t>Rad Bravarsko radno mjesto 24</t>
  </si>
  <si>
    <t>BRV900</t>
  </si>
  <si>
    <t>Rad Bravarsko radno mjesto 31</t>
  </si>
  <si>
    <t>BRV1000</t>
  </si>
  <si>
    <t>Rad Bravarsko radno mjesto 32</t>
  </si>
  <si>
    <t>BRV1300</t>
  </si>
  <si>
    <t>Rad Bravarsko radno mjesto 8</t>
  </si>
  <si>
    <t>Rad Bravarsko radno mjesto LBH 1.1</t>
  </si>
  <si>
    <t>Rad Bravarsko radno mjesto LBH 1.2</t>
  </si>
  <si>
    <t>Z2800</t>
  </si>
  <si>
    <t>Rad Zavarivacko mjesto LBH 1.1</t>
  </si>
  <si>
    <t>Z2900</t>
  </si>
  <si>
    <t>Rad Zavarivacko mjesto LBH 2 + robot</t>
  </si>
  <si>
    <t>Z3000</t>
  </si>
  <si>
    <t>Rad Zavarivačko radno mjesto 21</t>
  </si>
  <si>
    <t>Z3100</t>
  </si>
  <si>
    <t>Rad Zavarivačko radno mjesto 22</t>
  </si>
  <si>
    <t>t404</t>
  </si>
  <si>
    <t>WC Test</t>
  </si>
  <si>
    <t>Z2300</t>
  </si>
  <si>
    <t>Zavarivačko mjesto 22</t>
  </si>
  <si>
    <t>Z2400</t>
  </si>
  <si>
    <t>Zavarivačko mjesto 23</t>
  </si>
  <si>
    <t>Z2500</t>
  </si>
  <si>
    <t>Zavarivačko mjesto 24</t>
  </si>
  <si>
    <t>Z2600</t>
  </si>
  <si>
    <t>Zavarivačko mjesto 31</t>
  </si>
  <si>
    <t>Z2700</t>
  </si>
  <si>
    <t>Zavarivačko radno mjesto 32</t>
  </si>
  <si>
    <t>LBH HW001 WP12411468 P150</t>
  </si>
  <si>
    <t>DMG Rahmen 2991290 - P4</t>
  </si>
  <si>
    <t>DMG Rahmen 2991290 - P11</t>
  </si>
  <si>
    <t>DMG Rahmen 2991290 - P2</t>
  </si>
  <si>
    <t>DMG Rahmen 2991290 - P8</t>
  </si>
  <si>
    <t>GH Rahmen 3204435  - P12</t>
  </si>
  <si>
    <t>DMG Rahmen 3664822 P11 x1</t>
  </si>
  <si>
    <t>DMG Rahmen 3664822 P27 x1</t>
  </si>
  <si>
    <t>BOBST Foot SAM0421P04371-ukruta 1</t>
  </si>
  <si>
    <t>G2700</t>
  </si>
  <si>
    <t>CNC Glodalica "DMG" DMF 360L</t>
  </si>
  <si>
    <t>G2800</t>
  </si>
  <si>
    <t>CNC Glodalica "SHW" US5</t>
  </si>
  <si>
    <t>ZNS200</t>
  </si>
  <si>
    <t>Fiber laser BODOR P6 Rama</t>
  </si>
  <si>
    <t>IZ200</t>
  </si>
  <si>
    <t>Izdavanje poluproizvoda Rama</t>
  </si>
  <si>
    <t>K200</t>
  </si>
  <si>
    <t>Kontrola AKZ</t>
  </si>
  <si>
    <t>K1200</t>
  </si>
  <si>
    <t>Kontrola AKZ Rama</t>
  </si>
  <si>
    <t>K300</t>
  </si>
  <si>
    <t>Kontrola dimenzija ZK</t>
  </si>
  <si>
    <t>K1100</t>
  </si>
  <si>
    <t>Kontrola dimenzija ZK Rama</t>
  </si>
  <si>
    <t>K400</t>
  </si>
  <si>
    <t>Kontrola međufazna</t>
  </si>
  <si>
    <t>K1300</t>
  </si>
  <si>
    <t>Kontrola međufazna Rama</t>
  </si>
  <si>
    <t>K500</t>
  </si>
  <si>
    <t>Kontrola MT</t>
  </si>
  <si>
    <t>K1700</t>
  </si>
  <si>
    <t>Kontrola MT Rama</t>
  </si>
  <si>
    <t>K600</t>
  </si>
  <si>
    <t>Kontrola preciznim mjernim instrumentima</t>
  </si>
  <si>
    <t>K1400</t>
  </si>
  <si>
    <t>Kontrola preciznim mjernim instrumentima Rama</t>
  </si>
  <si>
    <t>K700</t>
  </si>
  <si>
    <t>Kontrola PT</t>
  </si>
  <si>
    <t>K1600</t>
  </si>
  <si>
    <t>Kontrola PT Rama</t>
  </si>
  <si>
    <t>K800</t>
  </si>
  <si>
    <t>Kontrola UT</t>
  </si>
  <si>
    <t>K1800</t>
  </si>
  <si>
    <t>Kontrola UT Rama</t>
  </si>
  <si>
    <t>K900</t>
  </si>
  <si>
    <t>Kontrola zavarivanja</t>
  </si>
  <si>
    <t>K1500</t>
  </si>
  <si>
    <t>Kontrola zavarivanja Rama</t>
  </si>
  <si>
    <t>PJES600</t>
  </si>
  <si>
    <t>Priprema za sačmarenje Rama</t>
  </si>
  <si>
    <t>ZNS400</t>
  </si>
  <si>
    <t>Rad Abkan presa HACO Rama</t>
  </si>
  <si>
    <t>BR1500</t>
  </si>
  <si>
    <t>Rad Brav - Zenica M1.1</t>
  </si>
  <si>
    <t>BRV1600</t>
  </si>
  <si>
    <t>Rad Brav - Zenica M2.2</t>
  </si>
  <si>
    <t>BRV1700</t>
  </si>
  <si>
    <t>Rad Brav - Zenica V1.1</t>
  </si>
  <si>
    <t>BRV1800</t>
  </si>
  <si>
    <t>Rad Brav - Zenica V2.2</t>
  </si>
  <si>
    <t>BRV1900</t>
  </si>
  <si>
    <t>Rad Bravarsko radno mjesto 1 Rama</t>
  </si>
  <si>
    <t>BRV2000</t>
  </si>
  <si>
    <t>Rad Bravarsko radno mjesto 2 Rama</t>
  </si>
  <si>
    <t>BRV2100</t>
  </si>
  <si>
    <t>Rad Bravarsko radno mjesto 3 Rama</t>
  </si>
  <si>
    <t>BRV2200</t>
  </si>
  <si>
    <t>Rad Bravarsko radno mjesto 4 Rama</t>
  </si>
  <si>
    <t>PO800</t>
  </si>
  <si>
    <t>Rad BruCis - Brusac</t>
  </si>
  <si>
    <t>PO700</t>
  </si>
  <si>
    <t>Rad BruCis - LBH</t>
  </si>
  <si>
    <t>PO600</t>
  </si>
  <si>
    <t>Rad BruCis - Zenica Brusac</t>
  </si>
  <si>
    <t>BR500</t>
  </si>
  <si>
    <t>Rad brušenje 1 Rama</t>
  </si>
  <si>
    <t>PO900</t>
  </si>
  <si>
    <t>Rad čišćenje nakon rezanja Rama</t>
  </si>
  <si>
    <t>PO500</t>
  </si>
  <si>
    <t>Rad čišćenje nakon sječenja</t>
  </si>
  <si>
    <t>PO400</t>
  </si>
  <si>
    <t>Rad čišćenje pozicija</t>
  </si>
  <si>
    <t>BU700</t>
  </si>
  <si>
    <t>Rad CNC DMG Rama</t>
  </si>
  <si>
    <t>BU900</t>
  </si>
  <si>
    <t>Rad CNC Fermat Rama</t>
  </si>
  <si>
    <t>G2600</t>
  </si>
  <si>
    <t>Rad CNC rezac Zenica</t>
  </si>
  <si>
    <t>Z3600</t>
  </si>
  <si>
    <t>Rad EPP zavarivanje</t>
  </si>
  <si>
    <t>F700</t>
  </si>
  <si>
    <t>Rad Farbanje - Metalofarbari I Zenica</t>
  </si>
  <si>
    <t>PO300</t>
  </si>
  <si>
    <t>Rad Grishajm - Cistac</t>
  </si>
  <si>
    <t>BU800</t>
  </si>
  <si>
    <t>Rad Haas Rama</t>
  </si>
  <si>
    <t>MzR200</t>
  </si>
  <si>
    <t>Rad Ispravljanje termickom obradom</t>
  </si>
  <si>
    <t>MzR300</t>
  </si>
  <si>
    <t>Rad Ispravljanje termičkom obradom Rama</t>
  </si>
  <si>
    <t>SAC200</t>
  </si>
  <si>
    <t>Rad komora za sačmarenje Rama</t>
  </si>
  <si>
    <t>K1000</t>
  </si>
  <si>
    <t>Rad Kontrola ispitivanje na nepropusnost</t>
  </si>
  <si>
    <t>F900</t>
  </si>
  <si>
    <t>Rad lakiranje termolakirnica - Blowtherm 1 Rama</t>
  </si>
  <si>
    <t>F800</t>
  </si>
  <si>
    <t>Rad lakiranje termolakirnica - Blowtherm 1/2 Rama</t>
  </si>
  <si>
    <t>L100</t>
  </si>
  <si>
    <t>Rad lasersko rezanje Rama</t>
  </si>
  <si>
    <t>M500</t>
  </si>
  <si>
    <t>Rad montaža Rama</t>
  </si>
  <si>
    <t>PAK200</t>
  </si>
  <si>
    <t>Rad pakovanje Rama</t>
  </si>
  <si>
    <t>PJES500</t>
  </si>
  <si>
    <t>Rad Pjeskarenje - Zenica</t>
  </si>
  <si>
    <t>ZNS300</t>
  </si>
  <si>
    <t>Rad plazma rezanje Rama</t>
  </si>
  <si>
    <t>G2500</t>
  </si>
  <si>
    <t>Rad Raboma Zenica</t>
  </si>
  <si>
    <t>S300</t>
  </si>
  <si>
    <t>Rad sekator Rama</t>
  </si>
  <si>
    <t>S200</t>
  </si>
  <si>
    <t>Rad Sekator Zenica</t>
  </si>
  <si>
    <t>SUS300</t>
  </si>
  <si>
    <t>Rad sušenje termolakirnica Rama</t>
  </si>
  <si>
    <t>T200</t>
  </si>
  <si>
    <t>Rad Testera Zenica</t>
  </si>
  <si>
    <t>Z3200</t>
  </si>
  <si>
    <t>Rad Zav - Zenica M1.1</t>
  </si>
  <si>
    <t>Z3300</t>
  </si>
  <si>
    <t>Rad Zav - Zenica M2.2</t>
  </si>
  <si>
    <t>Z3400</t>
  </si>
  <si>
    <t>Rad Zav - Zenica V1.1</t>
  </si>
  <si>
    <t>Z3500</t>
  </si>
  <si>
    <t>Rad Zav - Zenica V2.2</t>
  </si>
  <si>
    <t>Z4200</t>
  </si>
  <si>
    <t>Rad Zavarivačko mjesto Robot 1 Rama</t>
  </si>
  <si>
    <t>Z3700</t>
  </si>
  <si>
    <t>Rad Zavarivačko radno mjesto 1 Rama</t>
  </si>
  <si>
    <t>Z3800</t>
  </si>
  <si>
    <t>Rad Zavarivačko radno mjesto 2 Rama</t>
  </si>
  <si>
    <t>Z3900</t>
  </si>
  <si>
    <t>Rad Zavarivačko radno mjesto 3 Rama</t>
  </si>
  <si>
    <t>Z4000</t>
  </si>
  <si>
    <t>Rad Zavarivačko radno mjesto 4 Rama</t>
  </si>
  <si>
    <t>Z4100</t>
  </si>
  <si>
    <t>Rad Zavarivačko radno mjesto 5 Rama</t>
  </si>
  <si>
    <t>SALV Haltewange (P4L-3220 ST)-46M06252A324-P045</t>
  </si>
  <si>
    <t>SALV Haltewange (P4L-3220 ST)-46M06252A323-P040</t>
  </si>
  <si>
    <t>Rahmen (R-GM7201/00-00-100/1-1-1)-W034</t>
  </si>
  <si>
    <t>WuH Extrr 30292067-P2 #8 x1</t>
  </si>
  <si>
    <t>SALV Haltewange (P4L-2120/P2L-21)-46M06606A401-P110</t>
  </si>
  <si>
    <t>Maschinenbett (PSS630-L-0010-0001-03-1)-W037</t>
  </si>
  <si>
    <t>Maschinenbett (PSS630-L-0010-0001-03-1)-W038</t>
  </si>
  <si>
    <t>KB Ram_KP0979415_L020_Ratp_MF19 - P1</t>
  </si>
  <si>
    <t>MTO_20240627095703</t>
  </si>
  <si>
    <t>KLTNBCH Maschinenbett 0-7901-028104-00 P120</t>
  </si>
  <si>
    <t>ZNS500</t>
  </si>
  <si>
    <t>Rad Autogeno rezanje Rama</t>
  </si>
  <si>
    <t>BRV2300</t>
  </si>
  <si>
    <t>Rad Bravar - mašinska Rama</t>
  </si>
  <si>
    <t>BRV2400</t>
  </si>
  <si>
    <t>Rad Mašina za urezivanje navoja Rama</t>
  </si>
  <si>
    <t>920314-920292</t>
  </si>
  <si>
    <t>920314-920301</t>
  </si>
  <si>
    <t>920314-920304</t>
  </si>
  <si>
    <t>922744-922755</t>
  </si>
  <si>
    <t>922744-922772</t>
  </si>
  <si>
    <t>Maschinenbett (PSS630-L-0010-0001-03-1)-W017</t>
  </si>
  <si>
    <t>Maschinenbett (PSS630-L-0010-0001-03-1)-W021</t>
  </si>
  <si>
    <t>Maschinenbett (PSS630-L-0010-0001-03-1)-W026</t>
  </si>
  <si>
    <t>929677-929637</t>
  </si>
  <si>
    <t>929678-929637</t>
  </si>
  <si>
    <t>929679-929637</t>
  </si>
  <si>
    <t>924615-924623</t>
  </si>
  <si>
    <t>930835-930796</t>
  </si>
  <si>
    <t>930836-930796</t>
  </si>
  <si>
    <t>930837-930796</t>
  </si>
  <si>
    <t>923637-923627</t>
  </si>
  <si>
    <t>923581-923570</t>
  </si>
  <si>
    <t>923581-923571</t>
  </si>
  <si>
    <t>SALV Haltewange (P4L-2516/20)-46M06468A417-P115</t>
  </si>
  <si>
    <t>Fuehrungsbett (R-G552-1100-0004-01-1)-W042</t>
  </si>
  <si>
    <t>AL_HEF_KW_9326_NADOGRADNJE_PS3</t>
  </si>
  <si>
    <t>LINDNER Seitenteil-Geh Lijevi 336466 - P110</t>
  </si>
  <si>
    <t>Konsole (G516-1100-0003-01-2)-W005</t>
  </si>
  <si>
    <t>Fuehrungsbett (R-G552-1100-0004-01-1)-W113</t>
  </si>
  <si>
    <t>Kreuzschlitten (R-G751-1200-0010-01-1)-W039</t>
  </si>
  <si>
    <t>KRAMER Rahmen 9326_(311) - P012</t>
  </si>
  <si>
    <t>KRAMER Rahmen 9326_(311) - P011</t>
  </si>
  <si>
    <t>KRAMER Rahmen 9326_(311) - P014</t>
  </si>
  <si>
    <t>KRAMER Rahmen 6109_(176) - P040</t>
  </si>
  <si>
    <t>KRAMER Rahmen 6109_(176) - P030</t>
  </si>
  <si>
    <t>KRAMER Rahmen 6109_(176) - P050</t>
  </si>
  <si>
    <t>KRAMER Rahmen 3102_(565) - P110</t>
  </si>
  <si>
    <t>KRAMER Rahmen 3102_(565) - P140</t>
  </si>
  <si>
    <t>KRAMER Rahmen 3102_(565) - P150</t>
  </si>
  <si>
    <t>KRAMER Rahmen 3102_(565) - P190</t>
  </si>
  <si>
    <t>MTO_20240905142216</t>
  </si>
  <si>
    <t>Maschinenbett (PSS630-L-0010-0001-03-1)-W034</t>
  </si>
  <si>
    <t>924162-924179</t>
  </si>
  <si>
    <t>939366-939332</t>
  </si>
  <si>
    <t>939367-939332</t>
  </si>
  <si>
    <t>939411-939398</t>
  </si>
  <si>
    <t>928782-928795</t>
  </si>
  <si>
    <t>928782-928806</t>
  </si>
  <si>
    <t>938108-944215</t>
  </si>
  <si>
    <t>941614-941578</t>
  </si>
  <si>
    <t>941615-941578</t>
  </si>
  <si>
    <t>941616-941578</t>
  </si>
  <si>
    <t>941617-941578</t>
  </si>
  <si>
    <t>942213-942171</t>
  </si>
  <si>
    <t>942214-942171</t>
  </si>
  <si>
    <t>942215-942171</t>
  </si>
  <si>
    <t>942216-942171</t>
  </si>
  <si>
    <t>938109-944215</t>
  </si>
  <si>
    <t>938107-944215</t>
  </si>
  <si>
    <t>937738-937741</t>
  </si>
  <si>
    <t>928571-928558</t>
  </si>
  <si>
    <t>928571-928549</t>
  </si>
  <si>
    <t>940925-940940</t>
  </si>
  <si>
    <t>940925-940941</t>
  </si>
  <si>
    <t>943272-943238</t>
  </si>
  <si>
    <t>943272-943233</t>
  </si>
  <si>
    <t>943327-943293</t>
  </si>
  <si>
    <t>943327-943288</t>
  </si>
  <si>
    <t>943385-943350</t>
  </si>
  <si>
    <t>943385-943345</t>
  </si>
  <si>
    <t>943386-943350</t>
  </si>
  <si>
    <t>943386-943345</t>
  </si>
  <si>
    <t>943481-943446</t>
  </si>
  <si>
    <t>943482-943446</t>
  </si>
  <si>
    <t>943483-943446</t>
  </si>
  <si>
    <t>920662-920655</t>
  </si>
  <si>
    <t>937711-937689</t>
  </si>
  <si>
    <t>937711-937698</t>
  </si>
  <si>
    <t>928627-928608</t>
  </si>
  <si>
    <t>940580-940576</t>
  </si>
  <si>
    <t>923810-923806</t>
  </si>
  <si>
    <t>941124-941148</t>
  </si>
  <si>
    <t>941124-941135</t>
  </si>
  <si>
    <t>941124-941158</t>
  </si>
  <si>
    <t>930336-944616</t>
  </si>
  <si>
    <t>942461-942577</t>
  </si>
  <si>
    <t>943652-943689</t>
  </si>
  <si>
    <t>930337-944616</t>
  </si>
  <si>
    <t>930335-944616</t>
  </si>
  <si>
    <t>938418-938447</t>
  </si>
  <si>
    <t>938420-938447</t>
  </si>
  <si>
    <t>938417-938447</t>
  </si>
  <si>
    <t>938419-938447</t>
  </si>
  <si>
    <t>940284-940299</t>
  </si>
  <si>
    <t>940284-940298</t>
  </si>
  <si>
    <t>940284-940300</t>
  </si>
  <si>
    <t>942313-942355</t>
  </si>
  <si>
    <t>Stuetze (GH-WT503-3100-0000-04-20)-W012</t>
  </si>
  <si>
    <t>Stuetze (GH-WT503-3100-0000-04-20)-W011</t>
  </si>
  <si>
    <t>946101-946067</t>
  </si>
  <si>
    <t>946101-946062</t>
  </si>
  <si>
    <t>946102-946062</t>
  </si>
  <si>
    <t>946102-946067</t>
  </si>
  <si>
    <t>946148-946115</t>
  </si>
  <si>
    <t>946149-946115</t>
  </si>
  <si>
    <t>940345-940351</t>
  </si>
  <si>
    <t>940345-940350</t>
  </si>
  <si>
    <t>940345-940352</t>
  </si>
  <si>
    <t>940646-940668</t>
  </si>
  <si>
    <t>940646-940664</t>
  </si>
  <si>
    <t>940646-940663</t>
  </si>
  <si>
    <t>940646-940660</t>
  </si>
  <si>
    <t>934412-934423</t>
  </si>
  <si>
    <t>KRAMER Rahmen 6334_(309) - P070</t>
  </si>
  <si>
    <t>ZECK Unterrahmen-geschweisst 504-003-01-00-00-P12</t>
  </si>
  <si>
    <t>ZECK Unterrahmen-geschweisst 504-003-01-00-00-P13</t>
  </si>
  <si>
    <t>ZECK Unterrahmen-geschweisst 504-003-01-00-00-P3</t>
  </si>
  <si>
    <t>Fuehrungsbett (R-G350a-1100-0001-01-1)- W022</t>
  </si>
  <si>
    <t>MTO_20240304080112</t>
  </si>
  <si>
    <t>Fuehrungsbett (R-G350a-1100-0001-01-1)- W031</t>
  </si>
  <si>
    <t>Fuehrungsbett (R-G350a-1100-0001-01-1)- W033</t>
  </si>
  <si>
    <t>Fuehrungsbett (R-G350a-1100-0001-01-1)- W106</t>
  </si>
  <si>
    <t>Fuehrungsbett (R-G350a-1100-0001-01-1)- W117</t>
  </si>
  <si>
    <t>WuH Extrr 30292067-P3 #12x1</t>
  </si>
  <si>
    <t>931714-947809</t>
  </si>
  <si>
    <t>931703-947809</t>
  </si>
  <si>
    <t>931712-947809</t>
  </si>
  <si>
    <t>931713-947809</t>
  </si>
  <si>
    <t>931706-947809</t>
  </si>
  <si>
    <t>931707-947809</t>
  </si>
  <si>
    <t>931709-947809</t>
  </si>
  <si>
    <t>931708-947809</t>
  </si>
  <si>
    <t>931705-947809</t>
  </si>
  <si>
    <t>931704-947809</t>
  </si>
  <si>
    <t>931710-947809</t>
  </si>
  <si>
    <t>931711-947809</t>
  </si>
  <si>
    <t>950491-950506</t>
  </si>
  <si>
    <t>950491-950507</t>
  </si>
  <si>
    <t>950491-950495</t>
  </si>
  <si>
    <t>947500-947479</t>
  </si>
  <si>
    <t>LBH SchnellW 965 i 256 P70 (14258037)</t>
  </si>
  <si>
    <t>947893-947906</t>
  </si>
  <si>
    <t>947894-947906</t>
  </si>
  <si>
    <t>Spindelkasten (R-G900F-1300-2000-02-1)-W001</t>
  </si>
  <si>
    <t>Spindelkasten (R-G900F-1300-2000-02-1)-W009</t>
  </si>
  <si>
    <t>SALV Grundrahmen (P4L_3816)-46M06361A452</t>
  </si>
  <si>
    <t>AL_PALETA - GrundGestell GW-J300 - Dodaci_KPL</t>
  </si>
  <si>
    <t>MTO_20241218102012</t>
  </si>
  <si>
    <t>KRAMER Rahmen 6188_(696) - P060</t>
  </si>
  <si>
    <t>LINDNER Gegenmesseraufnahme 364197 - P30 #25 x1</t>
  </si>
  <si>
    <t>Traeger (G720F-1900-0000-01-5)-W001</t>
  </si>
  <si>
    <t>Traeger (R-G327-1900-0000-01-1)-W007</t>
  </si>
  <si>
    <t>Stuetze (GM7223/01-1065-2/1-2)-W001</t>
  </si>
  <si>
    <t>BOBST Foot SAM0421P04371-P2 #60 x1</t>
  </si>
  <si>
    <t>BOBST Foot SAM0421P04371-P6 #60 x1</t>
  </si>
  <si>
    <t>Kampf Schwenksaule 882165077-P3 #12x1</t>
  </si>
  <si>
    <t>BC Grundrahmen 6659400 - P4</t>
  </si>
  <si>
    <t>WuH Extrr 30288073-P3</t>
  </si>
  <si>
    <t>WuH Extrr 30288073-P2</t>
  </si>
  <si>
    <t>KRAMER Rahmen 6188_(696) - P070</t>
  </si>
  <si>
    <t>LINDNER_Lagerwand_Oberteil_P140</t>
  </si>
  <si>
    <t>LINDNER_Lagerwand_Unterteil_P310</t>
  </si>
  <si>
    <t>LINDNER_Lagerwand_Unterteil_P190</t>
  </si>
  <si>
    <t>Schuler Stutze B5-069.943 P2 x1</t>
  </si>
  <si>
    <t>Schuler Stutze B5-068.955 P1 x1</t>
  </si>
  <si>
    <t>Schuler Stutze B5-068.955 P2 x1</t>
  </si>
  <si>
    <t>KRAMER Rahmen 8088_(725)_ex.6109 - P050</t>
  </si>
  <si>
    <t>Fuehrungsbett (R-GM5386/01-01-1/1-1)-W011</t>
  </si>
  <si>
    <t>Fuehrungsbett (R-GM5386/01-01-1/1-1)-W032</t>
  </si>
  <si>
    <t>Fuehrungsbett (R-GM5386/01-01-1/1-1)-W039</t>
  </si>
  <si>
    <t>Fuehrungsbett (R-GM5386/01-01-1/1-1)-W001</t>
  </si>
  <si>
    <t>Fuehrungsbett (R-GM5386/01-01-1/1-1)-W040</t>
  </si>
  <si>
    <t>Schuler B5-069.049 P11 #30 x2</t>
  </si>
  <si>
    <t>Basiseinheit (GM7240/04-4020-95/1-1/1-1)-W003</t>
  </si>
  <si>
    <t>Staender (R-G500S-1700-1000-01-1)-W038</t>
  </si>
  <si>
    <t>Staender (R-G500S-1700-2000-01-1)-W038</t>
  </si>
  <si>
    <t>Konsole (G516-1100-0003-01-2)-W018</t>
  </si>
  <si>
    <t>Traeger (R-G327-1900-0000-03-3) - W023</t>
  </si>
  <si>
    <t>Traeger (R-G327-1900-0000-03-3) - W024</t>
  </si>
  <si>
    <t>Traeger (R-G327-1900-0000-03-3) - W025</t>
  </si>
  <si>
    <t>Traeger (R-G327-1900-0000-03-3) - W026</t>
  </si>
  <si>
    <t>Traeger (R-G327-1900-0000-03-3) - W009</t>
  </si>
  <si>
    <t>Traeger (R-G327-1900-0000-03-3) - W007</t>
  </si>
  <si>
    <t>Traeger (R-G327-1900-0000-03-3) - W001</t>
  </si>
  <si>
    <t>Traeger (R-G327-1900-0000-03-3) - W003</t>
  </si>
  <si>
    <t>Traeger (R-G327-1900-0000-03-3) - W004</t>
  </si>
  <si>
    <t>Traeger (R-G327-1900-0000-03-3) - W008</t>
  </si>
  <si>
    <t>Grundgestell (G040-1850-0000-01-1)-W006</t>
  </si>
  <si>
    <t>Grundgestell (G040-1850-0000-01-1)-W005</t>
  </si>
  <si>
    <t>SALV Grundrahmen (P4L-2116/P2L-21)-46M06432A341</t>
  </si>
  <si>
    <t>SALV Grundrahmen (P4L-2116/P2L-21)-46M06432A434</t>
  </si>
  <si>
    <t>SALV Grundrahmen (P4L-2116/P2L-21)-46M06432A340</t>
  </si>
  <si>
    <t>DMG Rahmen 3084924 P24 x1</t>
  </si>
  <si>
    <t>DMG Rahmen 3084924 P25 x1</t>
  </si>
  <si>
    <t>WuH Extrr 30230993-P12 cijev 160x160x12,5 x1</t>
  </si>
  <si>
    <t>WuH Extrr 30230993-P4 cijev 160x160x12,5 x1</t>
  </si>
  <si>
    <t>WuH Extrr 30230993-P5 cijev 160x160x12,5 x1</t>
  </si>
  <si>
    <t>954371-985607</t>
  </si>
  <si>
    <t>954371-985606</t>
  </si>
  <si>
    <t>970591-970569</t>
  </si>
  <si>
    <t>964942-964938</t>
  </si>
  <si>
    <t>978188-978188</t>
  </si>
  <si>
    <t>971217-982814</t>
  </si>
  <si>
    <t>971218-982814</t>
  </si>
  <si>
    <t>971219-982814</t>
  </si>
  <si>
    <t>971220-982814</t>
  </si>
  <si>
    <t>972196-972174</t>
  </si>
  <si>
    <t>963143-963161</t>
  </si>
  <si>
    <t>963145-963161</t>
  </si>
  <si>
    <t>963146-963161</t>
  </si>
  <si>
    <t>963153-963161</t>
  </si>
  <si>
    <t>970676-970654</t>
  </si>
  <si>
    <t>970704-970682</t>
  </si>
  <si>
    <t>963148-963161</t>
  </si>
  <si>
    <t>963150-963161</t>
  </si>
  <si>
    <t>963151-963161</t>
  </si>
  <si>
    <t>966294-966291</t>
  </si>
  <si>
    <t>959672-968927</t>
  </si>
  <si>
    <t>963147-963161</t>
  </si>
  <si>
    <t>963149-963161</t>
  </si>
  <si>
    <t>963152-963161</t>
  </si>
  <si>
    <t>963154-963161</t>
  </si>
  <si>
    <t>978120-983312</t>
  </si>
  <si>
    <t>966295-966291</t>
  </si>
  <si>
    <t>977455-977466</t>
  </si>
  <si>
    <t>975660-975661</t>
  </si>
  <si>
    <t>975781-975788</t>
  </si>
  <si>
    <t>970778-970756</t>
  </si>
  <si>
    <t>970833-970811</t>
  </si>
  <si>
    <t>974635-974639</t>
  </si>
  <si>
    <t>974635-974637</t>
  </si>
  <si>
    <t>974635-974643</t>
  </si>
  <si>
    <t>982330-982316</t>
  </si>
  <si>
    <t>978807-978827</t>
  </si>
  <si>
    <t>982004-982006</t>
  </si>
  <si>
    <t>982004-982012</t>
  </si>
  <si>
    <t>982004-982008</t>
  </si>
  <si>
    <t>965337-965339</t>
  </si>
  <si>
    <t>980384-980414</t>
  </si>
  <si>
    <t>AL_GLO_KW 6334 - P140 + P150_P01</t>
  </si>
  <si>
    <t>985788-985789</t>
  </si>
  <si>
    <t>Fuehrungsbett (R-G552-1100-0004-01-1)-W043</t>
  </si>
  <si>
    <t>Fuehrungsbett (R-G552-1100-0004-01-1)-W047</t>
  </si>
  <si>
    <t>984511-984525</t>
  </si>
  <si>
    <t>984508-984525</t>
  </si>
  <si>
    <t>982100-982124</t>
  </si>
  <si>
    <t>KRAMER Rahmen 6188_(696) - P600</t>
  </si>
  <si>
    <t>AL_KONTR-HEF_LBH Umlenkhebel_P9</t>
  </si>
  <si>
    <t>DMG Rahmen 3084924 P13 x1</t>
  </si>
  <si>
    <t>988970-988980</t>
  </si>
  <si>
    <t>966295-989338</t>
  </si>
  <si>
    <t>Gestell (GM7234/01-1040-1-2/1)-W003</t>
  </si>
  <si>
    <t>Gestell (GM7234/01-1040-1-2/1)-W009</t>
  </si>
  <si>
    <t>Gestell (GM7234/01-1040-1-2/1)-W012</t>
  </si>
  <si>
    <t>989581-989584</t>
  </si>
  <si>
    <t>989581-989590</t>
  </si>
  <si>
    <t>989581-989592</t>
  </si>
  <si>
    <t>984734-984739</t>
  </si>
  <si>
    <t>984734-984740</t>
  </si>
  <si>
    <t>986923-986970</t>
  </si>
  <si>
    <t>986923-986966</t>
  </si>
  <si>
    <t>986923-986965</t>
  </si>
  <si>
    <t>984494-984500</t>
  </si>
  <si>
    <t>984495-984500</t>
  </si>
  <si>
    <t>984496-984500</t>
  </si>
  <si>
    <t>984497-984500</t>
  </si>
  <si>
    <t>AL_ZASTITE - MASINSKA RADIONA_P10</t>
  </si>
  <si>
    <t>990679-990692</t>
  </si>
  <si>
    <t>921689-921691</t>
  </si>
  <si>
    <t>921690-921691</t>
  </si>
  <si>
    <t>980385-980414</t>
  </si>
  <si>
    <t>980386-980415</t>
  </si>
  <si>
    <t>980386-980414</t>
  </si>
  <si>
    <t>980387-980415</t>
  </si>
  <si>
    <t>980387-980414</t>
  </si>
  <si>
    <t>980388-980414</t>
  </si>
  <si>
    <t>980389-980415</t>
  </si>
  <si>
    <t>980389-980414</t>
  </si>
  <si>
    <t>980390-980414</t>
  </si>
  <si>
    <t>980390-980415</t>
  </si>
  <si>
    <t>980391-980414</t>
  </si>
  <si>
    <t>980391-980415</t>
  </si>
  <si>
    <t>980392-980414</t>
  </si>
  <si>
    <t>980393-980414</t>
  </si>
  <si>
    <t>980394-980414</t>
  </si>
  <si>
    <t>980395-980415</t>
  </si>
  <si>
    <t>980395-980414</t>
  </si>
  <si>
    <t>KRAMER Rahmen 4924_(793)_ex.3102 - P190</t>
  </si>
  <si>
    <t>KRAMER Rahmen 4924_(793)_ex.3102 - P110</t>
  </si>
  <si>
    <t>KRAMER Rahmen 4924_(793)_ex.3102 - P080</t>
  </si>
  <si>
    <t>KRAMER Rahmen 3007_(452)_ex.6334 - P070</t>
  </si>
  <si>
    <t>KRAMER Rahmen 3007_(452)_ex.6334 - P170</t>
  </si>
  <si>
    <t>988237-988330</t>
  </si>
  <si>
    <t>SALV Haltewange PX 46M07732A323_P035</t>
  </si>
  <si>
    <t>SALV Haltewange PX 46M07732A304_P005</t>
  </si>
  <si>
    <t>SALV Haltewange PX 46M07732A324_P040</t>
  </si>
  <si>
    <t>SALV Haltewange PX 46M07732A421_P110</t>
  </si>
  <si>
    <t>SALV Haltewange PX 46M07732A428_P120</t>
  </si>
  <si>
    <t>SALV Haltewange P4L-4020 46M07142A321-P030</t>
  </si>
  <si>
    <t>SALV Haltewange P4L-4020 46M07142A322-P035</t>
  </si>
  <si>
    <t>SALV Haltewange P4L-4020 46M07142A324-P045</t>
  </si>
  <si>
    <t>SALV Haltewange P4L-4020 46M07142A323-P040</t>
  </si>
  <si>
    <t>SALV Grundrahmen (P4L_3816)-46M06361A305</t>
  </si>
  <si>
    <t>SALV Grundrahmen (P4L_3816)-46M06361A304</t>
  </si>
  <si>
    <t>SALV Haltewange (P4L-3220 ST)-46M06252A322-P035</t>
  </si>
  <si>
    <t>SALV Haltewange (P4L-3220 ST)-46M06252A321-P030</t>
  </si>
  <si>
    <t>SALV Haltewange (P4L-2120/P2L-21)-46M06606A324-P080</t>
  </si>
  <si>
    <t>SALV Haltewange (P4L-2120/P2L-21)-46M06606A304-P010</t>
  </si>
  <si>
    <t>SALV Haltewange (P4L-2120/P2L-21)-46M06606A427-P250</t>
  </si>
  <si>
    <t>SALV Haltewange (P4L-2516/20)-46M06468A304-P005</t>
  </si>
  <si>
    <t>SALV Haltewange (P4L-2516/20)-46M06468A321-P030</t>
  </si>
  <si>
    <t>SALV Haltewange (P4L-2516/20)-46M06468A323-P040</t>
  </si>
  <si>
    <t>SALV Haltewange (P4L-2516/20)-46M06468A324-P045</t>
  </si>
  <si>
    <t>SALV Haltewange 46M08260_20 - P095</t>
  </si>
  <si>
    <t>SALV Haltewange 46M08260_21 - P100</t>
  </si>
  <si>
    <t>991858-991862</t>
  </si>
  <si>
    <t>993270-993293</t>
  </si>
  <si>
    <t>993270-993279</t>
  </si>
  <si>
    <t>993270-993278</t>
  </si>
  <si>
    <t>993270-993272</t>
  </si>
  <si>
    <t>993270-993295</t>
  </si>
  <si>
    <t>993302-993310</t>
  </si>
  <si>
    <t>993302-993308</t>
  </si>
  <si>
    <t>993302-993303</t>
  </si>
  <si>
    <t>993302-993311</t>
  </si>
  <si>
    <t>993302-993309</t>
  </si>
  <si>
    <t>NIEHOFF Gehause 466136-4 P80</t>
  </si>
  <si>
    <t>BOBST Foot SAM0421P04371-P5 #60 x1</t>
  </si>
  <si>
    <t>BOBST Foot SAM0421P04371-P4 #60 x1</t>
  </si>
  <si>
    <t>BOBST Foot SAM0421P04371-P3 #60 x1</t>
  </si>
  <si>
    <t>GH Rahmen 3204435  - P1.1.10</t>
  </si>
  <si>
    <t>GH Rahmen 3204435  - P1.1.15</t>
  </si>
  <si>
    <t>GH Rahmen 3204435  - P6</t>
  </si>
  <si>
    <t>GH Rahmen 3204435  - P11</t>
  </si>
  <si>
    <t>GH Rahmen 3204435  - P15</t>
  </si>
  <si>
    <t>Fuehrungsbett (R-G552-1100-0004-01-1)-W031</t>
  </si>
  <si>
    <t>MTO_20250305132431</t>
  </si>
  <si>
    <t>KRAMER Rahmen 9326_(311) - P059</t>
  </si>
  <si>
    <t>KRAMER Rahmen 9326_(311) - P010</t>
  </si>
  <si>
    <t>MTO_20250228120656</t>
  </si>
  <si>
    <t>MTO_20250303072324</t>
  </si>
  <si>
    <t>MTO_20250228113542</t>
  </si>
  <si>
    <t>1000263-1000273</t>
  </si>
  <si>
    <t>1000263-1000305</t>
  </si>
  <si>
    <t>G2900</t>
  </si>
  <si>
    <t>CNC Glodalica Unisign Uniport 4</t>
  </si>
  <si>
    <t>AL_ZAV_HINTERWAGEN - RAMA_PS.03</t>
  </si>
  <si>
    <t>MTO_20250319115329</t>
  </si>
  <si>
    <t>AL_ZAV_HINTERWAGEN - RAMA_PS.15</t>
  </si>
  <si>
    <t>Halter (G900F-1160-2022-20-03-26)-W002</t>
  </si>
  <si>
    <t>MTO_20250324081639</t>
  </si>
  <si>
    <t>AL_PRIHVAT_KW 9334_PS.02</t>
  </si>
  <si>
    <t>MTO_20250416130043</t>
  </si>
  <si>
    <t>MTO_20250403102859</t>
  </si>
  <si>
    <t>MTO_20250320114135</t>
  </si>
  <si>
    <t>SCHEFFER SCT-0429325-01 P5 - IPE profil 100 x1</t>
  </si>
  <si>
    <t>MTO_20250425125549</t>
  </si>
  <si>
    <t>SCHEFFER SCT-0429325-01 P4 - IPE profil 240 x2</t>
  </si>
  <si>
    <t>MTO_20250320123922</t>
  </si>
  <si>
    <t>MTO_20250319084903</t>
  </si>
  <si>
    <t>Traeger (G516-1900-S001-01-6)-W002</t>
  </si>
  <si>
    <t>MTO_20250419102620</t>
  </si>
  <si>
    <t>WUH Extrr 30314739- P2 #8x1</t>
  </si>
  <si>
    <t>MTO_20250324144202</t>
  </si>
  <si>
    <t>MTO_20250404131638</t>
  </si>
  <si>
    <t>MTO_20250403101125</t>
  </si>
  <si>
    <t>AL_HEF_KW 3258 - 8088_PS1_PS.01</t>
  </si>
  <si>
    <t>MTO_20250509114447</t>
  </si>
  <si>
    <t>Staender (R-G752-1100-0100-01-4)-K W208</t>
  </si>
  <si>
    <t>MTO_20250402123742</t>
  </si>
  <si>
    <t>MTO_20250404132212</t>
  </si>
  <si>
    <t>MTO_20250414071407</t>
  </si>
  <si>
    <t>Fuehrungsbett (R-G516-1100-0002-01-1)-W031</t>
  </si>
  <si>
    <t>MTO_20250414072552</t>
  </si>
  <si>
    <t>MTO_20250415073316</t>
  </si>
  <si>
    <t>SALV Haltewange PX 46M07732A416_P105</t>
  </si>
  <si>
    <t>MTO_20250417115047</t>
  </si>
  <si>
    <t>MTO_20250417121851</t>
  </si>
  <si>
    <t>MTO_20250429113041</t>
  </si>
  <si>
    <t>MTO_20250429145104</t>
  </si>
  <si>
    <t>Kampf Hebel 882239354-PS (14-15) x1</t>
  </si>
  <si>
    <t>MTO_20250506135307</t>
  </si>
  <si>
    <t>MTO_20250506150333</t>
  </si>
  <si>
    <t>Halter (G900F-1160-2022-30-03-26)-W001</t>
  </si>
  <si>
    <t>MTO_20250506151959</t>
  </si>
  <si>
    <t>MTO_20250402131040</t>
  </si>
  <si>
    <t>Staender (R-PLSP630-0200-0000-02-1)-W003</t>
  </si>
  <si>
    <t>MTO_20250417113720</t>
  </si>
  <si>
    <t>Bobst SAM0944P08294-P1 cijev 200x150x10 (1x)</t>
  </si>
  <si>
    <t>MTO_20250421091251</t>
  </si>
  <si>
    <t>MTO_20250507135047</t>
  </si>
  <si>
    <t>SALV Haltewange (P4L-2120/P2L-21)-46M06606A416-P220</t>
  </si>
  <si>
    <t>MTO_20250417120445</t>
  </si>
  <si>
    <t>MTO_20250403112921</t>
  </si>
  <si>
    <t>MTO_20250403114429</t>
  </si>
  <si>
    <t>MTO_20250414073437</t>
  </si>
  <si>
    <t>Staender (R-G752-1100-0100-01-4)-K W180</t>
  </si>
  <si>
    <t>Staender (R-G752-1100-0100-01-4)-K W160</t>
  </si>
  <si>
    <t>KB Ram_KP0732315_Tajvan - P2</t>
  </si>
  <si>
    <t>MTO_20250414102454</t>
  </si>
  <si>
    <t>MTO_20250414113029</t>
  </si>
  <si>
    <t>Fuehrungsbett (R-G752-1100-0100-01-1) - W066</t>
  </si>
  <si>
    <t>MTO_20250416072604</t>
  </si>
  <si>
    <t>MTO_20250416082243</t>
  </si>
  <si>
    <t>MTO_20250417122933</t>
  </si>
  <si>
    <t>MTO_20250419103856</t>
  </si>
  <si>
    <t>MTO_20250429123756</t>
  </si>
  <si>
    <t>MTO_20250509092409</t>
  </si>
  <si>
    <t>MTO_20250509092733</t>
  </si>
  <si>
    <t>MTO_20250403071254</t>
  </si>
  <si>
    <t>Erowa Schlitten PDM-384754-P6 #15 x2</t>
  </si>
  <si>
    <t>MTO_20250513122308</t>
  </si>
  <si>
    <t>SALV Konsole - 46M07662A201 P005</t>
  </si>
  <si>
    <t>MTO_20250317112704</t>
  </si>
  <si>
    <t>SALV Konsole - 46M07664A201 P005</t>
  </si>
  <si>
    <t>MTO_20250317113216</t>
  </si>
  <si>
    <t>MTO_20250318111506</t>
  </si>
  <si>
    <t>MTO_20250318130249</t>
  </si>
  <si>
    <t>Schuler Konsole B5-059.410 RAL7035</t>
  </si>
  <si>
    <t>MTO_20250409120806</t>
  </si>
  <si>
    <t>Schuler Stutze B5-069.943 P1 x1</t>
  </si>
  <si>
    <t>MTO_20250409122114</t>
  </si>
  <si>
    <t>MTO_20250409122923</t>
  </si>
  <si>
    <t>MTO_20250415075121</t>
  </si>
  <si>
    <t>Fuehrungsbett (R-G352-1100-0003-01-1)- W111</t>
  </si>
  <si>
    <t>MTO_20250415085007</t>
  </si>
  <si>
    <t>MTO_20250415095930</t>
  </si>
  <si>
    <t>MTO_20250416075453</t>
  </si>
  <si>
    <t>MTO_20250419105317</t>
  </si>
  <si>
    <t>MTO_20250419110159</t>
  </si>
  <si>
    <t>MTO_20250424140749</t>
  </si>
  <si>
    <t>Grundeinheit (R-MSM11110-1060-S09-1)-W030</t>
  </si>
  <si>
    <t>MTO_20250428102944</t>
  </si>
  <si>
    <t>Grundeinheit (R-MSM11110-1060-S09-1)-W031</t>
  </si>
  <si>
    <t>Grundeinheit (R-MSM11110-1060-S09-1)-W028</t>
  </si>
  <si>
    <t>MTO_20250429122731</t>
  </si>
  <si>
    <t>MTO_20250507143617</t>
  </si>
  <si>
    <t>MTO_20250508094514</t>
  </si>
  <si>
    <t>Schuler B5-059.093 P28 #10</t>
  </si>
  <si>
    <t>MTO_20250514094043</t>
  </si>
  <si>
    <t>Schuler B5-059.093 P2 #10</t>
  </si>
  <si>
    <t>Schuler B5-059.093 P1 #10</t>
  </si>
  <si>
    <t>GH Zugeinrichtung 810321 - Bolzen P1</t>
  </si>
  <si>
    <t>MTO_20250516144835</t>
  </si>
  <si>
    <t>SCHEFFER SCT-0424875/0418092-00 P1 #15 x2</t>
  </si>
  <si>
    <t>MTO_20250520144402</t>
  </si>
  <si>
    <t>MTO_20250520145027</t>
  </si>
  <si>
    <t>MTO_20250520150414</t>
  </si>
  <si>
    <t>MTO_20250520151445</t>
  </si>
  <si>
    <t>MTO_20250318113511</t>
  </si>
  <si>
    <t>MTO_20250429094905</t>
  </si>
  <si>
    <t>WuH Extrr 30189235-P17</t>
  </si>
  <si>
    <t>MTO_20250404094013</t>
  </si>
  <si>
    <t>WuH Extrr 30189235-P18</t>
  </si>
  <si>
    <t>WuH Extrr 30189235-P5</t>
  </si>
  <si>
    <t>MTO_20250404094728</t>
  </si>
  <si>
    <t>Traeger (G752-1720-0000-01-5)-W001</t>
  </si>
  <si>
    <t>MTO_20250415073744</t>
  </si>
  <si>
    <t>MTO_20250318120415</t>
  </si>
  <si>
    <t>MTO_20250319095924</t>
  </si>
  <si>
    <t>MTO_20250403115503</t>
  </si>
  <si>
    <t>MTO_20250403121320</t>
  </si>
  <si>
    <t>MTO_20250415092908</t>
  </si>
  <si>
    <t>MTO_20250415093829</t>
  </si>
  <si>
    <t>MTO_20250416100705</t>
  </si>
  <si>
    <t>Konsole (G550a-1100-0001-01-2)-W001</t>
  </si>
  <si>
    <t>MTO_20250416101728</t>
  </si>
  <si>
    <t>MTO_20250416102915</t>
  </si>
  <si>
    <t>WUH Extrr 30188339- P2 cijev 140x140x10 x1</t>
  </si>
  <si>
    <t>MTO_20250416140041</t>
  </si>
  <si>
    <t>WUH Extrr 30188339- P3A cijev 140x140x10 x1</t>
  </si>
  <si>
    <t>WUH Extrr 30188339- P3B cijev 140x140x10 x1</t>
  </si>
  <si>
    <t>MTO_20250416140605</t>
  </si>
  <si>
    <t>MTO_20250417124422</t>
  </si>
  <si>
    <t>MTO_20250417125132</t>
  </si>
  <si>
    <t>MTO_20250417140646</t>
  </si>
  <si>
    <t>Kampf Gestell 882241510-P5 cijev 60x60x5 (2x)</t>
  </si>
  <si>
    <t>MTO_20250418142330</t>
  </si>
  <si>
    <t>Kampf Gestell 882241510-P6 cijev 80x40x5 (1x)</t>
  </si>
  <si>
    <t>Kampf Gestell 882241511-P5 cijev 60x60x5 (2x)</t>
  </si>
  <si>
    <t>MTO_20250418142727</t>
  </si>
  <si>
    <t>Kampf Gestell 882241511-P6 cijev 80x40x5 (1x)</t>
  </si>
  <si>
    <t>MTO_20250421093122</t>
  </si>
  <si>
    <t>Kampf Rahmen 882225620-P2 cijev 80x80x6,3 (1x)</t>
  </si>
  <si>
    <t>MTO_20250421102409</t>
  </si>
  <si>
    <t>MTO_20250423113622</t>
  </si>
  <si>
    <t>AL_PALETA_KW RAHMEN_P27</t>
  </si>
  <si>
    <t>MTO_20250424115421</t>
  </si>
  <si>
    <t>AL_PALETA_KW RAHMEN_P28</t>
  </si>
  <si>
    <t>MTO_20250424120214</t>
  </si>
  <si>
    <t>MTO_20250429111248</t>
  </si>
  <si>
    <t>MTO_20250507072214</t>
  </si>
  <si>
    <t>MTO_20250507090907</t>
  </si>
  <si>
    <t>MTO_20250513083400</t>
  </si>
  <si>
    <t>MTO_20250513091502</t>
  </si>
  <si>
    <t>Stuetze (GM7251/01-1010-1/1-4)-W001</t>
  </si>
  <si>
    <t>MTO_20250515072547</t>
  </si>
  <si>
    <t>KRAMER Rahmen 2207_(120) - P410</t>
  </si>
  <si>
    <t>MTO_20250417071232</t>
  </si>
  <si>
    <t>MTO_20250417131005</t>
  </si>
  <si>
    <t>SALV Haltewange (P4L-3220 ST)-46M06252A418-P120</t>
  </si>
  <si>
    <t>MTO_20250424095342</t>
  </si>
  <si>
    <t>MTO_20250424100901</t>
  </si>
  <si>
    <t>MTO_20250424102014</t>
  </si>
  <si>
    <t>MTO_20250424103010</t>
  </si>
  <si>
    <t>Schuler Trager B5-058.886 P1 x1</t>
  </si>
  <si>
    <t>MTO_20250424112111</t>
  </si>
  <si>
    <t>MTO_20250429132654</t>
  </si>
  <si>
    <t>MTO_20250507101623</t>
  </si>
  <si>
    <t>DMG Halter 4203408 P5 #8 x1</t>
  </si>
  <si>
    <t>MTO_20250508101917</t>
  </si>
  <si>
    <t>DMG Halter 4203408 P10 #8 x1</t>
  </si>
  <si>
    <t>MTO_20250417135302</t>
  </si>
  <si>
    <t>MTO_20250418074918</t>
  </si>
  <si>
    <t>MTO_20250418081047</t>
  </si>
  <si>
    <t>MTO_20250429133611</t>
  </si>
  <si>
    <t>SALV Grundrahmen (P4L_2516)-46M06153A304</t>
  </si>
  <si>
    <t>MTO_20250507140446</t>
  </si>
  <si>
    <t>SALV Grundrahmen (P4L_2516)-46M06153A305</t>
  </si>
  <si>
    <t>MTO_20250417133919</t>
  </si>
  <si>
    <t>MTO_20250429140604</t>
  </si>
  <si>
    <t>MTO_20250429143359</t>
  </si>
  <si>
    <t>MTO_20250429142021</t>
  </si>
  <si>
    <t>STADLER Traeger Zugsicherung 12735649 P1</t>
  </si>
  <si>
    <t>MTO_20250516110135</t>
  </si>
  <si>
    <t>STADLER Traeger Zugsicherung 12735650 P1</t>
  </si>
  <si>
    <t>MTO_20250516111501</t>
  </si>
  <si>
    <t>STADLER Traeger Zugsicherung 12735651 P1</t>
  </si>
  <si>
    <t>MTO_20250516112845</t>
  </si>
  <si>
    <t>MTO_20250415081414</t>
  </si>
  <si>
    <t>Konsole (G640-1100-0003-01-2)-W032</t>
  </si>
  <si>
    <t>MTO_20250416093615</t>
  </si>
  <si>
    <t>MTO_20250421095417</t>
  </si>
  <si>
    <t>MTO_20250430081051</t>
  </si>
  <si>
    <t>MTO_20250507074544</t>
  </si>
  <si>
    <t>MTO_20250507085928</t>
  </si>
  <si>
    <t>MTO_20250513092613</t>
  </si>
  <si>
    <t>MTO_20250428090119</t>
  </si>
  <si>
    <t>MTO_20250425132948</t>
  </si>
  <si>
    <t>MTO_20250430080103</t>
  </si>
  <si>
    <t>MTO_20250418075517</t>
  </si>
  <si>
    <t>MTO_20250429134622</t>
  </si>
  <si>
    <t>MTO_20250507100925</t>
  </si>
  <si>
    <t>SE TANK N02 92 341 - P028</t>
  </si>
  <si>
    <t>MTO_20250516081931</t>
  </si>
  <si>
    <t>SE TANK N02 92 341 - P030</t>
  </si>
  <si>
    <t>SE TANK N02 92 341 - P031</t>
  </si>
  <si>
    <t>MTO_20250507102726</t>
  </si>
  <si>
    <t>MTO_20250416110026</t>
  </si>
  <si>
    <t>MTO_20250416111840</t>
  </si>
  <si>
    <t>MTO_20250416112433</t>
  </si>
  <si>
    <t>MTO_20250417072958</t>
  </si>
  <si>
    <t>MTO_20250418081839</t>
  </si>
  <si>
    <t>Fuehrungsbett (R-G516-1100-0002-01-1)-W116</t>
  </si>
  <si>
    <t>MTO_20250507082523</t>
  </si>
  <si>
    <t>Fuehrungsbett (R-G516-1100-0002-01-1)-W032</t>
  </si>
  <si>
    <t>MTO_20250507083403</t>
  </si>
  <si>
    <t>MTO_20250507103242</t>
  </si>
  <si>
    <t>MTO_20250507112540</t>
  </si>
  <si>
    <t>Konsole (G900F-1100-0100-01-2)-W011</t>
  </si>
  <si>
    <t>MTO_20250507113723</t>
  </si>
  <si>
    <t>MTO_20250520135737</t>
  </si>
  <si>
    <t>MTO_20250418083636</t>
  </si>
  <si>
    <t>MTO_20250418083017</t>
  </si>
  <si>
    <t>SALV Grundrahmen (P4L-3216/20) - 46M06738A452</t>
  </si>
  <si>
    <t>MTO_20250507123933</t>
  </si>
  <si>
    <t>MTO_20250418092922</t>
  </si>
  <si>
    <t>MTO_20250418101340</t>
  </si>
  <si>
    <t>MTO_20250418113343</t>
  </si>
  <si>
    <t>MTO_20250507093938</t>
  </si>
  <si>
    <t>MTO_20250507114432</t>
  </si>
  <si>
    <t>MTO_20250507115720</t>
  </si>
  <si>
    <t>MTO_20250418094049</t>
  </si>
  <si>
    <t>MTO_20250418095025</t>
  </si>
  <si>
    <t>SALV Haltewange 46M08260_01 - P005</t>
  </si>
  <si>
    <t>MTO_20250418084926</t>
  </si>
  <si>
    <t>MTO_20250418114141</t>
  </si>
  <si>
    <t>MTO_20250418090212</t>
  </si>
  <si>
    <t>SALV Grundgestell (46m08158_05)-P020</t>
  </si>
  <si>
    <t>MTO_20250418101937</t>
  </si>
  <si>
    <t>SALV Grundgestell (46m08158_04)-P015</t>
  </si>
  <si>
    <t>Fuehrungsbett (R-G351-1100-0000-01-1)-W023</t>
  </si>
  <si>
    <t>MTO_20250507081144</t>
  </si>
  <si>
    <t>Fuehrungsbett (R-G351-1100-0000-01-1)-W031</t>
  </si>
  <si>
    <t>Fuehrungsbett (R-G351-1100-0000-01-1)-W033</t>
  </si>
  <si>
    <t>Fuehrungsbett (R-G351-1100-0000-01-1)-W038</t>
  </si>
  <si>
    <t>Fuehrungsbett (R-G351-1100-0000-01-1)-W040</t>
  </si>
  <si>
    <t>Fuehrungsbett (R-G351-1100-0000-01-1)-W083</t>
  </si>
  <si>
    <t>Fuehrungsbett (R-G351-1100-0000-01-1)-W126</t>
  </si>
  <si>
    <t>Fuehrungsbett (R-G351-1100-0000-01-1)-W111</t>
  </si>
  <si>
    <t>Fuehrungsbett (R-G351-1100-0000-01-1)-W135</t>
  </si>
  <si>
    <t>Fuehrungsbett (R-G351-1100-0000-01-1)-W145</t>
  </si>
  <si>
    <t>Fuehrungsbett (R-G351-1100-0000-01-1)-W108</t>
  </si>
  <si>
    <t>MTO_20250415090733</t>
  </si>
  <si>
    <t>1004892-1004848</t>
  </si>
  <si>
    <t>1004892-1004889</t>
  </si>
  <si>
    <t>1007871-1007873</t>
  </si>
  <si>
    <t>1019171-1019173</t>
  </si>
  <si>
    <t>1013072-1013165</t>
  </si>
  <si>
    <t>1006326-1006419</t>
  </si>
  <si>
    <t>1023735-1023740</t>
  </si>
  <si>
    <t>1023735-1023739</t>
  </si>
  <si>
    <t>1007060-1007044</t>
  </si>
  <si>
    <t>1004376-1004400</t>
  </si>
  <si>
    <t>1004376-1004389</t>
  </si>
  <si>
    <t>1004376-1004401</t>
  </si>
  <si>
    <t>1021494-1021496</t>
  </si>
  <si>
    <t>1008734-1008736</t>
  </si>
  <si>
    <t>1014421-1014423</t>
  </si>
  <si>
    <t>1014421-1014424</t>
  </si>
  <si>
    <t>1012916-1012920</t>
  </si>
  <si>
    <t>1012916-1012918</t>
  </si>
  <si>
    <t>1012916-1012924</t>
  </si>
  <si>
    <t>1027803-1027804</t>
  </si>
  <si>
    <t>1012372-1012443</t>
  </si>
  <si>
    <t>1014435-1014437</t>
  </si>
  <si>
    <t>1014435-1014438</t>
  </si>
  <si>
    <t>1015668-1015699</t>
  </si>
  <si>
    <t>1015668-1015688</t>
  </si>
  <si>
    <t>1015827-1015858</t>
  </si>
  <si>
    <t>1015827-1015847</t>
  </si>
  <si>
    <t>1017197-1017201</t>
  </si>
  <si>
    <t>1019923-1019946</t>
  </si>
  <si>
    <t>1019923-1019926</t>
  </si>
  <si>
    <t>1019923-1019933</t>
  </si>
  <si>
    <t>1019923-1019932</t>
  </si>
  <si>
    <t>1019924-1019933</t>
  </si>
  <si>
    <t>1019924-1019946</t>
  </si>
  <si>
    <t>1019924-1019932</t>
  </si>
  <si>
    <t>1019924-1019926</t>
  </si>
  <si>
    <t>1019925-1019926</t>
  </si>
  <si>
    <t>1019925-1019933</t>
  </si>
  <si>
    <t>1019925-1019946</t>
  </si>
  <si>
    <t>1019925-1019932</t>
  </si>
  <si>
    <t>1019992-1020026</t>
  </si>
  <si>
    <t>1019992-1020006</t>
  </si>
  <si>
    <t>1019993-1020026</t>
  </si>
  <si>
    <t>1019993-1020006</t>
  </si>
  <si>
    <t>1019994-1020006</t>
  </si>
  <si>
    <t>1019994-1020026</t>
  </si>
  <si>
    <t>1019995-1020006</t>
  </si>
  <si>
    <t>1019995-1020026</t>
  </si>
  <si>
    <t>1024468-1024464</t>
  </si>
  <si>
    <t>1024792-1024788</t>
  </si>
  <si>
    <t>1025488-1025505</t>
  </si>
  <si>
    <t>1025526-1025528</t>
  </si>
  <si>
    <t>1025546-1025547</t>
  </si>
  <si>
    <t>1012609-1012626</t>
  </si>
  <si>
    <t>1012609-1012627</t>
  </si>
  <si>
    <t>1019890-1019899</t>
  </si>
  <si>
    <t>1019890-1019900</t>
  </si>
  <si>
    <t>1019890-1019898</t>
  </si>
  <si>
    <t>1019890-1019897</t>
  </si>
  <si>
    <t>1019890-1019892</t>
  </si>
  <si>
    <t>1019891-1019898</t>
  </si>
  <si>
    <t>1019891-1019899</t>
  </si>
  <si>
    <t>1019891-1019900</t>
  </si>
  <si>
    <t>1019891-1019892</t>
  </si>
  <si>
    <t>1019891-1019897</t>
  </si>
  <si>
    <t>1021836-1021837</t>
  </si>
  <si>
    <t>1027028-1027044</t>
  </si>
  <si>
    <t>1027028-1027039</t>
  </si>
  <si>
    <t>1027028-1027040</t>
  </si>
  <si>
    <t>1027028-1027041</t>
  </si>
  <si>
    <t>1027028-1027055</t>
  </si>
  <si>
    <t>1027028-1027056</t>
  </si>
  <si>
    <t>1027028-1027038</t>
  </si>
  <si>
    <t>1027029-1027038</t>
  </si>
  <si>
    <t>1027029-1027044</t>
  </si>
  <si>
    <t>1027029-1027040</t>
  </si>
  <si>
    <t>1027029-1027041</t>
  </si>
  <si>
    <t>1027029-1027055</t>
  </si>
  <si>
    <t>1027029-1027056</t>
  </si>
  <si>
    <t>1027029-1027039</t>
  </si>
  <si>
    <t>1027030-1027056</t>
  </si>
  <si>
    <t>1027030-1027055</t>
  </si>
  <si>
    <t>1027030-1027044</t>
  </si>
  <si>
    <t>1027030-1027038</t>
  </si>
  <si>
    <t>1027030-1027040</t>
  </si>
  <si>
    <t>1027030-1027039</t>
  </si>
  <si>
    <t>1027030-1027041</t>
  </si>
  <si>
    <t>1019956-1019979</t>
  </si>
  <si>
    <t>1019956-1019974</t>
  </si>
  <si>
    <t>1019956-1019973</t>
  </si>
  <si>
    <t>1019956-1019970</t>
  </si>
  <si>
    <t>1019957-1019979</t>
  </si>
  <si>
    <t>1019957-1019974</t>
  </si>
  <si>
    <t>1019957-1019973</t>
  </si>
  <si>
    <t>1019957-1019970</t>
  </si>
  <si>
    <t>1019958-1019974</t>
  </si>
  <si>
    <t>1019958-1019979</t>
  </si>
  <si>
    <t>1019958-1019970</t>
  </si>
  <si>
    <t>1019958-1019973</t>
  </si>
  <si>
    <t>1019959-1019970</t>
  </si>
  <si>
    <t>1019959-1019973</t>
  </si>
  <si>
    <t>1019959-1019974</t>
  </si>
  <si>
    <t>1019959-1019979</t>
  </si>
  <si>
    <t>1013477-1013573</t>
  </si>
  <si>
    <t>1013477-1013498</t>
  </si>
  <si>
    <t>1013612-1013633</t>
  </si>
  <si>
    <t>1013612-1013708</t>
  </si>
  <si>
    <t>1015986-1016057</t>
  </si>
  <si>
    <t>1015986-1016031</t>
  </si>
  <si>
    <t>1015986-1016011</t>
  </si>
  <si>
    <t>1016441-1016443</t>
  </si>
  <si>
    <t>1016620-1016624</t>
  </si>
  <si>
    <t>1016621-1016624</t>
  </si>
  <si>
    <t>1016622-1016624</t>
  </si>
  <si>
    <t>1018313-1018370</t>
  </si>
  <si>
    <t>1018313-1018388</t>
  </si>
  <si>
    <t>1018650-1018634</t>
  </si>
  <si>
    <t>1020045-1020090</t>
  </si>
  <si>
    <t>1020045-1020091</t>
  </si>
  <si>
    <t>1020045-1020099</t>
  </si>
  <si>
    <t>1021509-1021566</t>
  </si>
  <si>
    <t>1024565-1024560</t>
  </si>
  <si>
    <t>1024565-1024546</t>
  </si>
  <si>
    <t>1027505-1027506</t>
  </si>
  <si>
    <t>1027509-1027510</t>
  </si>
  <si>
    <t>1012730-1012731</t>
  </si>
  <si>
    <t>1028129-1028135</t>
  </si>
  <si>
    <t>1002939-1002940</t>
  </si>
  <si>
    <t>1002949-1002950</t>
  </si>
  <si>
    <t>1003756-1003804</t>
  </si>
  <si>
    <t>1003756-1003788</t>
  </si>
  <si>
    <t>1003757-1003804</t>
  </si>
  <si>
    <t>1003757-1003788</t>
  </si>
  <si>
    <t>1003758-1003804</t>
  </si>
  <si>
    <t>1003758-1003788</t>
  </si>
  <si>
    <t>1003759-1003804</t>
  </si>
  <si>
    <t>1003759-1003788</t>
  </si>
  <si>
    <t>1003760-1003804</t>
  </si>
  <si>
    <t>1003760-1003788</t>
  </si>
  <si>
    <t>1003761-1003788</t>
  </si>
  <si>
    <t>1003761-1003804</t>
  </si>
  <si>
    <t>1003762-1003804</t>
  </si>
  <si>
    <t>1003762-1003788</t>
  </si>
  <si>
    <t>1003763-1003788</t>
  </si>
  <si>
    <t>1003763-1003804</t>
  </si>
  <si>
    <t>1003764-1003804</t>
  </si>
  <si>
    <t>1003764-1003788</t>
  </si>
  <si>
    <t>1003765-1003788</t>
  </si>
  <si>
    <t>1003765-1003804</t>
  </si>
  <si>
    <t>1003766-1003804</t>
  </si>
  <si>
    <t>1003766-1003788</t>
  </si>
  <si>
    <t>1003767-1003804</t>
  </si>
  <si>
    <t>1003767-1003788</t>
  </si>
  <si>
    <t>1004126-1004155</t>
  </si>
  <si>
    <t>1004126-1004154</t>
  </si>
  <si>
    <t>1004128-1004154</t>
  </si>
  <si>
    <t>1004128-1004155</t>
  </si>
  <si>
    <t>1004129-1004154</t>
  </si>
  <si>
    <t>1004129-1004155</t>
  </si>
  <si>
    <t>1004130-1004155</t>
  </si>
  <si>
    <t>1004130-1004154</t>
  </si>
  <si>
    <t>1004131-1004155</t>
  </si>
  <si>
    <t>1004131-1004154</t>
  </si>
  <si>
    <t>1004132-1004155</t>
  </si>
  <si>
    <t>1004132-1004154</t>
  </si>
  <si>
    <t>1004133-1004154</t>
  </si>
  <si>
    <t>1004133-1004155</t>
  </si>
  <si>
    <t>1004134-1004154</t>
  </si>
  <si>
    <t>1004134-1004155</t>
  </si>
  <si>
    <t>1004135-1004154</t>
  </si>
  <si>
    <t>1004135-1004155</t>
  </si>
  <si>
    <t>1004136-1004154</t>
  </si>
  <si>
    <t>1004136-1004155</t>
  </si>
  <si>
    <t>1004137-1004154</t>
  </si>
  <si>
    <t>1004137-1004155</t>
  </si>
  <si>
    <t>1014986-1014986</t>
  </si>
  <si>
    <t>1014987-1014988</t>
  </si>
  <si>
    <t>1014987-1014989</t>
  </si>
  <si>
    <t>1014995-1014997</t>
  </si>
  <si>
    <t>1014995-1014996</t>
  </si>
  <si>
    <t>1017215-1017311</t>
  </si>
  <si>
    <t>1017215-1017305</t>
  </si>
  <si>
    <t>1017567-1017638</t>
  </si>
  <si>
    <t>1017567-1017612</t>
  </si>
  <si>
    <t>1017567-1017592</t>
  </si>
  <si>
    <t>1018116-1018120</t>
  </si>
  <si>
    <t>1018483-1018540</t>
  </si>
  <si>
    <t>1021655-1021700</t>
  </si>
  <si>
    <t>1021655-1021680</t>
  </si>
  <si>
    <t>1021655-1021726</t>
  </si>
  <si>
    <t>1021769-1021762</t>
  </si>
  <si>
    <t>1021769-1021753</t>
  </si>
  <si>
    <t>1022657-1022670</t>
  </si>
  <si>
    <t>1022657-1022710</t>
  </si>
  <si>
    <t>1022657-1022707</t>
  </si>
  <si>
    <t>1022657-1022703</t>
  </si>
  <si>
    <t>1022657-1022706</t>
  </si>
  <si>
    <t>1022657-1022676</t>
  </si>
  <si>
    <t>1022658-1022676</t>
  </si>
  <si>
    <t>1022658-1022710</t>
  </si>
  <si>
    <t>1022658-1022706</t>
  </si>
  <si>
    <t>1022658-1022703</t>
  </si>
  <si>
    <t>1022658-1022707</t>
  </si>
  <si>
    <t>1022658-1022670</t>
  </si>
  <si>
    <t>1022659-1022710</t>
  </si>
  <si>
    <t>1022659-1022707</t>
  </si>
  <si>
    <t>1022659-1022706</t>
  </si>
  <si>
    <t>1022659-1022703</t>
  </si>
  <si>
    <t>1022659-1022676</t>
  </si>
  <si>
    <t>1022659-1022670</t>
  </si>
  <si>
    <t>1024093-1024119</t>
  </si>
  <si>
    <t>1024093-1024120</t>
  </si>
  <si>
    <t>1024093-1024117</t>
  </si>
  <si>
    <t>1024488-1024498</t>
  </si>
  <si>
    <t>1027156-1027142</t>
  </si>
  <si>
    <t>1027156-1027141</t>
  </si>
  <si>
    <t>1027156-1027143</t>
  </si>
  <si>
    <t>1027157-1027141</t>
  </si>
  <si>
    <t>1027157-1027142</t>
  </si>
  <si>
    <t>1027157-1027143</t>
  </si>
  <si>
    <t>1027372-1027377</t>
  </si>
  <si>
    <t>1027372-1027374</t>
  </si>
  <si>
    <t>1027372-1027375</t>
  </si>
  <si>
    <t>1027372-1027376</t>
  </si>
  <si>
    <t>1027372-1027378</t>
  </si>
  <si>
    <t>1027372-1027380</t>
  </si>
  <si>
    <t>1028203-1028231</t>
  </si>
  <si>
    <t>1028203-1028205</t>
  </si>
  <si>
    <t>1028203-1028204</t>
  </si>
  <si>
    <t>1028669-1028671</t>
  </si>
  <si>
    <t>1029336-1029337</t>
  </si>
  <si>
    <t>1029359-1029360</t>
  </si>
  <si>
    <t>1029382-1029383</t>
  </si>
  <si>
    <t>1029402-1029403</t>
  </si>
  <si>
    <t>1003849-1003881</t>
  </si>
  <si>
    <t>1003849-1003897</t>
  </si>
  <si>
    <t>1003850-1003897</t>
  </si>
  <si>
    <t>1003850-1003881</t>
  </si>
  <si>
    <t>1003851-1003881</t>
  </si>
  <si>
    <t>1003851-1003897</t>
  </si>
  <si>
    <t>1003852-1003881</t>
  </si>
  <si>
    <t>1003852-1003897</t>
  </si>
  <si>
    <t>1003853-1003897</t>
  </si>
  <si>
    <t>1003853-1003881</t>
  </si>
  <si>
    <t>1003854-1003881</t>
  </si>
  <si>
    <t>1003854-1003897</t>
  </si>
  <si>
    <t>1003855-1003881</t>
  </si>
  <si>
    <t>1003855-1003897</t>
  </si>
  <si>
    <t>1003856-1003881</t>
  </si>
  <si>
    <t>1003856-1003897</t>
  </si>
  <si>
    <t>1003857-1003897</t>
  </si>
  <si>
    <t>1003857-1003881</t>
  </si>
  <si>
    <t>1003858-1003881</t>
  </si>
  <si>
    <t>1003858-1003897</t>
  </si>
  <si>
    <t>1003859-1003881</t>
  </si>
  <si>
    <t>1003859-1003897</t>
  </si>
  <si>
    <t>1003860-1003881</t>
  </si>
  <si>
    <t>1003860-1003897</t>
  </si>
  <si>
    <t>1024358-1024353</t>
  </si>
  <si>
    <t>1014246-1014265</t>
  </si>
  <si>
    <t>1014246-1014266</t>
  </si>
  <si>
    <t>1014246-1014252</t>
  </si>
  <si>
    <t>1014275-1014277</t>
  </si>
  <si>
    <t>1017214-1017203</t>
  </si>
  <si>
    <t>1003942-1003974</t>
  </si>
  <si>
    <t>1003942-1003990</t>
  </si>
  <si>
    <t>1003943-1003990</t>
  </si>
  <si>
    <t>1003943-1003974</t>
  </si>
  <si>
    <t>1003944-1003974</t>
  </si>
  <si>
    <t>1003944-1003990</t>
  </si>
  <si>
    <t>1003945-1003990</t>
  </si>
  <si>
    <t>1003945-1003974</t>
  </si>
  <si>
    <t>1003946-1003990</t>
  </si>
  <si>
    <t>1003946-1003974</t>
  </si>
  <si>
    <t>1003947-1003990</t>
  </si>
  <si>
    <t>1003947-1003974</t>
  </si>
  <si>
    <t>1003948-1003974</t>
  </si>
  <si>
    <t>1003948-1003990</t>
  </si>
  <si>
    <t>1003949-1003990</t>
  </si>
  <si>
    <t>1003949-1003974</t>
  </si>
  <si>
    <t>1003950-1003990</t>
  </si>
  <si>
    <t>1003950-1003974</t>
  </si>
  <si>
    <t>1003951-1003990</t>
  </si>
  <si>
    <t>1003951-1003974</t>
  </si>
  <si>
    <t>1003952-1003974</t>
  </si>
  <si>
    <t>1003952-1003990</t>
  </si>
  <si>
    <t>1003953-1003974</t>
  </si>
  <si>
    <t>1003953-1003990</t>
  </si>
  <si>
    <t>1004624-1004647</t>
  </si>
  <si>
    <t>1004624-1004651</t>
  </si>
  <si>
    <t>1004624-1004664</t>
  </si>
  <si>
    <t>1004625-1004647</t>
  </si>
  <si>
    <t>1004625-1004664</t>
  </si>
  <si>
    <t>1004625-1004651</t>
  </si>
  <si>
    <t>1004626-1004664</t>
  </si>
  <si>
    <t>1004626-1004651</t>
  </si>
  <si>
    <t>1004626-1004647</t>
  </si>
  <si>
    <t>1004627-1004651</t>
  </si>
  <si>
    <t>1004627-1004647</t>
  </si>
  <si>
    <t>1004627-1004664</t>
  </si>
  <si>
    <t>1004628-1004647</t>
  </si>
  <si>
    <t>1004628-1004651</t>
  </si>
  <si>
    <t>1004628-1004664</t>
  </si>
  <si>
    <t>1004629-1004664</t>
  </si>
  <si>
    <t>1004629-1004651</t>
  </si>
  <si>
    <t>1004629-1004647</t>
  </si>
  <si>
    <t>1013747-1013778</t>
  </si>
  <si>
    <t>1013747-1022169</t>
  </si>
  <si>
    <t>1013895-1022170</t>
  </si>
  <si>
    <t>1013895-1013926</t>
  </si>
  <si>
    <t>1017815-1017911</t>
  </si>
  <si>
    <t>1017815-1017905</t>
  </si>
  <si>
    <t>1017815-1017836</t>
  </si>
  <si>
    <t>1017815-1017908</t>
  </si>
  <si>
    <t>1017950-1017971</t>
  </si>
  <si>
    <t>1017950-1018040</t>
  </si>
  <si>
    <t>1017950-1018046</t>
  </si>
  <si>
    <t>1018870-1018864</t>
  </si>
  <si>
    <t>1018870-1018863</t>
  </si>
  <si>
    <t>1018899-1018892</t>
  </si>
  <si>
    <t>1018899-1018893</t>
  </si>
  <si>
    <t>1018928-1018922</t>
  </si>
  <si>
    <t>1018928-1018921</t>
  </si>
  <si>
    <t>1019337-1019339</t>
  </si>
  <si>
    <t>1019337-1019340</t>
  </si>
  <si>
    <t>1019337-1019356</t>
  </si>
  <si>
    <t>1019362-1019367</t>
  </si>
  <si>
    <t>1019362-1019374</t>
  </si>
  <si>
    <t>1019362-1019366</t>
  </si>
  <si>
    <t>1020126-1020128</t>
  </si>
  <si>
    <t>1020126-1020135</t>
  </si>
  <si>
    <t>1020126-1020136</t>
  </si>
  <si>
    <t>1020126-1020133</t>
  </si>
  <si>
    <t>1020126-1020134</t>
  </si>
  <si>
    <t>1020127-1020128</t>
  </si>
  <si>
    <t>1020127-1020133</t>
  </si>
  <si>
    <t>1020127-1020134</t>
  </si>
  <si>
    <t>1020127-1020135</t>
  </si>
  <si>
    <t>1020127-1020136</t>
  </si>
  <si>
    <t>1020159-1020163</t>
  </si>
  <si>
    <t>1020159-1020164</t>
  </si>
  <si>
    <t>1020159-1020165</t>
  </si>
  <si>
    <t>1020160-1020165</t>
  </si>
  <si>
    <t>1020160-1020164</t>
  </si>
  <si>
    <t>1020160-1020163</t>
  </si>
  <si>
    <t>1020161-1020163</t>
  </si>
  <si>
    <t>1020161-1020164</t>
  </si>
  <si>
    <t>1020161-1020165</t>
  </si>
  <si>
    <t>1020162-1020164</t>
  </si>
  <si>
    <t>1020162-1020163</t>
  </si>
  <si>
    <t>1020162-1020165</t>
  </si>
  <si>
    <t>1020412-1020458</t>
  </si>
  <si>
    <t>1020412-1020457</t>
  </si>
  <si>
    <t>1021433-1021438</t>
  </si>
  <si>
    <t>1021433-1021439</t>
  </si>
  <si>
    <t>1021441-1021446</t>
  </si>
  <si>
    <t>1021441-1021447</t>
  </si>
  <si>
    <t>1021990-1021910</t>
  </si>
  <si>
    <t>1021990-1021911</t>
  </si>
  <si>
    <t>1021990-1021953</t>
  </si>
  <si>
    <t>1021991-1021911</t>
  </si>
  <si>
    <t>1021991-1021910</t>
  </si>
  <si>
    <t>1021991-1021953</t>
  </si>
  <si>
    <t>1021992-1021953</t>
  </si>
  <si>
    <t>1021992-1021911</t>
  </si>
  <si>
    <t>1021992-1021910</t>
  </si>
  <si>
    <t>1021993-1021953</t>
  </si>
  <si>
    <t>1021993-1021910</t>
  </si>
  <si>
    <t>1021993-1021911</t>
  </si>
  <si>
    <t>1021994-1021910</t>
  </si>
  <si>
    <t>1021994-1021911</t>
  </si>
  <si>
    <t>1021994-1021953</t>
  </si>
  <si>
    <t>1021995-1021953</t>
  </si>
  <si>
    <t>1021995-1021911</t>
  </si>
  <si>
    <t>1021995-1021910</t>
  </si>
  <si>
    <t>1022087-1022089</t>
  </si>
  <si>
    <t>1022410-1022418</t>
  </si>
  <si>
    <t>1022410-1022412</t>
  </si>
  <si>
    <t>1022410-1022414</t>
  </si>
  <si>
    <t>1022410-1022421</t>
  </si>
  <si>
    <t>1022600-1022618</t>
  </si>
  <si>
    <t>1022621-1022639</t>
  </si>
  <si>
    <t>1024436-1024431</t>
  </si>
  <si>
    <t>1025612-1025629</t>
  </si>
  <si>
    <t>1025612-1025632</t>
  </si>
  <si>
    <t>1025612-1025648</t>
  </si>
  <si>
    <t>1025612-1025637</t>
  </si>
  <si>
    <t>1025612-1025645</t>
  </si>
  <si>
    <t>1025612-1025649</t>
  </si>
  <si>
    <t>1026409-1026413</t>
  </si>
  <si>
    <t>1027893-1027910</t>
  </si>
  <si>
    <t>1027893-1027911</t>
  </si>
  <si>
    <t>1027916-1027931</t>
  </si>
  <si>
    <t>1028257-1028258</t>
  </si>
  <si>
    <t>1019638-1019681</t>
  </si>
  <si>
    <t>1019639-1019681</t>
  </si>
  <si>
    <t>1019640-1019681</t>
  </si>
  <si>
    <t>1019641-1019681</t>
  </si>
  <si>
    <t>1019642-1019681</t>
  </si>
  <si>
    <t>1019643-1019681</t>
  </si>
  <si>
    <t>1020173-1020182</t>
  </si>
  <si>
    <t>1020173-1020181</t>
  </si>
  <si>
    <t>1020173-1020183</t>
  </si>
  <si>
    <t>1020173-1020184</t>
  </si>
  <si>
    <t>1020173-1020200</t>
  </si>
  <si>
    <t>1022528-1022528</t>
  </si>
  <si>
    <t>1022535-1022537</t>
  </si>
  <si>
    <t>1022535-1022536</t>
  </si>
  <si>
    <t>1022543-1022544</t>
  </si>
  <si>
    <t>1022543-1022545</t>
  </si>
  <si>
    <t>1022551-1022562</t>
  </si>
  <si>
    <t>1022583-1022584</t>
  </si>
  <si>
    <t>1024614-1024609</t>
  </si>
  <si>
    <t>1026706-1026683</t>
  </si>
  <si>
    <t>1027392-1027397</t>
  </si>
  <si>
    <t>1027392-1027402</t>
  </si>
  <si>
    <t>1020330-1020375</t>
  </si>
  <si>
    <t>1020330-1020376</t>
  </si>
  <si>
    <t>1020511-1020520</t>
  </si>
  <si>
    <t>1020511-1020521</t>
  </si>
  <si>
    <t>1020511-1020522</t>
  </si>
  <si>
    <t>1020511-1020519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</si>
</sst>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[hh]:mm"/>
    <numFmt numFmtId="165" formatCode="[h]:mm"/>
    <numFmt numFmtId="166" formatCode="dd/mm/yyyy\ \ \ \ h:mm"/>
    <numFmt numFmtId="167" formatCode="[hh]:mm\ &quot;h&quot;"/>
    <numFmt numFmtId="168" formatCode="[$-F400]h:mm:ss\ AM/PM"/>
    <numFmt numFmtId="169" formatCode="dd\-mm\-yyyy\,\ hh:mm:ss"/>
  </numFmts>
  <fonts count="16" x14ac:knownFonts="1">
    <font>
      <sz val="11"/>
      <color theme="1"/>
      <name val="Calibri"/>
      <family val="2"/>
      <charset val="238"/>
      <scheme val="minor"/>
    </font>
    <font>
      <b/>
      <sz val="11"/>
      <color theme="0"/>
      <name val="Calibri"/>
      <family val="2"/>
      <charset val="238"/>
      <scheme val="minor"/>
    </font>
    <font>
      <b/>
      <sz val="16"/>
      <color theme="1"/>
      <name val="Calibri"/>
      <family val="2"/>
      <charset val="238"/>
      <scheme val="minor"/>
    </font>
    <font>
      <sz val="11"/>
      <name val="Calibri"/>
      <family val="2"/>
      <charset val="238"/>
      <scheme val="minor"/>
    </font>
    <font>
      <sz val="11"/>
      <color rgb="FF92D050"/>
      <name val="Calibri"/>
      <family val="2"/>
      <charset val="238"/>
      <scheme val="minor"/>
    </font>
    <font>
      <b/>
      <sz val="11"/>
      <color theme="1"/>
      <name val="Calibri"/>
      <family val="2"/>
      <charset val="238"/>
      <scheme val="minor"/>
    </font>
    <font>
      <b/>
      <sz val="20"/>
      <color theme="0"/>
      <name val="Calibri"/>
      <family val="2"/>
      <charset val="238"/>
      <scheme val="minor"/>
    </font>
    <font>
      <sz val="11"/>
      <color rgb="FFFF0000"/>
      <name val="Calibri"/>
      <family val="2"/>
      <charset val="238"/>
      <scheme val="minor"/>
    </font>
    <font>
      <sz val="48"/>
      <color theme="1"/>
      <name val="Calibri"/>
      <family val="2"/>
      <charset val="238"/>
      <scheme val="minor"/>
    </font>
    <font>
      <u/>
      <sz val="11"/>
      <color theme="10"/>
      <name val="Calibri"/>
      <family val="2"/>
      <charset val="238"/>
      <scheme val="minor"/>
    </font>
    <font>
      <sz val="8"/>
      <name val="Calibri"/>
      <family val="2"/>
      <charset val="238"/>
      <scheme val="minor"/>
    </font>
    <font>
      <sz val="11"/>
      <color rgb="FFFFFF00"/>
      <name val="Calibri"/>
      <family val="2"/>
      <charset val="238"/>
      <scheme val="minor"/>
    </font>
    <font>
      <b/>
      <sz val="10"/>
      <color theme="1"/>
      <name val="Calibri"/>
      <family val="2"/>
      <charset val="238"/>
      <scheme val="minor"/>
    </font>
    <font>
      <b/>
      <sz val="14"/>
      <color rgb="FF000000"/>
      <name val="Calibri"/>
      <family val="2"/>
    </font>
    <font>
      <b/>
      <sz val="16"/>
      <color rgb="FF000000"/>
      <name val="Calibri"/>
      <family val="2"/>
    </font>
    <font>
      <sz val="11"/>
      <color rgb="FF000000"/>
      <name val="Calibri"/>
      <family val="2"/>
    </font>
  </fonts>
  <fills count="10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rgb="FF00B0F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-0.249977111117893"/>
        <bgColor theme="4"/>
      </patternFill>
    </fill>
    <fill>
      <patternFill patternType="solid">
        <fgColor rgb="FFFFA5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00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0" fontId="9" fillId="0" borderId="0" applyNumberFormat="0" applyFill="0" applyBorder="0" applyAlignment="0" applyProtection="0"/>
  </cellStyleXfs>
  <cellXfs count="76">
    <xf numFmtId="0" fontId="0" fillId="0" borderId="0" xfId="0"/>
    <xf numFmtId="0" fontId="0" fillId="0" borderId="0" xfId="0" applyAlignment="1">
      <alignment horizontal="center"/>
    </xf>
    <xf numFmtId="22" fontId="0" fillId="0" borderId="0" xfId="0" applyNumberFormat="1"/>
    <xf numFmtId="14" fontId="0" fillId="0" borderId="0" xfId="0" applyNumberFormat="1"/>
    <xf numFmtId="0" fontId="0" fillId="0" borderId="0" xfId="0" applyAlignment="1">
      <alignment horizontal="center" vertical="center" wrapText="1"/>
    </xf>
    <xf numFmtId="1" fontId="0" fillId="0" borderId="0" xfId="0" applyNumberFormat="1"/>
    <xf numFmtId="0" fontId="0" fillId="0" borderId="0" xfId="0" applyAlignment="1">
      <alignment horizontal="right"/>
    </xf>
    <xf numFmtId="14" fontId="0" fillId="0" borderId="0" xfId="0" applyNumberFormat="1" applyAlignment="1">
      <alignment horizontal="center"/>
    </xf>
    <xf numFmtId="20" fontId="0" fillId="0" borderId="0" xfId="0" applyNumberFormat="1"/>
    <xf numFmtId="165" fontId="0" fillId="0" borderId="0" xfId="0" applyNumberFormat="1"/>
    <xf numFmtId="2" fontId="0" fillId="0" borderId="0" xfId="0" applyNumberFormat="1" applyAlignment="1">
      <alignment horizontal="center"/>
    </xf>
    <xf numFmtId="0" fontId="0" fillId="7" borderId="0" xfId="0" applyFill="1"/>
    <xf numFmtId="0" fontId="0" fillId="5" borderId="0" xfId="0" applyFill="1"/>
    <xf numFmtId="1" fontId="0" fillId="5" borderId="0" xfId="0" applyNumberFormat="1" applyFill="1"/>
    <xf numFmtId="14" fontId="0" fillId="5" borderId="0" xfId="0" applyNumberFormat="1" applyFill="1" applyAlignment="1">
      <alignment horizontal="right"/>
    </xf>
    <xf numFmtId="22" fontId="2" fillId="5" borderId="0" xfId="0" applyNumberFormat="1" applyFont="1" applyFill="1" applyAlignment="1">
      <alignment horizontal="right"/>
    </xf>
    <xf numFmtId="0" fontId="8" fillId="0" borderId="0" xfId="0" applyFont="1"/>
    <xf numFmtId="166" fontId="7" fillId="0" borderId="0" xfId="0" applyNumberFormat="1" applyFont="1" applyAlignment="1">
      <alignment horizontal="left"/>
    </xf>
    <xf numFmtId="166" fontId="0" fillId="0" borderId="0" xfId="0" applyNumberFormat="1" applyAlignment="1">
      <alignment horizontal="left"/>
    </xf>
    <xf numFmtId="0" fontId="0" fillId="0" borderId="0" xfId="0" applyAlignment="1">
      <alignment vertical="center"/>
    </xf>
    <xf numFmtId="0" fontId="0" fillId="5" borderId="1" xfId="0" applyFill="1" applyBorder="1" applyAlignment="1">
      <alignment vertical="center"/>
    </xf>
    <xf numFmtId="166" fontId="0" fillId="5" borderId="1" xfId="0" applyNumberFormat="1" applyFill="1" applyBorder="1" applyAlignment="1">
      <alignment horizontal="center" vertical="center"/>
    </xf>
    <xf numFmtId="167" fontId="0" fillId="0" borderId="0" xfId="0" applyNumberFormat="1"/>
    <xf numFmtId="0" fontId="3" fillId="0" borderId="0" xfId="0" applyFont="1"/>
    <xf numFmtId="14" fontId="3" fillId="0" borderId="0" xfId="0" applyNumberFormat="1" applyFont="1"/>
    <xf numFmtId="20" fontId="3" fillId="0" borderId="0" xfId="0" applyNumberFormat="1" applyFont="1" applyAlignment="1">
      <alignment horizontal="center"/>
    </xf>
    <xf numFmtId="0" fontId="3" fillId="0" borderId="0" xfId="0" applyFont="1" applyAlignment="1">
      <alignment horizontal="right"/>
    </xf>
    <xf numFmtId="168" fontId="0" fillId="0" borderId="0" xfId="0" applyNumberFormat="1"/>
    <xf numFmtId="165" fontId="3" fillId="0" borderId="0" xfId="0" applyNumberFormat="1" applyFont="1"/>
    <xf numFmtId="14" fontId="3" fillId="0" borderId="0" xfId="0" applyNumberFormat="1" applyFont="1" applyAlignment="1">
      <alignment horizontal="center"/>
    </xf>
    <xf numFmtId="14" fontId="0" fillId="0" borderId="0" xfId="0" applyNumberFormat="1" applyAlignment="1">
      <alignment horizontal="right"/>
    </xf>
    <xf numFmtId="22" fontId="2" fillId="5" borderId="0" xfId="0" applyNumberFormat="1" applyFont="1" applyFill="1"/>
    <xf numFmtId="3" fontId="0" fillId="0" borderId="0" xfId="0" applyNumberFormat="1" applyAlignment="1">
      <alignment horizontal="center"/>
    </xf>
    <xf numFmtId="168" fontId="2" fillId="5" borderId="0" xfId="0" applyNumberFormat="1" applyFont="1" applyFill="1" applyAlignment="1">
      <alignment horizontal="right"/>
    </xf>
    <xf numFmtId="20" fontId="0" fillId="5" borderId="0" xfId="0" applyNumberFormat="1" applyFill="1" applyAlignment="1">
      <alignment horizontal="center"/>
    </xf>
    <xf numFmtId="20" fontId="0" fillId="5" borderId="0" xfId="0" applyNumberFormat="1" applyFill="1"/>
    <xf numFmtId="167" fontId="0" fillId="5" borderId="0" xfId="0" applyNumberFormat="1" applyFill="1" applyAlignment="1">
      <alignment horizontal="center"/>
    </xf>
    <xf numFmtId="46" fontId="0" fillId="0" borderId="0" xfId="0" applyNumberFormat="1" applyAlignment="1">
      <alignment horizontal="center"/>
    </xf>
    <xf numFmtId="3" fontId="2" fillId="5" borderId="0" xfId="0" applyNumberFormat="1" applyFont="1" applyFill="1" applyAlignment="1">
      <alignment horizontal="center"/>
    </xf>
    <xf numFmtId="46" fontId="9" fillId="0" borderId="0" xfId="1" applyNumberFormat="1" applyFill="1" applyBorder="1" applyAlignment="1">
      <alignment horizontal="right"/>
    </xf>
    <xf numFmtId="0" fontId="9" fillId="0" borderId="0" xfId="1" applyAlignment="1">
      <alignment horizontal="right"/>
    </xf>
    <xf numFmtId="169" fontId="0" fillId="0" borderId="0" xfId="0" applyNumberFormat="1"/>
    <xf numFmtId="0" fontId="7" fillId="0" borderId="0" xfId="0" applyFont="1" applyAlignment="1">
      <alignment horizontal="center"/>
    </xf>
    <xf numFmtId="14" fontId="0" fillId="8" borderId="0" xfId="0" applyNumberFormat="1" applyFill="1"/>
    <xf numFmtId="0" fontId="0" fillId="8" borderId="0" xfId="0" applyFill="1" applyAlignment="1">
      <alignment horizontal="center"/>
    </xf>
    <xf numFmtId="20" fontId="0" fillId="8" borderId="0" xfId="0" applyNumberFormat="1" applyFill="1" applyAlignment="1">
      <alignment horizontal="center"/>
    </xf>
    <xf numFmtId="1" fontId="0" fillId="0" borderId="0" xfId="0" applyNumberFormat="1" applyAlignment="1">
      <alignment horizontal="center"/>
    </xf>
    <xf numFmtId="0" fontId="3" fillId="0" borderId="0" xfId="1" applyFont="1" applyFill="1" applyBorder="1" applyAlignment="1">
      <alignment horizontal="right"/>
    </xf>
    <xf numFmtId="0" fontId="9" fillId="0" borderId="0" xfId="1" applyBorder="1" applyAlignment="1">
      <alignment horizontal="right"/>
    </xf>
    <xf numFmtId="0" fontId="9" fillId="0" borderId="0" xfId="1" applyFill="1" applyBorder="1" applyAlignment="1">
      <alignment horizontal="right"/>
    </xf>
    <xf numFmtId="0" fontId="11" fillId="5" borderId="0" xfId="0" applyFont="1" applyFill="1" applyAlignment="1">
      <alignment horizontal="right"/>
    </xf>
    <xf numFmtId="164" fontId="12" fillId="5" borderId="0" xfId="0" applyNumberFormat="1" applyFont="1" applyFill="1" applyAlignment="1">
      <alignment horizontal="left" vertical="center"/>
    </xf>
    <xf numFmtId="0" fontId="9" fillId="5" borderId="0" xfId="1" applyFill="1" applyBorder="1"/>
    <xf numFmtId="14" fontId="2" fillId="5" borderId="0" xfId="0" applyNumberFormat="1" applyFont="1" applyFill="1" applyAlignment="1">
      <alignment horizontal="right"/>
    </xf>
    <xf numFmtId="0" fontId="3" fillId="0" borderId="0" xfId="1" applyFont="1" applyFill="1" applyBorder="1"/>
    <xf numFmtId="1" fontId="2" fillId="5" borderId="0" xfId="0" applyNumberFormat="1" applyFont="1" applyFill="1" applyAlignment="1">
      <alignment horizontal="center" vertical="center"/>
    </xf>
    <xf numFmtId="2" fontId="0" fillId="0" borderId="0" xfId="0" applyNumberFormat="1"/>
    <xf numFmtId="0" fontId="1" fillId="3" borderId="0" xfId="0" applyFont="1" applyFill="1" applyAlignment="1">
      <alignment vertical="top"/>
    </xf>
    <xf numFmtId="0" fontId="5" fillId="4" borderId="0" xfId="0" applyFont="1" applyFill="1" applyAlignment="1">
      <alignment horizontal="center" vertical="top"/>
    </xf>
    <xf numFmtId="0" fontId="1" fillId="3" borderId="0" xfId="0" applyFont="1" applyFill="1" applyAlignment="1">
      <alignment horizontal="center" vertical="top"/>
    </xf>
    <xf numFmtId="20" fontId="5" fillId="4" borderId="0" xfId="0" applyNumberFormat="1" applyFont="1" applyFill="1" applyAlignment="1">
      <alignment horizontal="center" vertical="top"/>
    </xf>
    <xf numFmtId="3" fontId="5" fillId="4" borderId="0" xfId="0" applyNumberFormat="1" applyFont="1" applyFill="1" applyAlignment="1">
      <alignment horizontal="center" vertical="top"/>
    </xf>
    <xf numFmtId="22" fontId="3" fillId="0" borderId="0" xfId="0" applyNumberFormat="1" applyFont="1"/>
    <xf numFmtId="3" fontId="3" fillId="0" borderId="0" xfId="0" applyNumberFormat="1" applyFont="1" applyAlignment="1">
      <alignment horizontal="center"/>
    </xf>
    <xf numFmtId="20" fontId="3" fillId="0" borderId="0" xfId="0" applyNumberFormat="1" applyFont="1"/>
    <xf numFmtId="14" fontId="3" fillId="0" borderId="0" xfId="0" applyNumberFormat="1" applyFont="1" applyAlignment="1">
      <alignment horizontal="right"/>
    </xf>
    <xf numFmtId="1" fontId="1" fillId="3" borderId="0" xfId="0" applyNumberFormat="1" applyFont="1" applyFill="1" applyAlignment="1">
      <alignment vertical="top"/>
    </xf>
    <xf numFmtId="14" fontId="1" fillId="3" borderId="0" xfId="0" applyNumberFormat="1" applyFont="1" applyFill="1" applyAlignment="1">
      <alignment horizontal="center" vertical="top"/>
    </xf>
    <xf numFmtId="20" fontId="1" fillId="3" borderId="0" xfId="0" applyNumberFormat="1" applyFont="1" applyFill="1" applyAlignment="1">
      <alignment vertical="top"/>
    </xf>
    <xf numFmtId="14" fontId="1" fillId="3" borderId="0" xfId="0" applyNumberFormat="1" applyFont="1" applyFill="1" applyAlignment="1">
      <alignment horizontal="right" vertical="top"/>
    </xf>
    <xf numFmtId="22" fontId="6" fillId="6" borderId="0" xfId="0" applyNumberFormat="1" applyFont="1" applyFill="1" applyAlignment="1">
      <alignment horizontal="center" vertical="center"/>
    </xf>
    <xf numFmtId="22" fontId="4" fillId="2" borderId="0" xfId="0" applyNumberFormat="1" applyFont="1" applyFill="1" applyAlignment="1">
      <alignment horizontal="center" vertical="top"/>
    </xf>
    <xf numFmtId="22" fontId="3" fillId="0" borderId="0" xfId="0" applyNumberFormat="1" applyFont="1" applyAlignment="1">
      <alignment horizontal="right"/>
    </xf>
    <xf numFmtId="1" fontId="3" fillId="0" borderId="0" xfId="0" applyNumberFormat="1" applyFont="1"/>
    <xf numFmtId="14" fontId="9" fillId="9" borderId="0" xfId="1" applyNumberFormat="1" applyFill="1" applyBorder="1"/>
    <xf numFmtId="0" fontId="0" fillId="0" borderId="0" xfId="0" applyAlignment="1">
      <alignment horizontal="center"/>
    </xf>
  </cellXfs>
  <cellStyles count="2">
    <cellStyle name="Hyperlink" xfId="1" builtinId="8"/>
    <cellStyle name="Normal" xfId="0" builtinId="0"/>
  </cellStyles>
  <dxfs count="95">
    <dxf>
      <fill>
        <patternFill>
          <bgColor rgb="FFFF0000"/>
        </patternFill>
      </fill>
    </dxf>
    <dxf>
      <fill>
        <patternFill>
          <bgColor rgb="FFFFFF00"/>
        </patternFill>
      </fill>
    </dxf>
    <dxf>
      <numFmt numFmtId="165" formatCode="[h]:mm"/>
      <fill>
        <patternFill patternType="none">
          <fgColor theme="9" tint="0.79998168889431442"/>
          <bgColor auto="1"/>
        </patternFill>
      </fill>
    </dxf>
    <dxf>
      <numFmt numFmtId="165" formatCode="[h]:mm"/>
      <fill>
        <patternFill patternType="none">
          <fgColor theme="9" tint="0.79998168889431442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238"/>
        <scheme val="minor"/>
      </font>
      <numFmt numFmtId="165" formatCode="[h]:mm"/>
      <fill>
        <patternFill patternType="none">
          <fgColor indexed="64"/>
          <bgColor indexed="65"/>
        </patternFill>
      </fill>
    </dxf>
    <dxf>
      <numFmt numFmtId="165" formatCode="[h]:mm"/>
      <fill>
        <patternFill patternType="none">
          <fgColor theme="9" tint="0.79998168889431442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238"/>
        <scheme val="minor"/>
      </font>
      <numFmt numFmtId="165" formatCode="[h]:mm"/>
      <fill>
        <patternFill patternType="none">
          <fgColor theme="9" tint="0.79998168889431442"/>
          <bgColor auto="1"/>
        </patternFill>
      </fill>
    </dxf>
    <dxf>
      <numFmt numFmtId="2" formatCode="0.00"/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numFmt numFmtId="0" formatCode="General"/>
    </dxf>
    <dxf>
      <numFmt numFmtId="170" formatCode="d/m/yyyy"/>
    </dxf>
    <dxf>
      <numFmt numFmtId="0" formatCode="General"/>
    </dxf>
    <dxf>
      <numFmt numFmtId="170" formatCode="d/m/yyyy"/>
    </dxf>
    <dxf>
      <numFmt numFmtId="165" formatCode="[h]:mm"/>
    </dxf>
    <dxf>
      <numFmt numFmtId="0" formatCode="General"/>
    </dxf>
    <dxf>
      <numFmt numFmtId="0" formatCode="General"/>
    </dxf>
    <dxf>
      <numFmt numFmtId="0" formatCode="General"/>
    </dxf>
    <dxf>
      <numFmt numFmtId="1" formatCode="0"/>
    </dxf>
    <dxf>
      <numFmt numFmtId="170" formatCode="d/m/yyyy"/>
    </dxf>
    <dxf>
      <numFmt numFmtId="165" formatCode="[h]:mm"/>
    </dxf>
    <dxf>
      <numFmt numFmtId="170" formatCode="d/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/>
        <i val="0"/>
        <color rgb="FFFF0000"/>
      </font>
      <fill>
        <patternFill patternType="none">
          <bgColor auto="1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C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C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C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C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C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C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C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C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C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C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C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C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C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FF3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17/10/relationships/person" Target="persons/perso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hr-BA"/>
              <a:t>K2500 - 1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stacked"/>
        <c:varyColors val="0"/>
        <c:ser>
          <c:idx val="1"/>
          <c:order val="0"/>
          <c:tx>
            <c:strRef>
              <c:f>QUERY!$AC$1</c:f>
              <c:strCache>
                <c:ptCount val="1"/>
                <c:pt idx="0">
                  <c:v>POPUNJENO</c:v>
                </c:pt>
              </c:strCache>
            </c:strRef>
          </c:tx>
          <c:spPr>
            <a:solidFill>
              <a:srgbClr val="00B050"/>
            </a:solidFill>
            <a:ln>
              <a:solidFill>
                <a:schemeClr val="accent1"/>
              </a:solidFill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00B050"/>
              </a:solidFill>
              <a:ln>
                <a:solidFill>
                  <a:schemeClr val="accen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F867-479E-AA48-B027132205F6}"/>
              </c:ext>
            </c:extLst>
          </c:dPt>
          <c:cat>
            <c:numRef>
              <c:f>QUERY!$Z$2:$Z$50</c:f>
              <c:numCache>
                <c:formatCode>0.00</c:formatCode>
                <c:ptCount val="49"/>
                <c:pt idx="0">
                  <c:v>52</c:v>
                </c:pt>
                <c:pt idx="1">
                  <c:v>53</c:v>
                </c:pt>
                <c:pt idx="2">
                  <c:v>54</c:v>
                </c:pt>
                <c:pt idx="3">
                  <c:v>55</c:v>
                </c:pt>
                <c:pt idx="4">
                  <c:v>56</c:v>
                </c:pt>
                <c:pt idx="5">
                  <c:v>57</c:v>
                </c:pt>
                <c:pt idx="6">
                  <c:v>58</c:v>
                </c:pt>
                <c:pt idx="7">
                  <c:v>59</c:v>
                </c:pt>
                <c:pt idx="8">
                  <c:v>60</c:v>
                </c:pt>
                <c:pt idx="9">
                  <c:v>61</c:v>
                </c:pt>
                <c:pt idx="10">
                  <c:v>62</c:v>
                </c:pt>
                <c:pt idx="11">
                  <c:v>63</c:v>
                </c:pt>
                <c:pt idx="12">
                  <c:v>64</c:v>
                </c:pt>
                <c:pt idx="13">
                  <c:v>65</c:v>
                </c:pt>
                <c:pt idx="14">
                  <c:v>66</c:v>
                </c:pt>
                <c:pt idx="15">
                  <c:v>67</c:v>
                </c:pt>
                <c:pt idx="16">
                  <c:v>68</c:v>
                </c:pt>
                <c:pt idx="17">
                  <c:v>69</c:v>
                </c:pt>
                <c:pt idx="18">
                  <c:v>70</c:v>
                </c:pt>
                <c:pt idx="19">
                  <c:v>71</c:v>
                </c:pt>
                <c:pt idx="20">
                  <c:v>72</c:v>
                </c:pt>
                <c:pt idx="21">
                  <c:v>73</c:v>
                </c:pt>
                <c:pt idx="22">
                  <c:v>74</c:v>
                </c:pt>
                <c:pt idx="23">
                  <c:v>75</c:v>
                </c:pt>
                <c:pt idx="24">
                  <c:v>76</c:v>
                </c:pt>
                <c:pt idx="25">
                  <c:v>77</c:v>
                </c:pt>
                <c:pt idx="26">
                  <c:v>78</c:v>
                </c:pt>
                <c:pt idx="27">
                  <c:v>79</c:v>
                </c:pt>
                <c:pt idx="28">
                  <c:v>80</c:v>
                </c:pt>
                <c:pt idx="29">
                  <c:v>81</c:v>
                </c:pt>
                <c:pt idx="30">
                  <c:v>82</c:v>
                </c:pt>
                <c:pt idx="31">
                  <c:v>83</c:v>
                </c:pt>
                <c:pt idx="32">
                  <c:v>84</c:v>
                </c:pt>
                <c:pt idx="33">
                  <c:v>85</c:v>
                </c:pt>
                <c:pt idx="34">
                  <c:v>86</c:v>
                </c:pt>
                <c:pt idx="35">
                  <c:v>87</c:v>
                </c:pt>
                <c:pt idx="36">
                  <c:v>88</c:v>
                </c:pt>
                <c:pt idx="37">
                  <c:v>89</c:v>
                </c:pt>
                <c:pt idx="38">
                  <c:v>90</c:v>
                </c:pt>
                <c:pt idx="39">
                  <c:v>91</c:v>
                </c:pt>
                <c:pt idx="40">
                  <c:v>92</c:v>
                </c:pt>
                <c:pt idx="41">
                  <c:v>93</c:v>
                </c:pt>
                <c:pt idx="42">
                  <c:v>94</c:v>
                </c:pt>
                <c:pt idx="43">
                  <c:v>95</c:v>
                </c:pt>
                <c:pt idx="44">
                  <c:v>96</c:v>
                </c:pt>
                <c:pt idx="45">
                  <c:v>97</c:v>
                </c:pt>
                <c:pt idx="46">
                  <c:v>98</c:v>
                </c:pt>
                <c:pt idx="47">
                  <c:v>99</c:v>
                </c:pt>
                <c:pt idx="48">
                  <c:v>100</c:v>
                </c:pt>
              </c:numCache>
            </c:numRef>
          </c:cat>
          <c:val>
            <c:numRef>
              <c:f>QUERY!$AC$2:$AC$50</c:f>
              <c:numCache>
                <c:formatCode>[h]:mm</c:formatCode>
                <c:ptCount val="49"/>
                <c:pt idx="0">
                  <c:v>0.125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867-479E-AA48-B027132205F6}"/>
            </c:ext>
          </c:extLst>
        </c:ser>
        <c:ser>
          <c:idx val="0"/>
          <c:order val="2"/>
          <c:tx>
            <c:strRef>
              <c:f>QUERY!$AD$1</c:f>
              <c:strCache>
                <c:ptCount val="1"/>
                <c:pt idx="0">
                  <c:v>FALI</c:v>
                </c:pt>
              </c:strCache>
            </c:strRef>
          </c:tx>
          <c:spPr>
            <a:solidFill>
              <a:schemeClr val="bg1"/>
            </a:solidFill>
            <a:ln>
              <a:solidFill>
                <a:schemeClr val="accent1"/>
              </a:solidFill>
            </a:ln>
            <a:effectLst/>
          </c:spPr>
          <c:invertIfNegative val="0"/>
          <c:cat>
            <c:numRef>
              <c:f>QUERY!$Z$2:$Z$50</c:f>
              <c:numCache>
                <c:formatCode>0.00</c:formatCode>
                <c:ptCount val="49"/>
                <c:pt idx="0">
                  <c:v>52</c:v>
                </c:pt>
                <c:pt idx="1">
                  <c:v>53</c:v>
                </c:pt>
                <c:pt idx="2">
                  <c:v>54</c:v>
                </c:pt>
                <c:pt idx="3">
                  <c:v>55</c:v>
                </c:pt>
                <c:pt idx="4">
                  <c:v>56</c:v>
                </c:pt>
                <c:pt idx="5">
                  <c:v>57</c:v>
                </c:pt>
                <c:pt idx="6">
                  <c:v>58</c:v>
                </c:pt>
                <c:pt idx="7">
                  <c:v>59</c:v>
                </c:pt>
                <c:pt idx="8">
                  <c:v>60</c:v>
                </c:pt>
                <c:pt idx="9">
                  <c:v>61</c:v>
                </c:pt>
                <c:pt idx="10">
                  <c:v>62</c:v>
                </c:pt>
                <c:pt idx="11">
                  <c:v>63</c:v>
                </c:pt>
                <c:pt idx="12">
                  <c:v>64</c:v>
                </c:pt>
                <c:pt idx="13">
                  <c:v>65</c:v>
                </c:pt>
                <c:pt idx="14">
                  <c:v>66</c:v>
                </c:pt>
                <c:pt idx="15">
                  <c:v>67</c:v>
                </c:pt>
                <c:pt idx="16">
                  <c:v>68</c:v>
                </c:pt>
                <c:pt idx="17">
                  <c:v>69</c:v>
                </c:pt>
                <c:pt idx="18">
                  <c:v>70</c:v>
                </c:pt>
                <c:pt idx="19">
                  <c:v>71</c:v>
                </c:pt>
                <c:pt idx="20">
                  <c:v>72</c:v>
                </c:pt>
                <c:pt idx="21">
                  <c:v>73</c:v>
                </c:pt>
                <c:pt idx="22">
                  <c:v>74</c:v>
                </c:pt>
                <c:pt idx="23">
                  <c:v>75</c:v>
                </c:pt>
                <c:pt idx="24">
                  <c:v>76</c:v>
                </c:pt>
                <c:pt idx="25">
                  <c:v>77</c:v>
                </c:pt>
                <c:pt idx="26">
                  <c:v>78</c:v>
                </c:pt>
                <c:pt idx="27">
                  <c:v>79</c:v>
                </c:pt>
                <c:pt idx="28">
                  <c:v>80</c:v>
                </c:pt>
                <c:pt idx="29">
                  <c:v>81</c:v>
                </c:pt>
                <c:pt idx="30">
                  <c:v>82</c:v>
                </c:pt>
                <c:pt idx="31">
                  <c:v>83</c:v>
                </c:pt>
                <c:pt idx="32">
                  <c:v>84</c:v>
                </c:pt>
                <c:pt idx="33">
                  <c:v>85</c:v>
                </c:pt>
                <c:pt idx="34">
                  <c:v>86</c:v>
                </c:pt>
                <c:pt idx="35">
                  <c:v>87</c:v>
                </c:pt>
                <c:pt idx="36">
                  <c:v>88</c:v>
                </c:pt>
                <c:pt idx="37">
                  <c:v>89</c:v>
                </c:pt>
                <c:pt idx="38">
                  <c:v>90</c:v>
                </c:pt>
                <c:pt idx="39">
                  <c:v>91</c:v>
                </c:pt>
                <c:pt idx="40">
                  <c:v>92</c:v>
                </c:pt>
                <c:pt idx="41">
                  <c:v>93</c:v>
                </c:pt>
                <c:pt idx="42">
                  <c:v>94</c:v>
                </c:pt>
                <c:pt idx="43">
                  <c:v>95</c:v>
                </c:pt>
                <c:pt idx="44">
                  <c:v>96</c:v>
                </c:pt>
                <c:pt idx="45">
                  <c:v>97</c:v>
                </c:pt>
                <c:pt idx="46">
                  <c:v>98</c:v>
                </c:pt>
                <c:pt idx="47">
                  <c:v>99</c:v>
                </c:pt>
                <c:pt idx="48">
                  <c:v>100</c:v>
                </c:pt>
              </c:numCache>
            </c:numRef>
          </c:cat>
          <c:val>
            <c:numRef>
              <c:f>QUERY!$AD$2:$AD$50</c:f>
              <c:numCache>
                <c:formatCode>[h]:mm</c:formatCode>
                <c:ptCount val="49"/>
                <c:pt idx="0">
                  <c:v>5.875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867-479E-AA48-B027132205F6}"/>
            </c:ext>
          </c:extLst>
        </c:ser>
        <c:ser>
          <c:idx val="3"/>
          <c:order val="3"/>
          <c:tx>
            <c:strRef>
              <c:f>QUERY!$AE$1</c:f>
              <c:strCache>
                <c:ptCount val="1"/>
                <c:pt idx="0">
                  <c:v>PREKO</c:v>
                </c:pt>
              </c:strCache>
            </c:strRef>
          </c:tx>
          <c:spPr>
            <a:solidFill>
              <a:srgbClr val="FF0000"/>
            </a:solidFill>
            <a:ln>
              <a:solidFill>
                <a:schemeClr val="accent1"/>
              </a:solidFill>
            </a:ln>
            <a:effectLst/>
          </c:spPr>
          <c:invertIfNegative val="0"/>
          <c:cat>
            <c:numRef>
              <c:f>QUERY!$Z$2:$Z$50</c:f>
              <c:numCache>
                <c:formatCode>0.00</c:formatCode>
                <c:ptCount val="49"/>
                <c:pt idx="0">
                  <c:v>52</c:v>
                </c:pt>
                <c:pt idx="1">
                  <c:v>53</c:v>
                </c:pt>
                <c:pt idx="2">
                  <c:v>54</c:v>
                </c:pt>
                <c:pt idx="3">
                  <c:v>55</c:v>
                </c:pt>
                <c:pt idx="4">
                  <c:v>56</c:v>
                </c:pt>
                <c:pt idx="5">
                  <c:v>57</c:v>
                </c:pt>
                <c:pt idx="6">
                  <c:v>58</c:v>
                </c:pt>
                <c:pt idx="7">
                  <c:v>59</c:v>
                </c:pt>
                <c:pt idx="8">
                  <c:v>60</c:v>
                </c:pt>
                <c:pt idx="9">
                  <c:v>61</c:v>
                </c:pt>
                <c:pt idx="10">
                  <c:v>62</c:v>
                </c:pt>
                <c:pt idx="11">
                  <c:v>63</c:v>
                </c:pt>
                <c:pt idx="12">
                  <c:v>64</c:v>
                </c:pt>
                <c:pt idx="13">
                  <c:v>65</c:v>
                </c:pt>
                <c:pt idx="14">
                  <c:v>66</c:v>
                </c:pt>
                <c:pt idx="15">
                  <c:v>67</c:v>
                </c:pt>
                <c:pt idx="16">
                  <c:v>68</c:v>
                </c:pt>
                <c:pt idx="17">
                  <c:v>69</c:v>
                </c:pt>
                <c:pt idx="18">
                  <c:v>70</c:v>
                </c:pt>
                <c:pt idx="19">
                  <c:v>71</c:v>
                </c:pt>
                <c:pt idx="20">
                  <c:v>72</c:v>
                </c:pt>
                <c:pt idx="21">
                  <c:v>73</c:v>
                </c:pt>
                <c:pt idx="22">
                  <c:v>74</c:v>
                </c:pt>
                <c:pt idx="23">
                  <c:v>75</c:v>
                </c:pt>
                <c:pt idx="24">
                  <c:v>76</c:v>
                </c:pt>
                <c:pt idx="25">
                  <c:v>77</c:v>
                </c:pt>
                <c:pt idx="26">
                  <c:v>78</c:v>
                </c:pt>
                <c:pt idx="27">
                  <c:v>79</c:v>
                </c:pt>
                <c:pt idx="28">
                  <c:v>80</c:v>
                </c:pt>
                <c:pt idx="29">
                  <c:v>81</c:v>
                </c:pt>
                <c:pt idx="30">
                  <c:v>82</c:v>
                </c:pt>
                <c:pt idx="31">
                  <c:v>83</c:v>
                </c:pt>
                <c:pt idx="32">
                  <c:v>84</c:v>
                </c:pt>
                <c:pt idx="33">
                  <c:v>85</c:v>
                </c:pt>
                <c:pt idx="34">
                  <c:v>86</c:v>
                </c:pt>
                <c:pt idx="35">
                  <c:v>87</c:v>
                </c:pt>
                <c:pt idx="36">
                  <c:v>88</c:v>
                </c:pt>
                <c:pt idx="37">
                  <c:v>89</c:v>
                </c:pt>
                <c:pt idx="38">
                  <c:v>90</c:v>
                </c:pt>
                <c:pt idx="39">
                  <c:v>91</c:v>
                </c:pt>
                <c:pt idx="40">
                  <c:v>92</c:v>
                </c:pt>
                <c:pt idx="41">
                  <c:v>93</c:v>
                </c:pt>
                <c:pt idx="42">
                  <c:v>94</c:v>
                </c:pt>
                <c:pt idx="43">
                  <c:v>95</c:v>
                </c:pt>
                <c:pt idx="44">
                  <c:v>96</c:v>
                </c:pt>
                <c:pt idx="45">
                  <c:v>97</c:v>
                </c:pt>
                <c:pt idx="46">
                  <c:v>98</c:v>
                </c:pt>
                <c:pt idx="47">
                  <c:v>99</c:v>
                </c:pt>
                <c:pt idx="48">
                  <c:v>100</c:v>
                </c:pt>
              </c:numCache>
            </c:numRef>
          </c:cat>
          <c:val>
            <c:numRef>
              <c:f>QUERY!$AE$2:$AE$50</c:f>
              <c:numCache>
                <c:formatCode>[h]:mm</c:formatCode>
                <c:ptCount val="4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867-479E-AA48-B027132205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645830671"/>
        <c:axId val="645831151"/>
      </c:barChart>
      <c:lineChart>
        <c:grouping val="standard"/>
        <c:varyColors val="0"/>
        <c:ser>
          <c:idx val="2"/>
          <c:order val="1"/>
          <c:tx>
            <c:strRef>
              <c:f>QUERY!$AB$1</c:f>
              <c:strCache>
                <c:ptCount val="1"/>
                <c:pt idx="0">
                  <c:v>KAPACITET</c:v>
                </c:pt>
              </c:strCache>
            </c:strRef>
          </c:tx>
          <c:spPr>
            <a:ln w="25400" cap="rnd">
              <a:noFill/>
              <a:prstDash val="sysDot"/>
              <a:round/>
            </a:ln>
            <a:effectLst/>
          </c:spPr>
          <c:marker>
            <c:symbol val="picture"/>
            <c:spPr>
              <a:blipFill>
                <a:blip xmlns:r="http://schemas.openxmlformats.org/officeDocument/2006/relationships" r:embed="rId1"/>
                <a:stretch>
                  <a:fillRect/>
                </a:stretch>
              </a:blipFill>
              <a:ln w="25400">
                <a:noFill/>
              </a:ln>
              <a:effectLst/>
            </c:spPr>
          </c:marker>
          <c:cat>
            <c:numRef>
              <c:f>QUERY!$Z$2:$Z$15</c:f>
              <c:numCache>
                <c:formatCode>0.00</c:formatCode>
                <c:ptCount val="14"/>
                <c:pt idx="0">
                  <c:v>52</c:v>
                </c:pt>
                <c:pt idx="1">
                  <c:v>53</c:v>
                </c:pt>
                <c:pt idx="2">
                  <c:v>54</c:v>
                </c:pt>
                <c:pt idx="3">
                  <c:v>55</c:v>
                </c:pt>
                <c:pt idx="4">
                  <c:v>56</c:v>
                </c:pt>
                <c:pt idx="5">
                  <c:v>57</c:v>
                </c:pt>
                <c:pt idx="6">
                  <c:v>58</c:v>
                </c:pt>
                <c:pt idx="7">
                  <c:v>59</c:v>
                </c:pt>
                <c:pt idx="8">
                  <c:v>60</c:v>
                </c:pt>
                <c:pt idx="9">
                  <c:v>61</c:v>
                </c:pt>
                <c:pt idx="10">
                  <c:v>62</c:v>
                </c:pt>
                <c:pt idx="11">
                  <c:v>63</c:v>
                </c:pt>
                <c:pt idx="12">
                  <c:v>64</c:v>
                </c:pt>
                <c:pt idx="13">
                  <c:v>65</c:v>
                </c:pt>
              </c:numCache>
            </c:numRef>
          </c:cat>
          <c:val>
            <c:numRef>
              <c:f>QUERY!$AB$2:$AB$50</c:f>
              <c:numCache>
                <c:formatCode>[h]:mm</c:formatCode>
                <c:ptCount val="49"/>
                <c:pt idx="0">
                  <c:v>6</c:v>
                </c:pt>
                <c:pt idx="1">
                  <c:v>6</c:v>
                </c:pt>
                <c:pt idx="2">
                  <c:v>6</c:v>
                </c:pt>
                <c:pt idx="3">
                  <c:v>6</c:v>
                </c:pt>
                <c:pt idx="4">
                  <c:v>6</c:v>
                </c:pt>
                <c:pt idx="5">
                  <c:v>6</c:v>
                </c:pt>
                <c:pt idx="6">
                  <c:v>6</c:v>
                </c:pt>
                <c:pt idx="7">
                  <c:v>6</c:v>
                </c:pt>
                <c:pt idx="8">
                  <c:v>6</c:v>
                </c:pt>
                <c:pt idx="9">
                  <c:v>6</c:v>
                </c:pt>
                <c:pt idx="10">
                  <c:v>6</c:v>
                </c:pt>
                <c:pt idx="11">
                  <c:v>6</c:v>
                </c:pt>
                <c:pt idx="12">
                  <c:v>6</c:v>
                </c:pt>
                <c:pt idx="13">
                  <c:v>6</c:v>
                </c:pt>
                <c:pt idx="14">
                  <c:v>6</c:v>
                </c:pt>
                <c:pt idx="15">
                  <c:v>6</c:v>
                </c:pt>
                <c:pt idx="16">
                  <c:v>6</c:v>
                </c:pt>
                <c:pt idx="17">
                  <c:v>6</c:v>
                </c:pt>
                <c:pt idx="18">
                  <c:v>6</c:v>
                </c:pt>
                <c:pt idx="19">
                  <c:v>6</c:v>
                </c:pt>
                <c:pt idx="20">
                  <c:v>6</c:v>
                </c:pt>
                <c:pt idx="21">
                  <c:v>6</c:v>
                </c:pt>
                <c:pt idx="22">
                  <c:v>6</c:v>
                </c:pt>
                <c:pt idx="23">
                  <c:v>6</c:v>
                </c:pt>
                <c:pt idx="24">
                  <c:v>6</c:v>
                </c:pt>
                <c:pt idx="25">
                  <c:v>6</c:v>
                </c:pt>
                <c:pt idx="26">
                  <c:v>6</c:v>
                </c:pt>
                <c:pt idx="27">
                  <c:v>6</c:v>
                </c:pt>
                <c:pt idx="28">
                  <c:v>6</c:v>
                </c:pt>
                <c:pt idx="29">
                  <c:v>6</c:v>
                </c:pt>
                <c:pt idx="30">
                  <c:v>6</c:v>
                </c:pt>
                <c:pt idx="31">
                  <c:v>6</c:v>
                </c:pt>
                <c:pt idx="32">
                  <c:v>6</c:v>
                </c:pt>
                <c:pt idx="33">
                  <c:v>6</c:v>
                </c:pt>
                <c:pt idx="34">
                  <c:v>6</c:v>
                </c:pt>
                <c:pt idx="35">
                  <c:v>6</c:v>
                </c:pt>
                <c:pt idx="36">
                  <c:v>6</c:v>
                </c:pt>
                <c:pt idx="37">
                  <c:v>6</c:v>
                </c:pt>
                <c:pt idx="38">
                  <c:v>6</c:v>
                </c:pt>
                <c:pt idx="39">
                  <c:v>6</c:v>
                </c:pt>
                <c:pt idx="40">
                  <c:v>6</c:v>
                </c:pt>
                <c:pt idx="41">
                  <c:v>6</c:v>
                </c:pt>
                <c:pt idx="42">
                  <c:v>6</c:v>
                </c:pt>
                <c:pt idx="43">
                  <c:v>6</c:v>
                </c:pt>
                <c:pt idx="44">
                  <c:v>6</c:v>
                </c:pt>
                <c:pt idx="45">
                  <c:v>6</c:v>
                </c:pt>
                <c:pt idx="46">
                  <c:v>6</c:v>
                </c:pt>
                <c:pt idx="47">
                  <c:v>6</c:v>
                </c:pt>
                <c:pt idx="48">
                  <c:v>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867-479E-AA48-B027132205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5830671"/>
        <c:axId val="645831151"/>
      </c:lineChart>
      <c:catAx>
        <c:axId val="645830671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sr-Latn-RS"/>
          </a:p>
        </c:txPr>
        <c:crossAx val="645831151"/>
        <c:crosses val="autoZero"/>
        <c:auto val="1"/>
        <c:lblAlgn val="ctr"/>
        <c:lblOffset val="100"/>
        <c:noMultiLvlLbl val="0"/>
      </c:catAx>
      <c:valAx>
        <c:axId val="645831151"/>
        <c:scaling>
          <c:orientation val="minMax"/>
        </c:scaling>
        <c:delete val="0"/>
        <c:axPos val="l"/>
        <c:numFmt formatCode="[h]:mm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sr-Latn-RS"/>
          </a:p>
        </c:txPr>
        <c:crossAx val="64583067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sr-Latn-R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sr-Latn-R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9517665768387968"/>
          <c:y val="5.0763825629735936E-2"/>
          <c:w val="0.77834682800171007"/>
          <c:h val="0.94923617437026409"/>
        </c:manualLayout>
      </c:layout>
      <c:barChart>
        <c:barDir val="bar"/>
        <c:grouping val="stacked"/>
        <c:varyColors val="0"/>
        <c:ser>
          <c:idx val="0"/>
          <c:order val="0"/>
          <c:spPr>
            <a:noFill/>
          </c:spPr>
          <c:invertIfNegative val="0"/>
          <c:cat>
            <c:strRef>
              <c:f>GANT!$B$1:$B$33</c:f>
              <c:strCache>
                <c:ptCount val="33"/>
                <c:pt idx="0">
                  <c:v>Konsole (G520F-1100-0100-01-2)-W008</c:v>
                </c:pt>
                <c:pt idx="1">
                  <c:v>Konsole (R-EMMH-0080-014-02-02-1)-W034</c:v>
                </c:pt>
                <c:pt idx="2">
                  <c:v>Konsole (G552-1100-0003-01-2)-W005</c:v>
                </c:pt>
                <c:pt idx="3">
                  <c:v>SMF W01-0102755 P3 #10 x2</c:v>
                </c:pt>
                <c:pt idx="4">
                  <c:v>SMF W01-0102761 P5 #10 x3</c:v>
                </c:pt>
                <c:pt idx="5">
                  <c:v>PAUZA</c:v>
                </c:pt>
                <c:pt idx="6">
                  <c:v>SMF W01-0102761 P5 #10 x3</c:v>
                </c:pt>
                <c:pt idx="7">
                  <c:v>SMF W01-0102524 P5 #10 x2</c:v>
                </c:pt>
                <c:pt idx="8">
                  <c:v>SMF W01-0102621 P3 #10 x3</c:v>
                </c:pt>
                <c:pt idx="9">
                  <c:v>Konsole (R-GM5239/01-60-62/1-1)-W003</c:v>
                </c:pt>
                <c:pt idx="10">
                  <c:v>Konsole (R-GM5239/01-60-62/1-1)-W005</c:v>
                </c:pt>
                <c:pt idx="11">
                  <c:v>Konsole (G516-1100-0003-01-2)-W028</c:v>
                </c:pt>
                <c:pt idx="12">
                  <c:v>Konsole (G516-1100-0003-01-2)-W019</c:v>
                </c:pt>
                <c:pt idx="13">
                  <c:v>Konsole (G516-1100-0003-01-2)-W001</c:v>
                </c:pt>
                <c:pt idx="14">
                  <c:v>Konsole (G526-1100-0100-01-2)-W008</c:v>
                </c:pt>
                <c:pt idx="15">
                  <c:v>Konsole (G526-1100-0100-01-2)-W008</c:v>
                </c:pt>
                <c:pt idx="16">
                  <c:v>WuH Extruderrahmen 30288073-P2</c:v>
                </c:pt>
                <c:pt idx="17">
                  <c:v>PAUZA</c:v>
                </c:pt>
                <c:pt idx="18">
                  <c:v>WuH Extruderrahmen 30288073-P2</c:v>
                </c:pt>
                <c:pt idx="19">
                  <c:v>Konsole (G552-1100-0003-01-2)-W005</c:v>
                </c:pt>
                <c:pt idx="20">
                  <c:v>KB Alstom (C202184) P2</c:v>
                </c:pt>
                <c:pt idx="21">
                  <c:v>KB Alstom (C202184) P2</c:v>
                </c:pt>
                <c:pt idx="22">
                  <c:v>KB Alstom (C202184) P2</c:v>
                </c:pt>
                <c:pt idx="23">
                  <c:v>KB Alstom (C202184) P3</c:v>
                </c:pt>
                <c:pt idx="24">
                  <c:v>KB Alstom (C202184) P3</c:v>
                </c:pt>
                <c:pt idx="25">
                  <c:v>KB Alstom (C202184) P3</c:v>
                </c:pt>
                <c:pt idx="26">
                  <c:v>Kampf Hebel 882058723-P2 cijev 100x100x10 x1</c:v>
                </c:pt>
                <c:pt idx="27">
                  <c:v>Kampf Trager 882058830-P1 cijev 60x60x5 x1</c:v>
                </c:pt>
                <c:pt idx="28">
                  <c:v>Konsole (G526-1100-0100-01-2)-W008</c:v>
                </c:pt>
                <c:pt idx="29">
                  <c:v>Konsole (G526-1100-0100-01-2)-W008</c:v>
                </c:pt>
                <c:pt idx="30">
                  <c:v>PAUZA</c:v>
                </c:pt>
                <c:pt idx="31">
                  <c:v>Konsole (G526-1100-0100-01-2)-W008</c:v>
                </c:pt>
                <c:pt idx="32">
                  <c:v>LBH HW088 i 464 WP11449093 P120</c:v>
                </c:pt>
              </c:strCache>
            </c:strRef>
          </c:cat>
          <c:val>
            <c:numRef>
              <c:f>GANT!$C$1:$C$33</c:f>
              <c:numCache>
                <c:formatCode>m/d/yyyy\ h:mm</c:formatCode>
                <c:ptCount val="33"/>
                <c:pt idx="0">
                  <c:v>43923.291666666664</c:v>
                </c:pt>
                <c:pt idx="1">
                  <c:v>43923.305555555555</c:v>
                </c:pt>
                <c:pt idx="2">
                  <c:v>43923.319444444445</c:v>
                </c:pt>
                <c:pt idx="3">
                  <c:v>43923.326388888891</c:v>
                </c:pt>
                <c:pt idx="4">
                  <c:v>43923.409722222226</c:v>
                </c:pt>
                <c:pt idx="5">
                  <c:v>43923.416666666664</c:v>
                </c:pt>
                <c:pt idx="6">
                  <c:v>43923.4375</c:v>
                </c:pt>
                <c:pt idx="7">
                  <c:v>43923.451388888891</c:v>
                </c:pt>
                <c:pt idx="8">
                  <c:v>43923.534722222226</c:v>
                </c:pt>
                <c:pt idx="9">
                  <c:v>43923.555555555562</c:v>
                </c:pt>
                <c:pt idx="10">
                  <c:v>43923.576388888898</c:v>
                </c:pt>
                <c:pt idx="11">
                  <c:v>43923.597222222234</c:v>
                </c:pt>
                <c:pt idx="12">
                  <c:v>43923.605555555565</c:v>
                </c:pt>
                <c:pt idx="13">
                  <c:v>43923.622916666674</c:v>
                </c:pt>
                <c:pt idx="14">
                  <c:v>43923.636805555565</c:v>
                </c:pt>
                <c:pt idx="15">
                  <c:v>43923.654166666674</c:v>
                </c:pt>
                <c:pt idx="16">
                  <c:v>43923.688888888893</c:v>
                </c:pt>
                <c:pt idx="17">
                  <c:v>43923.75</c:v>
                </c:pt>
                <c:pt idx="18">
                  <c:v>43923.770833333336</c:v>
                </c:pt>
                <c:pt idx="19">
                  <c:v>43923.890277777777</c:v>
                </c:pt>
                <c:pt idx="20">
                  <c:v>43923.904166666667</c:v>
                </c:pt>
                <c:pt idx="21">
                  <c:v>43923.914583333331</c:v>
                </c:pt>
                <c:pt idx="22">
                  <c:v>43923.924999999996</c:v>
                </c:pt>
                <c:pt idx="23">
                  <c:v>43923.93541666666</c:v>
                </c:pt>
                <c:pt idx="24">
                  <c:v>43923.96666666666</c:v>
                </c:pt>
                <c:pt idx="25">
                  <c:v>43923.99791666666</c:v>
                </c:pt>
                <c:pt idx="26">
                  <c:v>43924.02916666666</c:v>
                </c:pt>
                <c:pt idx="27">
                  <c:v>43924.036111111105</c:v>
                </c:pt>
                <c:pt idx="28">
                  <c:v>43924.053472222215</c:v>
                </c:pt>
                <c:pt idx="29">
                  <c:v>43924.070833333324</c:v>
                </c:pt>
                <c:pt idx="30">
                  <c:v>43924.083333333336</c:v>
                </c:pt>
                <c:pt idx="31">
                  <c:v>43924.104166666672</c:v>
                </c:pt>
                <c:pt idx="32">
                  <c:v>43924.109027777784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476-47D5-A293-36165A051E4E}"/>
            </c:ext>
          </c:extLst>
        </c:ser>
        <c:ser>
          <c:idx val="1"/>
          <c:order val="1"/>
          <c:invertIfNegative val="0"/>
          <c:cat>
            <c:strRef>
              <c:f>GANT!$B$1:$B$33</c:f>
              <c:strCache>
                <c:ptCount val="33"/>
                <c:pt idx="0">
                  <c:v>Konsole (G520F-1100-0100-01-2)-W008</c:v>
                </c:pt>
                <c:pt idx="1">
                  <c:v>Konsole (R-EMMH-0080-014-02-02-1)-W034</c:v>
                </c:pt>
                <c:pt idx="2">
                  <c:v>Konsole (G552-1100-0003-01-2)-W005</c:v>
                </c:pt>
                <c:pt idx="3">
                  <c:v>SMF W01-0102755 P3 #10 x2</c:v>
                </c:pt>
                <c:pt idx="4">
                  <c:v>SMF W01-0102761 P5 #10 x3</c:v>
                </c:pt>
                <c:pt idx="5">
                  <c:v>PAUZA</c:v>
                </c:pt>
                <c:pt idx="6">
                  <c:v>SMF W01-0102761 P5 #10 x3</c:v>
                </c:pt>
                <c:pt idx="7">
                  <c:v>SMF W01-0102524 P5 #10 x2</c:v>
                </c:pt>
                <c:pt idx="8">
                  <c:v>SMF W01-0102621 P3 #10 x3</c:v>
                </c:pt>
                <c:pt idx="9">
                  <c:v>Konsole (R-GM5239/01-60-62/1-1)-W003</c:v>
                </c:pt>
                <c:pt idx="10">
                  <c:v>Konsole (R-GM5239/01-60-62/1-1)-W005</c:v>
                </c:pt>
                <c:pt idx="11">
                  <c:v>Konsole (G516-1100-0003-01-2)-W028</c:v>
                </c:pt>
                <c:pt idx="12">
                  <c:v>Konsole (G516-1100-0003-01-2)-W019</c:v>
                </c:pt>
                <c:pt idx="13">
                  <c:v>Konsole (G516-1100-0003-01-2)-W001</c:v>
                </c:pt>
                <c:pt idx="14">
                  <c:v>Konsole (G526-1100-0100-01-2)-W008</c:v>
                </c:pt>
                <c:pt idx="15">
                  <c:v>Konsole (G526-1100-0100-01-2)-W008</c:v>
                </c:pt>
                <c:pt idx="16">
                  <c:v>WuH Extruderrahmen 30288073-P2</c:v>
                </c:pt>
                <c:pt idx="17">
                  <c:v>PAUZA</c:v>
                </c:pt>
                <c:pt idx="18">
                  <c:v>WuH Extruderrahmen 30288073-P2</c:v>
                </c:pt>
                <c:pt idx="19">
                  <c:v>Konsole (G552-1100-0003-01-2)-W005</c:v>
                </c:pt>
                <c:pt idx="20">
                  <c:v>KB Alstom (C202184) P2</c:v>
                </c:pt>
                <c:pt idx="21">
                  <c:v>KB Alstom (C202184) P2</c:v>
                </c:pt>
                <c:pt idx="22">
                  <c:v>KB Alstom (C202184) P2</c:v>
                </c:pt>
                <c:pt idx="23">
                  <c:v>KB Alstom (C202184) P3</c:v>
                </c:pt>
                <c:pt idx="24">
                  <c:v>KB Alstom (C202184) P3</c:v>
                </c:pt>
                <c:pt idx="25">
                  <c:v>KB Alstom (C202184) P3</c:v>
                </c:pt>
                <c:pt idx="26">
                  <c:v>Kampf Hebel 882058723-P2 cijev 100x100x10 x1</c:v>
                </c:pt>
                <c:pt idx="27">
                  <c:v>Kampf Trager 882058830-P1 cijev 60x60x5 x1</c:v>
                </c:pt>
                <c:pt idx="28">
                  <c:v>Konsole (G526-1100-0100-01-2)-W008</c:v>
                </c:pt>
                <c:pt idx="29">
                  <c:v>Konsole (G526-1100-0100-01-2)-W008</c:v>
                </c:pt>
                <c:pt idx="30">
                  <c:v>PAUZA</c:v>
                </c:pt>
                <c:pt idx="31">
                  <c:v>Konsole (G526-1100-0100-01-2)-W008</c:v>
                </c:pt>
                <c:pt idx="32">
                  <c:v>LBH HW088 i 464 WP11449093 P120</c:v>
                </c:pt>
              </c:strCache>
            </c:strRef>
          </c:cat>
          <c:val>
            <c:numRef>
              <c:f>GANT!$D$1:$D$33</c:f>
              <c:numCache>
                <c:formatCode>General</c:formatCode>
                <c:ptCount val="33"/>
                <c:pt idx="0">
                  <c:v>1.3888888888888888E-2</c:v>
                </c:pt>
                <c:pt idx="1">
                  <c:v>1.3888888888888888E-2</c:v>
                </c:pt>
                <c:pt idx="2">
                  <c:v>6.9444444444444441E-3</c:v>
                </c:pt>
                <c:pt idx="3">
                  <c:v>8.3333333333333329E-2</c:v>
                </c:pt>
                <c:pt idx="4">
                  <c:v>6.9444444379769266E-3</c:v>
                </c:pt>
                <c:pt idx="5">
                  <c:v>2.0833333333333356E-2</c:v>
                </c:pt>
                <c:pt idx="6">
                  <c:v>1.3888888888888888E-2</c:v>
                </c:pt>
                <c:pt idx="7">
                  <c:v>8.3333333333333329E-2</c:v>
                </c:pt>
                <c:pt idx="8">
                  <c:v>2.0833333333333332E-2</c:v>
                </c:pt>
                <c:pt idx="9">
                  <c:v>2.0833333333333332E-2</c:v>
                </c:pt>
                <c:pt idx="10">
                  <c:v>2.0833333333333332E-2</c:v>
                </c:pt>
                <c:pt idx="11">
                  <c:v>8.3333333333333332E-3</c:v>
                </c:pt>
                <c:pt idx="12">
                  <c:v>1.7361111111111112E-2</c:v>
                </c:pt>
                <c:pt idx="13">
                  <c:v>1.3888888888888888E-2</c:v>
                </c:pt>
                <c:pt idx="14">
                  <c:v>1.7361111111111112E-2</c:v>
                </c:pt>
                <c:pt idx="15">
                  <c:v>3.4722222222222224E-2</c:v>
                </c:pt>
                <c:pt idx="16">
                  <c:v>6.1111111106583849E-2</c:v>
                </c:pt>
                <c:pt idx="17">
                  <c:v>2.0833333333333356E-2</c:v>
                </c:pt>
                <c:pt idx="18">
                  <c:v>0.11944444444444445</c:v>
                </c:pt>
                <c:pt idx="19">
                  <c:v>1.3888888888888888E-2</c:v>
                </c:pt>
                <c:pt idx="20">
                  <c:v>1.0416666666666666E-2</c:v>
                </c:pt>
                <c:pt idx="21">
                  <c:v>1.0416666666666666E-2</c:v>
                </c:pt>
                <c:pt idx="22">
                  <c:v>1.0416666666666666E-2</c:v>
                </c:pt>
                <c:pt idx="23">
                  <c:v>3.125E-2</c:v>
                </c:pt>
                <c:pt idx="24">
                  <c:v>3.125E-2</c:v>
                </c:pt>
                <c:pt idx="25">
                  <c:v>3.125E-2</c:v>
                </c:pt>
                <c:pt idx="26">
                  <c:v>6.9444444444444441E-3</c:v>
                </c:pt>
                <c:pt idx="27">
                  <c:v>1.7361111111111112E-2</c:v>
                </c:pt>
                <c:pt idx="28">
                  <c:v>1.7361111111111112E-2</c:v>
                </c:pt>
                <c:pt idx="29">
                  <c:v>1.2500000011641532E-2</c:v>
                </c:pt>
                <c:pt idx="30">
                  <c:v>2.0833333333333356E-2</c:v>
                </c:pt>
                <c:pt idx="31">
                  <c:v>4.8611111111111112E-3</c:v>
                </c:pt>
                <c:pt idx="32">
                  <c:v>5.2083333333333336E-2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476-47D5-A293-36165A051E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96"/>
        <c:overlap val="100"/>
        <c:axId val="135058944"/>
        <c:axId val="135060480"/>
      </c:barChart>
      <c:catAx>
        <c:axId val="135058944"/>
        <c:scaling>
          <c:orientation val="maxMin"/>
        </c:scaling>
        <c:delete val="0"/>
        <c:axPos val="l"/>
        <c:numFmt formatCode="General" sourceLinked="0"/>
        <c:majorTickMark val="out"/>
        <c:minorTickMark val="none"/>
        <c:tickLblPos val="nextTo"/>
        <c:crossAx val="135060480"/>
        <c:crosses val="autoZero"/>
        <c:auto val="1"/>
        <c:lblAlgn val="ctr"/>
        <c:lblOffset val="100"/>
        <c:noMultiLvlLbl val="0"/>
      </c:catAx>
      <c:valAx>
        <c:axId val="135060480"/>
        <c:scaling>
          <c:orientation val="minMax"/>
          <c:min val="43923.25"/>
        </c:scaling>
        <c:delete val="0"/>
        <c:axPos val="t"/>
        <c:majorGridlines/>
        <c:numFmt formatCode="m/d/yyyy\ h:mm" sourceLinked="0"/>
        <c:majorTickMark val="out"/>
        <c:minorTickMark val="none"/>
        <c:tickLblPos val="nextTo"/>
        <c:crossAx val="135058944"/>
        <c:crosses val="autoZero"/>
        <c:crossBetween val="between"/>
        <c:majorUnit val="0.25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CheckBox" fmlaLink="$K$1" lockText="1" noThreeD="1"/>
</file>

<file path=xl/ctrlProps/ctrlProp8.xml><?xml version="1.0" encoding="utf-8"?>
<formControlPr xmlns="http://schemas.microsoft.com/office/spreadsheetml/2009/9/main" objectType="CheckBox" fmlaLink="$K$2" lockText="1" noThreeD="1"/>
</file>

<file path=xl/ctrlProps/ctrlProp9.xml><?xml version="1.0" encoding="utf-8"?>
<formControlPr xmlns="http://schemas.microsoft.com/office/spreadsheetml/2009/9/main" objectType="Spin" dx="22" fmlaLink="$O$2" max="30" min="2" page="10" val="20"/>
</file>

<file path=xl/ctrlProps/ctrlProp10.xml><?xml version="1.0" encoding="utf-8"?>
<formControlPr xmlns="http://schemas.microsoft.com/office/spreadsheetml/2009/9/main" objectType="CheckBox" checked="Checked" fmlaLink="$K$3" lockText="1" noThreeD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141310</xdr:colOff>
      <xdr:row>3</xdr:row>
      <xdr:rowOff>53809</xdr:rowOff>
    </xdr:from>
    <xdr:to>
      <xdr:col>17</xdr:col>
      <xdr:colOff>1243279</xdr:colOff>
      <xdr:row>3</xdr:row>
      <xdr:rowOff>274793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2685395" y="844724"/>
          <a:ext cx="1101969" cy="220984"/>
        </a:xfrm>
        <a:prstGeom prst="rect">
          <a:avLst/>
        </a:prstGeom>
        <a:solidFill>
          <a:srgbClr val="92D050"/>
        </a:solidFill>
        <a:ln>
          <a:solidFill>
            <a:srgbClr val="92D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hr-BA" sz="2000" b="1"/>
            <a:t>    KRAJ</a:t>
          </a:r>
          <a:endParaRPr lang="hr-BA" sz="1800" b="1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69850</xdr:colOff>
          <xdr:row>0</xdr:row>
          <xdr:rowOff>50800</xdr:rowOff>
        </xdr:from>
        <xdr:to>
          <xdr:col>4</xdr:col>
          <xdr:colOff>228600</xdr:colOff>
          <xdr:row>1</xdr:row>
          <xdr:rowOff>12700</xdr:rowOff>
        </xdr:to>
        <xdr:sp macro="" textlink="">
          <xdr:nvSpPr>
            <xdr:cNvPr id="15365" name="Button 5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0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UKLONI S LISTE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69850</xdr:colOff>
          <xdr:row>1</xdr:row>
          <xdr:rowOff>38100</xdr:rowOff>
        </xdr:from>
        <xdr:to>
          <xdr:col>4</xdr:col>
          <xdr:colOff>228600</xdr:colOff>
          <xdr:row>1</xdr:row>
          <xdr:rowOff>260350</xdr:rowOff>
        </xdr:to>
        <xdr:sp macro="" textlink="">
          <xdr:nvSpPr>
            <xdr:cNvPr id="15366" name="Button 6" hidden="1">
              <a:extLst>
                <a:ext uri="{63B3BB69-23CF-44E3-9099-C40C66FF867C}">
                  <a14:compatExt spid="_x0000_s15366"/>
                </a:ext>
                <a:ext uri="{FF2B5EF4-FFF2-40B4-BE49-F238E27FC236}">
                  <a16:creationId xmlns:a16="http://schemas.microsoft.com/office/drawing/2014/main" id="{00000000-0008-0000-0000-000006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KPL ZAVRSEN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69850</xdr:colOff>
          <xdr:row>2</xdr:row>
          <xdr:rowOff>19050</xdr:rowOff>
        </xdr:from>
        <xdr:to>
          <xdr:col>4</xdr:col>
          <xdr:colOff>228600</xdr:colOff>
          <xdr:row>2</xdr:row>
          <xdr:rowOff>241300</xdr:rowOff>
        </xdr:to>
        <xdr:sp macro="" textlink="">
          <xdr:nvSpPr>
            <xdr:cNvPr id="15367" name="Button 7" hidden="1">
              <a:extLst>
                <a:ext uri="{63B3BB69-23CF-44E3-9099-C40C66FF867C}">
                  <a14:compatExt spid="_x0000_s15367"/>
                </a:ext>
                <a:ext uri="{FF2B5EF4-FFF2-40B4-BE49-F238E27FC236}">
                  <a16:creationId xmlns:a16="http://schemas.microsoft.com/office/drawing/2014/main" id="{00000000-0008-0000-0000-000007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NOVI REDOSLIJED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203200</xdr:colOff>
          <xdr:row>0</xdr:row>
          <xdr:rowOff>171450</xdr:rowOff>
        </xdr:from>
        <xdr:to>
          <xdr:col>5</xdr:col>
          <xdr:colOff>1771650</xdr:colOff>
          <xdr:row>2</xdr:row>
          <xdr:rowOff>107950</xdr:rowOff>
        </xdr:to>
        <xdr:sp macro="" textlink="">
          <xdr:nvSpPr>
            <xdr:cNvPr id="15368" name="Button 8" hidden="1">
              <a:extLst>
                <a:ext uri="{63B3BB69-23CF-44E3-9099-C40C66FF867C}">
                  <a14:compatExt spid="_x0000_s15368"/>
                </a:ext>
                <a:ext uri="{FF2B5EF4-FFF2-40B4-BE49-F238E27FC236}">
                  <a16:creationId xmlns:a16="http://schemas.microsoft.com/office/drawing/2014/main" id="{00000000-0008-0000-0000-000008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AŽURIRAJ PLAN!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31750</xdr:colOff>
          <xdr:row>1</xdr:row>
          <xdr:rowOff>19050</xdr:rowOff>
        </xdr:from>
        <xdr:to>
          <xdr:col>20</xdr:col>
          <xdr:colOff>488950</xdr:colOff>
          <xdr:row>2</xdr:row>
          <xdr:rowOff>203200</xdr:rowOff>
        </xdr:to>
        <xdr:sp macro="" textlink="">
          <xdr:nvSpPr>
            <xdr:cNvPr id="15369" name="Button 9" hidden="1">
              <a:extLst>
                <a:ext uri="{63B3BB69-23CF-44E3-9099-C40C66FF867C}">
                  <a14:compatExt spid="_x0000_s15369"/>
                </a:ext>
                <a:ext uri="{FF2B5EF4-FFF2-40B4-BE49-F238E27FC236}">
                  <a16:creationId xmlns:a16="http://schemas.microsoft.com/office/drawing/2014/main" id="{00000000-0008-0000-0000-000009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0292" rIns="45720" bIns="50292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CRTEŽ!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2095500</xdr:colOff>
          <xdr:row>0</xdr:row>
          <xdr:rowOff>184150</xdr:rowOff>
        </xdr:from>
        <xdr:to>
          <xdr:col>5</xdr:col>
          <xdr:colOff>3155950</xdr:colOff>
          <xdr:row>2</xdr:row>
          <xdr:rowOff>69850</xdr:rowOff>
        </xdr:to>
        <xdr:sp macro="" textlink="">
          <xdr:nvSpPr>
            <xdr:cNvPr id="15370" name="Button 10" hidden="1">
              <a:extLst>
                <a:ext uri="{63B3BB69-23CF-44E3-9099-C40C66FF867C}">
                  <a14:compatExt spid="_x0000_s15370"/>
                </a:ext>
                <a:ext uri="{FF2B5EF4-FFF2-40B4-BE49-F238E27FC236}">
                  <a16:creationId xmlns:a16="http://schemas.microsoft.com/office/drawing/2014/main" id="{00000000-0008-0000-0000-00000A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ZOOM 100%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393700</xdr:colOff>
          <xdr:row>0</xdr:row>
          <xdr:rowOff>0</xdr:rowOff>
        </xdr:from>
        <xdr:to>
          <xdr:col>10</xdr:col>
          <xdr:colOff>647700</xdr:colOff>
          <xdr:row>1</xdr:row>
          <xdr:rowOff>12700</xdr:rowOff>
        </xdr:to>
        <xdr:sp macro="" textlink="">
          <xdr:nvSpPr>
            <xdr:cNvPr id="15371" name="Check Box 11" hidden="1">
              <a:extLst>
                <a:ext uri="{63B3BB69-23CF-44E3-9099-C40C66FF867C}">
                  <a14:compatExt spid="_x0000_s15371"/>
                </a:ext>
                <a:ext uri="{FF2B5EF4-FFF2-40B4-BE49-F238E27FC236}">
                  <a16:creationId xmlns:a16="http://schemas.microsoft.com/office/drawing/2014/main" id="{00000000-0008-0000-0000-00000B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00" mc:Ignorable="a14" a14:legacySpreadsheetColorIndex="13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393700</xdr:colOff>
          <xdr:row>0</xdr:row>
          <xdr:rowOff>260350</xdr:rowOff>
        </xdr:from>
        <xdr:to>
          <xdr:col>10</xdr:col>
          <xdr:colOff>622300</xdr:colOff>
          <xdr:row>1</xdr:row>
          <xdr:rowOff>260350</xdr:rowOff>
        </xdr:to>
        <xdr:sp macro="" textlink="">
          <xdr:nvSpPr>
            <xdr:cNvPr id="15372" name="Check Box 12" hidden="1">
              <a:extLst>
                <a:ext uri="{63B3BB69-23CF-44E3-9099-C40C66FF867C}">
                  <a14:compatExt spid="_x0000_s15372"/>
                </a:ext>
                <a:ext uri="{FF2B5EF4-FFF2-40B4-BE49-F238E27FC236}">
                  <a16:creationId xmlns:a16="http://schemas.microsoft.com/office/drawing/2014/main" id="{00000000-0008-0000-0000-00000C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00" mc:Ignorable="a14" a14:legacySpreadsheetColorIndex="13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228600</xdr:colOff>
          <xdr:row>0</xdr:row>
          <xdr:rowOff>133350</xdr:rowOff>
        </xdr:from>
        <xdr:to>
          <xdr:col>15</xdr:col>
          <xdr:colOff>546100</xdr:colOff>
          <xdr:row>2</xdr:row>
          <xdr:rowOff>171450</xdr:rowOff>
        </xdr:to>
        <xdr:sp macro="" textlink="">
          <xdr:nvSpPr>
            <xdr:cNvPr id="15373" name="Spinner 13" hidden="1">
              <a:extLst>
                <a:ext uri="{63B3BB69-23CF-44E3-9099-C40C66FF867C}">
                  <a14:compatExt spid="_x0000_s15373"/>
                </a:ext>
                <a:ext uri="{FF2B5EF4-FFF2-40B4-BE49-F238E27FC236}">
                  <a16:creationId xmlns:a16="http://schemas.microsoft.com/office/drawing/2014/main" id="{00000000-0008-0000-0000-00000D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393700</xdr:colOff>
          <xdr:row>1</xdr:row>
          <xdr:rowOff>228600</xdr:rowOff>
        </xdr:from>
        <xdr:to>
          <xdr:col>10</xdr:col>
          <xdr:colOff>647700</xdr:colOff>
          <xdr:row>2</xdr:row>
          <xdr:rowOff>241300</xdr:rowOff>
        </xdr:to>
        <xdr:sp macro="" textlink="">
          <xdr:nvSpPr>
            <xdr:cNvPr id="15374" name="Check Box 14" hidden="1">
              <a:extLst>
                <a:ext uri="{63B3BB69-23CF-44E3-9099-C40C66FF867C}">
                  <a14:compatExt spid="_x0000_s15374"/>
                </a:ext>
                <a:ext uri="{FF2B5EF4-FFF2-40B4-BE49-F238E27FC236}">
                  <a16:creationId xmlns:a16="http://schemas.microsoft.com/office/drawing/2014/main" id="{00000000-0008-0000-0000-00000E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00" mc:Ignorable="a14" a14:legacySpreadsheetColorIndex="13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31</xdr:col>
      <xdr:colOff>400050</xdr:colOff>
      <xdr:row>1</xdr:row>
      <xdr:rowOff>80962</xdr:rowOff>
    </xdr:from>
    <xdr:to>
      <xdr:col>49</xdr:col>
      <xdr:colOff>381000</xdr:colOff>
      <xdr:row>15</xdr:row>
      <xdr:rowOff>157162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166968</xdr:colOff>
      <xdr:row>0</xdr:row>
      <xdr:rowOff>130922</xdr:rowOff>
    </xdr:from>
    <xdr:to>
      <xdr:col>0</xdr:col>
      <xdr:colOff>465791</xdr:colOff>
      <xdr:row>0</xdr:row>
      <xdr:rowOff>523128</xdr:rowOff>
    </xdr:to>
    <xdr:sp macro="[0]!Dole" textlink="">
      <xdr:nvSpPr>
        <xdr:cNvPr id="2" name="Arrow: Down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/>
      </xdr:nvSpPr>
      <xdr:spPr>
        <a:xfrm>
          <a:off x="166968" y="130922"/>
          <a:ext cx="298823" cy="392206"/>
        </a:xfrm>
        <a:prstGeom prst="downArrow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bs-Latn-BA" sz="1100"/>
        </a:p>
      </xdr:txBody>
    </xdr:sp>
    <xdr:clientData/>
  </xdr:twoCellAnchor>
  <xdr:twoCellAnchor>
    <xdr:from>
      <xdr:col>0</xdr:col>
      <xdr:colOff>609600</xdr:colOff>
      <xdr:row>0</xdr:row>
      <xdr:rowOff>114300</xdr:rowOff>
    </xdr:from>
    <xdr:to>
      <xdr:col>0</xdr:col>
      <xdr:colOff>908423</xdr:colOff>
      <xdr:row>0</xdr:row>
      <xdr:rowOff>506506</xdr:rowOff>
    </xdr:to>
    <xdr:sp macro="[0]!Gore" textlink="">
      <xdr:nvSpPr>
        <xdr:cNvPr id="3" name="Arrow: Down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SpPr/>
      </xdr:nvSpPr>
      <xdr:spPr>
        <a:xfrm rot="10800000">
          <a:off x="609600" y="114300"/>
          <a:ext cx="298823" cy="392206"/>
        </a:xfrm>
        <a:prstGeom prst="downArrow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bs-Latn-BA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152400</xdr:colOff>
          <xdr:row>0</xdr:row>
          <xdr:rowOff>184150</xdr:rowOff>
        </xdr:from>
        <xdr:to>
          <xdr:col>1</xdr:col>
          <xdr:colOff>952500</xdr:colOff>
          <xdr:row>0</xdr:row>
          <xdr:rowOff>508000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7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OBRIŠI SVE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146050</xdr:colOff>
          <xdr:row>0</xdr:row>
          <xdr:rowOff>171450</xdr:rowOff>
        </xdr:from>
        <xdr:to>
          <xdr:col>2</xdr:col>
          <xdr:colOff>946150</xdr:colOff>
          <xdr:row>0</xdr:row>
          <xdr:rowOff>488950</xdr:rowOff>
        </xdr:to>
        <xdr:sp macro="" textlink="">
          <xdr:nvSpPr>
            <xdr:cNvPr id="16386" name="Button 2" hidden="1">
              <a:extLst>
                <a:ext uri="{63B3BB69-23CF-44E3-9099-C40C66FF867C}">
                  <a14:compatExt spid="_x0000_s16386"/>
                </a:ext>
                <a:ext uri="{FF2B5EF4-FFF2-40B4-BE49-F238E27FC236}">
                  <a16:creationId xmlns:a16="http://schemas.microsoft.com/office/drawing/2014/main" id="{00000000-0008-0000-0700-00000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OBRIŠI RED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21851</xdr:colOff>
      <xdr:row>0</xdr:row>
      <xdr:rowOff>46223</xdr:rowOff>
    </xdr:from>
    <xdr:to>
      <xdr:col>22</xdr:col>
      <xdr:colOff>571500</xdr:colOff>
      <xdr:row>47</xdr:row>
      <xdr:rowOff>112059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0.79434</cdr:x>
      <cdr:y>0.77013</cdr:y>
    </cdr:from>
    <cdr:to>
      <cdr:x>0.8498</cdr:x>
      <cdr:y>0.92025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3096875" y="4691064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bs-Latn-BA" sz="1100"/>
        </a:p>
      </cdr:txBody>
    </cdr:sp>
  </cdr:relSizeAnchor>
</c:userShapes>
</file>

<file path=xl/persons/person.xml><?xml version="1.0" encoding="utf-8"?>
<personList xmlns="http://schemas.microsoft.com/office/spreadsheetml/2018/threadedcomments" xmlns:x="http://schemas.openxmlformats.org/spreadsheetml/2006/main"/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efreshOnLoad="1" connectionId="3" xr16:uid="{FC66DDE7-B628-4987-9C93-23ED9E92D96C}" autoFormatId="16" applyNumberFormats="0" applyBorderFormats="0" applyFontFormats="0" applyPatternFormats="0" applyAlignmentFormats="0" applyWidthHeightFormats="0">
  <queryTableRefresh nextId="32" unboundColumnsRight="7">
    <queryTableFields count="23">
      <queryTableField id="1" name="KPL" tableColumnId="1"/>
      <queryTableField id="2" name="KPLQ" tableColumnId="2"/>
      <queryTableField id="3" name="RN" tableColumnId="3"/>
      <queryTableField id="4" name="NAZIV" tableColumnId="4"/>
      <queryTableField id="5" name="Norma" tableColumnId="5"/>
      <queryTableField id="6" name="Q" tableColumnId="6"/>
      <queryTableField id="7" name="ZQ" tableColumnId="7"/>
      <queryTableField id="8" name="CQ" tableColumnId="8"/>
      <queryTableField id="9" name="WC" tableColumnId="9"/>
      <queryTableField id="10" name="WCNAME" tableColumnId="10"/>
      <queryTableField id="11" name="MTO" tableColumnId="11"/>
      <queryTableField id="12" name="Isporuka" tableColumnId="12"/>
      <queryTableField id="19" dataBound="0" tableColumnId="18"/>
      <queryTableField id="17" name="Datum SAS" tableColumnId="17"/>
      <queryTableField id="21" dataBound="0" tableColumnId="20"/>
      <queryTableField id="13" name="Item" tableColumnId="13"/>
      <queryTableField id="25" dataBound="0" tableColumnId="22"/>
      <queryTableField id="26" dataBound="0" tableColumnId="23"/>
      <queryTableField id="27" dataBound="0" tableColumnId="15"/>
      <queryTableField id="28" dataBound="0" tableColumnId="14"/>
      <queryTableField id="29" dataBound="0" tableColumnId="16"/>
      <queryTableField id="30" dataBound="0" tableColumnId="19"/>
      <queryTableField id="31" dataBound="0" tableColumnId="21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Query from Mladen" refreshOnLoad="1" connectionId="1" xr16:uid="{00000000-0016-0000-0500-000001000000}" autoFormatId="16" applyNumberFormats="0" applyBorderFormats="0" applyFontFormats="0" applyPatternFormats="0" applyAlignmentFormats="0" applyWidthHeightFormats="0">
  <queryTableRefresh nextId="5">
    <queryTableFields count="2">
      <queryTableField id="1" name="Kod Masine" tableColumnId="1"/>
      <queryTableField id="2" name="Naziv Masine" tableColumnId="2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FEBDCF1F-EA8E-4E3C-BB27-1CD2764FB8FB}" name="PlanMasine" displayName="PlanMasine" ref="A1:W833" tableType="queryTable" totalsRowShown="0">
  <autoFilter ref="A1:W833" xr:uid="{FEBDCF1F-EA8E-4E3C-BB27-1CD2764FB8FB}"/>
  <tableColumns count="23">
    <tableColumn id="1" xr3:uid="{C4B5237E-7E2D-433B-9A53-7F0D8BADA91F}" uniqueName="1" name="KPL" queryTableFieldId="1"/>
    <tableColumn id="2" xr3:uid="{8DC7C49D-2320-4B7D-A5D1-7070155856D3}" uniqueName="2" name="KPLQ" queryTableFieldId="2"/>
    <tableColumn id="3" xr3:uid="{B5E2706E-A66D-4B5A-8B6F-BB4B83775048}" uniqueName="3" name="RN" queryTableFieldId="3"/>
    <tableColumn id="4" xr3:uid="{FA618843-05A4-4DE1-8F31-8E62F1D93FCF}" uniqueName="4" name="NAZIV" queryTableFieldId="4" dataDxfId="25"/>
    <tableColumn id="5" xr3:uid="{6F841F15-D18C-4585-9522-BB98C98EAA49}" uniqueName="5" name="Norma" queryTableFieldId="5"/>
    <tableColumn id="6" xr3:uid="{76FAD6DA-BD61-4B9B-A28D-8A9F76F5BCA9}" uniqueName="6" name="Q" queryTableFieldId="6"/>
    <tableColumn id="7" xr3:uid="{3A6C5AF5-62DB-4906-823B-13B525832DB8}" uniqueName="7" name="ZQ" queryTableFieldId="7"/>
    <tableColumn id="8" xr3:uid="{A2FBC44C-7FDF-450C-9A03-7E7707AF7C99}" uniqueName="8" name="CQ" queryTableFieldId="8"/>
    <tableColumn id="9" xr3:uid="{0DBC0FA1-37E8-48DF-925C-879416046E70}" uniqueName="9" name="WC" queryTableFieldId="9" dataDxfId="24"/>
    <tableColumn id="10" xr3:uid="{2413A986-08C6-4D19-8FF2-64FFDED1AD5B}" uniqueName="10" name="WCNAME" queryTableFieldId="10" dataDxfId="23"/>
    <tableColumn id="11" xr3:uid="{E3CB24DD-5ED1-4296-AA9D-9B92872868D9}" uniqueName="11" name="MTO" queryTableFieldId="11" dataDxfId="22"/>
    <tableColumn id="12" xr3:uid="{D245EDB7-25C3-4085-903B-E34DCC2DD9FB}" uniqueName="12" name="Isporuka" queryTableFieldId="12" dataDxfId="21"/>
    <tableColumn id="18" xr3:uid="{327A7CA2-10C7-4EC6-A169-77B365599871}" uniqueName="18" name="TIME" queryTableFieldId="19" dataDxfId="20">
      <calculatedColumnFormula>IF(COUNTIF(C:C,PlanMasine[[#This Row],[RN]])&gt;1,(PlanMasine[[#This Row],[Norma]]/1440)/PlanMasine[[#This Row],[Q]]*(PlanMasine[[#This Row],[Q]]/SUMIF(C:C,PlanMasine[[#This Row],[RN]],B:B)*PlanMasine[[#This Row],[KPLQ]]),PlanMasine[[#This Row],[Norma]]/1440)</calculatedColumnFormula>
    </tableColumn>
    <tableColumn id="17" xr3:uid="{970BD3F9-5A1A-4816-90E6-2DAD10190F03}" uniqueName="17" name="Datum SAS" queryTableFieldId="17" dataDxfId="19"/>
    <tableColumn id="20" xr3:uid="{DD8048CC-F436-406E-932B-320AFC6D827E}" uniqueName="20" name="NORMA/J" queryTableFieldId="21" dataDxfId="18">
      <calculatedColumnFormula>IFERROR((PlanMasine[[#This Row],[Norma]]/PlanMasine[[#This Row],[Q]])*(PlanMasine[[#This Row],[Q]]/SUMIF(C:C,PlanMasine[[#This Row],[RN]],B:B)*PlanMasine[[#This Row],[KPLQ]]),0)</calculatedColumnFormula>
    </tableColumn>
    <tableColumn id="13" xr3:uid="{A79B4A5B-AB75-4766-AB62-47A64409E2B7}" uniqueName="13" name="Item" queryTableFieldId="13" dataDxfId="17"/>
    <tableColumn id="22" xr3:uid="{4868188B-B223-4575-BEEE-B8F6E228B3E4}" uniqueName="22" name="PROMJENA" queryTableFieldId="25" dataDxfId="16">
      <calculatedColumnFormula>COUNTIF(PROMJENA!A:A,PlanMasine[[#This Row],[KPL]]&amp;"-"&amp;PlanMasine[[#This Row],[RN]])</calculatedColumnFormula>
    </tableColumn>
    <tableColumn id="23" xr3:uid="{CCC933C9-D95E-412B-87C4-23D29EE2933F}" uniqueName="23" name="HITNO" queryTableFieldId="26" dataDxfId="15">
      <calculatedColumnFormula>IFERROR(INDEX(REDOSLIJED!A:A,MATCH(PlanMasine[[#This Row],[KPL]],REDOSLIJED!B:B,0)),MAX(REDOSLIJED!A:A)+1)</calculatedColumnFormula>
    </tableColumn>
    <tableColumn id="15" xr3:uid="{CBD81D72-8803-4598-ADF8-48999BB00BBB}" uniqueName="15" name="SUMA H" queryTableFieldId="27" dataDxfId="14">
      <calculatedColumnFormula>SUM($M$2:M2)</calculatedColumnFormula>
    </tableColumn>
    <tableColumn id="14" xr3:uid="{213193D9-955B-47D0-84F0-91A4F3B17DAB}" uniqueName="14" name="ZAVRŠETAK MAŠINSKE" queryTableFieldId="28" dataDxfId="13">
      <calculatedColumnFormula>PlanMasine[[#This Row],[Datum SAS]]-1</calculatedColumnFormula>
    </tableColumn>
    <tableColumn id="16" xr3:uid="{0A30C237-95D0-45BA-ADA9-982009130A96}" uniqueName="16" name="Column1" queryTableFieldId="29" dataDxfId="12">
      <calculatedColumnFormula>WEEKDAY(PlanMasine[[#This Row],[ZAVRŠETAK MAŠINSKE]],2)</calculatedColumnFormula>
    </tableColumn>
    <tableColumn id="19" xr3:uid="{8BF82ED5-57D5-47F2-AF78-E2C1D7224B77}" uniqueName="19" name="Column2" queryTableFieldId="30" dataDxfId="11">
      <calculatedColumnFormula>IF(WEEKDAY(PlanMasine[[#This Row],[Datum SAS]]-1,2)=7,PlanMasine[[#This Row],[Datum SAS]]-3,PlanMasine[[#This Row],[Datum SAS]]-1)</calculatedColumnFormula>
    </tableColumn>
    <tableColumn id="21" xr3:uid="{B70B1A15-C7F1-44E2-AB07-1F3D0FBBACAA}" uniqueName="21" name="Column3" queryTableFieldId="31" dataDxfId="10">
      <calculatedColumnFormula>WEEKNUM(PlanMasine[[#This Row],[Column2]],1)</calculatedColumnFormula>
    </tableColumn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95EB2A3-B65F-4AF0-A3A1-FFB4465F2B63}" name="Table2" displayName="Table2" ref="Z1:AE50" totalsRowShown="0" headerRowDxfId="9" dataDxfId="8">
  <autoFilter ref="Z1:AE50" xr:uid="{C95EB2A3-B65F-4AF0-A3A1-FFB4465F2B63}"/>
  <tableColumns count="6">
    <tableColumn id="1" xr3:uid="{C71FDB65-AFA5-446E-9955-11E5393DEEA3}" name="SEDMICA" dataDxfId="7">
      <calculatedColumnFormula>Z1+1</calculatedColumnFormula>
    </tableColumn>
    <tableColumn id="2" xr3:uid="{9AE80149-27FC-42A7-8A01-BD3B75EF7E46}" name="SUMA SATI" dataDxfId="6">
      <calculatedColumnFormula>SUMIF(W:W,Z2,M:M)</calculatedColumnFormula>
    </tableColumn>
    <tableColumn id="3" xr3:uid="{2993B1D9-6F4D-4E6D-85CA-F22B16E751B6}" name="KAPACITET" dataDxfId="5">
      <calculatedColumnFormula>7*24</calculatedColumnFormula>
    </tableColumn>
    <tableColumn id="6" xr3:uid="{E3EFB717-B66A-4561-9280-1CD3356D9301}" name="POPUNJENO" dataDxfId="4">
      <calculatedColumnFormula>IF(Table2[[#This Row],[KAPACITET]]&gt;Table2[[#This Row],[SUMA SATI]],Table2[[#This Row],[SUMA SATI]],Table2[[#This Row],[KAPACITET]])</calculatedColumnFormula>
    </tableColumn>
    <tableColumn id="4" xr3:uid="{8ADDE6FD-AE5C-4541-9B14-E860F0D89A80}" name="FALI" dataDxfId="3">
      <calculatedColumnFormula>IF(Table2[[#This Row],[SUMA SATI]]&gt;0,IF(Table2[[#This Row],[KAPACITET]]-Table2[[#This Row],[SUMA SATI]]&gt;0,Table2[[#This Row],[KAPACITET]]-Table2[[#This Row],[SUMA SATI]],""),"")</calculatedColumnFormula>
    </tableColumn>
    <tableColumn id="5" xr3:uid="{3C7A44AB-3D2E-45B1-9455-7BCCEAA598A5}" name="PREKO" dataDxfId="2">
      <calculatedColumnFormula>IF(Table2[[#This Row],[SUMA SATI]]&gt;0,IF(Table2[[#This Row],[KAPACITET]]-Table2[[#This Row],[SUMA SATI]]&lt;0,Table2[[#This Row],[SUMA SATI]]-Table2[[#This Row],[KAPACITET]],""),"")</calculatedColumnFormula>
    </tableColumn>
  </tableColumns>
  <tableStyleInfo name="TableStyleLight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Table_Query_from_Mladen" displayName="Table_Query_from_Mladen" ref="A1:B224" tableType="queryTable" totalsRowShown="0">
  <autoFilter ref="A1:B224" xr:uid="{00000000-0009-0000-0100-000001000000}"/>
  <tableColumns count="2">
    <tableColumn id="1" xr3:uid="{00000000-0010-0000-0100-000001000000}" uniqueName="1" name="Kod Masine" queryTableFieldId="1"/>
    <tableColumn id="2" xr3:uid="{00000000-0010-0000-0100-000002000000}" uniqueName="2" name="Naziv Masine" queryTableFieldId="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hyperlink" Target="PDF-MASINE/G1000-Mali_Kekeisen/153478.pdf" TargetMode="External"/><Relationship Id="rId21" Type="http://schemas.openxmlformats.org/officeDocument/2006/relationships/hyperlink" Target="PDF-MASINE/G1000-Mali_Kekeisen/130073.pdf" TargetMode="External"/><Relationship Id="rId42" Type="http://schemas.openxmlformats.org/officeDocument/2006/relationships/hyperlink" Target="PDF-MASINE/G1000-Mali_Kekeisen/137922.pdf" TargetMode="External"/><Relationship Id="rId63" Type="http://schemas.openxmlformats.org/officeDocument/2006/relationships/hyperlink" Target="PDF-MASINE/G1000-Mali_Kekeisen/139624.pdf" TargetMode="External"/><Relationship Id="rId84" Type="http://schemas.openxmlformats.org/officeDocument/2006/relationships/hyperlink" Target="PDF-MASINE/G1000-Mali_Kekeisen/147117.pdf" TargetMode="External"/><Relationship Id="rId138" Type="http://schemas.openxmlformats.org/officeDocument/2006/relationships/hyperlink" Target="PDF-MASINE/G1000-Mali_Kekeisen/155384.pdf" TargetMode="External"/><Relationship Id="rId159" Type="http://schemas.openxmlformats.org/officeDocument/2006/relationships/hyperlink" Target="PDF-MASINE/G1000-Mali_Kekeisen/164048.PDF" TargetMode="External"/><Relationship Id="rId170" Type="http://schemas.openxmlformats.org/officeDocument/2006/relationships/hyperlink" Target="PDF-MASINE/G1000-Mali_Kekeisen/165268.PDF" TargetMode="External"/><Relationship Id="rId191" Type="http://schemas.openxmlformats.org/officeDocument/2006/relationships/hyperlink" Target="PDF-MASINE/G1000-Mali_Kekeisen/176366%20KLTNBCH%20Sockel%200-6501-030000%20P21" TargetMode="External"/><Relationship Id="rId205" Type="http://schemas.openxmlformats.org/officeDocument/2006/relationships/hyperlink" Target="PDF-MASINE/G1000-Mali_Kekeisen/176380%20KLTNBCH%20Sockel%200-6501-030000%20P44" TargetMode="External"/><Relationship Id="rId226" Type="http://schemas.openxmlformats.org/officeDocument/2006/relationships/ctrlProp" Target="../ctrlProps/ctrlProp1.xml"/><Relationship Id="rId107" Type="http://schemas.openxmlformats.org/officeDocument/2006/relationships/hyperlink" Target="PDF-MASINE/G1000-Mali_Kekeisen/152694.PDF" TargetMode="External"/><Relationship Id="rId11" Type="http://schemas.openxmlformats.org/officeDocument/2006/relationships/hyperlink" Target="PDF-MASINE/G1000-Mali_Kekeisen/116382.pdf" TargetMode="External"/><Relationship Id="rId32" Type="http://schemas.openxmlformats.org/officeDocument/2006/relationships/hyperlink" Target="PDF-MASINE/G1000-Mali_Kekeisen/137101.pdf" TargetMode="External"/><Relationship Id="rId53" Type="http://schemas.openxmlformats.org/officeDocument/2006/relationships/hyperlink" Target="PDF-MASINE/G1000-Mali_Kekeisen/139605.pdf" TargetMode="External"/><Relationship Id="rId74" Type="http://schemas.openxmlformats.org/officeDocument/2006/relationships/hyperlink" Target="PDF-MASINE/G1000-Mali_Kekeisen/141939.pdf" TargetMode="External"/><Relationship Id="rId128" Type="http://schemas.openxmlformats.org/officeDocument/2006/relationships/hyperlink" Target="PDF-MASINE/G1000-Mali_Kekeisen/154384.PDF" TargetMode="External"/><Relationship Id="rId149" Type="http://schemas.openxmlformats.org/officeDocument/2006/relationships/hyperlink" Target="PDF-MASINE/G1000-Mali_Kekeisen/160127.PDF" TargetMode="External"/><Relationship Id="rId5" Type="http://schemas.openxmlformats.org/officeDocument/2006/relationships/hyperlink" Target="PDF-MASINE/G1000-Mali_Kekeisen/110918.PDF" TargetMode="External"/><Relationship Id="rId95" Type="http://schemas.openxmlformats.org/officeDocument/2006/relationships/hyperlink" Target="PDF-MASINE/G1000-Mali_Kekeisen/150587.pdf" TargetMode="External"/><Relationship Id="rId160" Type="http://schemas.openxmlformats.org/officeDocument/2006/relationships/hyperlink" Target="PDF-MASINE/G1000-Mali_Kekeisen/164049.PDF" TargetMode="External"/><Relationship Id="rId181" Type="http://schemas.openxmlformats.org/officeDocument/2006/relationships/hyperlink" Target="PDF-MASINE/G1000-Mali_Kekeisen/176356%20KLTNBCH%20Sockel%200-6501-030000%20P6%20x2.pdf" TargetMode="External"/><Relationship Id="rId216" Type="http://schemas.openxmlformats.org/officeDocument/2006/relationships/hyperlink" Target="PDF-MASINE/G1000-Mali_Kekeisen/176475%20KLTNBCH%20Sockel%200-6501-030000%20P52" TargetMode="External"/><Relationship Id="rId22" Type="http://schemas.openxmlformats.org/officeDocument/2006/relationships/hyperlink" Target="PDF-MASINE/G1000-Mali_Kekeisen/130076.pdf" TargetMode="External"/><Relationship Id="rId43" Type="http://schemas.openxmlformats.org/officeDocument/2006/relationships/hyperlink" Target="PDF-MASINE/G1000-Mali_Kekeisen/137923.pdf" TargetMode="External"/><Relationship Id="rId64" Type="http://schemas.openxmlformats.org/officeDocument/2006/relationships/hyperlink" Target="PDF-MASINE/G1000-Mali_Kekeisen/139631.pdf" TargetMode="External"/><Relationship Id="rId118" Type="http://schemas.openxmlformats.org/officeDocument/2006/relationships/hyperlink" Target="PDF-MASINE/G1000-Mali_Kekeisen/153757.pdf" TargetMode="External"/><Relationship Id="rId139" Type="http://schemas.openxmlformats.org/officeDocument/2006/relationships/hyperlink" Target="PDF-MASINE/G1000-Mali_Kekeisen/155678.pdf" TargetMode="External"/><Relationship Id="rId85" Type="http://schemas.openxmlformats.org/officeDocument/2006/relationships/hyperlink" Target="PDF-MASINE/G1000-Mali_Kekeisen/147118.pdf" TargetMode="External"/><Relationship Id="rId150" Type="http://schemas.openxmlformats.org/officeDocument/2006/relationships/hyperlink" Target="PDF-MASINE/G1000-Mali_Kekeisen/160540.PDF" TargetMode="External"/><Relationship Id="rId171" Type="http://schemas.openxmlformats.org/officeDocument/2006/relationships/hyperlink" Target="PDF-MASINE/G1000-Mali_Kekeisen/165329.PDF" TargetMode="External"/><Relationship Id="rId192" Type="http://schemas.openxmlformats.org/officeDocument/2006/relationships/hyperlink" Target="PDF-MASINE/G1000-Mali_Kekeisen/176367%20KLTNBCH%20Sockel%200-6501-030000%20P22" TargetMode="External"/><Relationship Id="rId206" Type="http://schemas.openxmlformats.org/officeDocument/2006/relationships/hyperlink" Target="PDF-MASINE/G1000-Mali_Kekeisen/176381%20KLTNBCH%20Sockel%200-6501-030000%20P45" TargetMode="External"/><Relationship Id="rId227" Type="http://schemas.openxmlformats.org/officeDocument/2006/relationships/ctrlProp" Target="../ctrlProps/ctrlProp2.xml"/><Relationship Id="rId12" Type="http://schemas.openxmlformats.org/officeDocument/2006/relationships/hyperlink" Target="PDF-MASINE/G1000-Mali_Kekeisen/117525.pdf" TargetMode="External"/><Relationship Id="rId33" Type="http://schemas.openxmlformats.org/officeDocument/2006/relationships/hyperlink" Target="PDF-MASINE/G1000-Mali_Kekeisen/137102.pdf" TargetMode="External"/><Relationship Id="rId108" Type="http://schemas.openxmlformats.org/officeDocument/2006/relationships/hyperlink" Target="PDF-MASINE/G1000-Mali_Kekeisen/152924.pdf" TargetMode="External"/><Relationship Id="rId129" Type="http://schemas.openxmlformats.org/officeDocument/2006/relationships/hyperlink" Target="PDF-MASINE/G1000-Mali_Kekeisen/154386.PDF" TargetMode="External"/><Relationship Id="rId54" Type="http://schemas.openxmlformats.org/officeDocument/2006/relationships/hyperlink" Target="PDF-MASINE/G1000-Mali_Kekeisen/139606.pdf" TargetMode="External"/><Relationship Id="rId75" Type="http://schemas.openxmlformats.org/officeDocument/2006/relationships/hyperlink" Target="PDF-MASINE/G1000-Mali_Kekeisen/141955.PDF" TargetMode="External"/><Relationship Id="rId96" Type="http://schemas.openxmlformats.org/officeDocument/2006/relationships/hyperlink" Target="PDF-MASINE/G1000-Mali_Kekeisen/150623.pdf" TargetMode="External"/><Relationship Id="rId140" Type="http://schemas.openxmlformats.org/officeDocument/2006/relationships/hyperlink" Target="PDF-MASINE/G1000-Mali_Kekeisen/155680.PDF" TargetMode="External"/><Relationship Id="rId161" Type="http://schemas.openxmlformats.org/officeDocument/2006/relationships/hyperlink" Target="PDF-MASINE/G1000-Mali_Kekeisen/164096.PDF" TargetMode="External"/><Relationship Id="rId182" Type="http://schemas.openxmlformats.org/officeDocument/2006/relationships/hyperlink" Target="PDF-MASINE/G1000-Mali_Kekeisen/176357%20KLTNBCH%20Sockel%200-6501-030000%20P7%20x1.pdf" TargetMode="External"/><Relationship Id="rId217" Type="http://schemas.openxmlformats.org/officeDocument/2006/relationships/hyperlink" Target="PDF-MASINE/G1000-Mali_Kekeisen/176484%20KLTNBCH%20Sockel%200-6501-030000%20P47" TargetMode="External"/><Relationship Id="rId6" Type="http://schemas.openxmlformats.org/officeDocument/2006/relationships/hyperlink" Target="PDF-MASINE/G1000-Mali_Kekeisen/110954.pdf" TargetMode="External"/><Relationship Id="rId23" Type="http://schemas.openxmlformats.org/officeDocument/2006/relationships/hyperlink" Target="PDF-MASINE/G1000-Mali_Kekeisen/130078.pdf" TargetMode="External"/><Relationship Id="rId119" Type="http://schemas.openxmlformats.org/officeDocument/2006/relationships/hyperlink" Target="PDF-MASINE/G1000-Mali_Kekeisen/153758.pdf" TargetMode="External"/><Relationship Id="rId44" Type="http://schemas.openxmlformats.org/officeDocument/2006/relationships/hyperlink" Target="PDF-MASINE/G1000-Mali_Kekeisen/137924.pdf" TargetMode="External"/><Relationship Id="rId65" Type="http://schemas.openxmlformats.org/officeDocument/2006/relationships/hyperlink" Target="PDF-MASINE/G1000-Mali_Kekeisen/139758.PDF" TargetMode="External"/><Relationship Id="rId86" Type="http://schemas.openxmlformats.org/officeDocument/2006/relationships/hyperlink" Target="PDF-MASINE/G1000-Mali_Kekeisen/147119.pdf" TargetMode="External"/><Relationship Id="rId130" Type="http://schemas.openxmlformats.org/officeDocument/2006/relationships/hyperlink" Target="PDF-MASINE/G1000-Mali_Kekeisen/154387.pdf" TargetMode="External"/><Relationship Id="rId151" Type="http://schemas.openxmlformats.org/officeDocument/2006/relationships/hyperlink" Target="PDF-MASINE/G1000-Mali_Kekeisen/160891.pdf" TargetMode="External"/><Relationship Id="rId172" Type="http://schemas.openxmlformats.org/officeDocument/2006/relationships/hyperlink" Target="PDF-MASINE/G1000-Mali_Kekeisen/165748.pdf" TargetMode="External"/><Relationship Id="rId193" Type="http://schemas.openxmlformats.org/officeDocument/2006/relationships/hyperlink" Target="PDF-MASINE/G1000-Mali_Kekeisen/176368%20KLTNBCH%20Sockel%200-6501-030000%20P23" TargetMode="External"/><Relationship Id="rId207" Type="http://schemas.openxmlformats.org/officeDocument/2006/relationships/hyperlink" Target="PDF-MASINE/G1000-Mali_Kekeisen/176382%20KLTNBCH%20Sockel%200-6501-030000%20P46" TargetMode="External"/><Relationship Id="rId228" Type="http://schemas.openxmlformats.org/officeDocument/2006/relationships/ctrlProp" Target="../ctrlProps/ctrlProp3.xml"/><Relationship Id="rId13" Type="http://schemas.openxmlformats.org/officeDocument/2006/relationships/hyperlink" Target="PDF-MASINE/G1000-Mali_Kekeisen/118355.pdf" TargetMode="External"/><Relationship Id="rId109" Type="http://schemas.openxmlformats.org/officeDocument/2006/relationships/hyperlink" Target="PDF-MASINE/G1000-Mali_Kekeisen/152925.pdf" TargetMode="External"/><Relationship Id="rId34" Type="http://schemas.openxmlformats.org/officeDocument/2006/relationships/hyperlink" Target="PDF-MASINE/G1000-Mali_Kekeisen/137105.pdf" TargetMode="External"/><Relationship Id="rId55" Type="http://schemas.openxmlformats.org/officeDocument/2006/relationships/hyperlink" Target="PDF-MASINE/G1000-Mali_Kekeisen/139607.pdf" TargetMode="External"/><Relationship Id="rId76" Type="http://schemas.openxmlformats.org/officeDocument/2006/relationships/hyperlink" Target="PDF-MASINE/G1000-Mali_Kekeisen/142010.PDF" TargetMode="External"/><Relationship Id="rId97" Type="http://schemas.openxmlformats.org/officeDocument/2006/relationships/hyperlink" Target="PDF-MASINE/G1000-Mali_Kekeisen/150624.pdf" TargetMode="External"/><Relationship Id="rId120" Type="http://schemas.openxmlformats.org/officeDocument/2006/relationships/hyperlink" Target="PDF-MASINE/G1000-Mali_Kekeisen/153759.pdf" TargetMode="External"/><Relationship Id="rId141" Type="http://schemas.openxmlformats.org/officeDocument/2006/relationships/hyperlink" Target="PDF-MASINE/G1000-Mali_Kekeisen/155681.PDF" TargetMode="External"/><Relationship Id="rId7" Type="http://schemas.openxmlformats.org/officeDocument/2006/relationships/hyperlink" Target="PDF-MASINE/G1000-Mali_Kekeisen/110958.PDF" TargetMode="External"/><Relationship Id="rId162" Type="http://schemas.openxmlformats.org/officeDocument/2006/relationships/hyperlink" Target="PDF-MASINE/G1000-Mali_Kekeisen/164099.pdf" TargetMode="External"/><Relationship Id="rId183" Type="http://schemas.openxmlformats.org/officeDocument/2006/relationships/hyperlink" Target="PDF-MASINE/G1000-Mali_Kekeisen/176358%20KLTNBCH%20Sockel%200-6501-030000%20P9" TargetMode="External"/><Relationship Id="rId218" Type="http://schemas.openxmlformats.org/officeDocument/2006/relationships/hyperlink" Target="PDF-MASINE/G1000-Mali_Kekeisen/176496%20KLTNBCH%20Sockel%200-6501-030000%20PS6%20(P4+P5).pdf" TargetMode="External"/><Relationship Id="rId24" Type="http://schemas.openxmlformats.org/officeDocument/2006/relationships/hyperlink" Target="PDF-MASINE/G1000-Mali_Kekeisen/131357%20Grundgestell%2046m06395a304_drw.pdf" TargetMode="External"/><Relationship Id="rId45" Type="http://schemas.openxmlformats.org/officeDocument/2006/relationships/hyperlink" Target="PDF-MASINE/G1000-Mali_Kekeisen/137925.pdf" TargetMode="External"/><Relationship Id="rId66" Type="http://schemas.openxmlformats.org/officeDocument/2006/relationships/hyperlink" Target="PDF-MASINE/G1000-Mali_Kekeisen/140479.pdf" TargetMode="External"/><Relationship Id="rId87" Type="http://schemas.openxmlformats.org/officeDocument/2006/relationships/hyperlink" Target="PDF-MASINE/G1000-Mali_Kekeisen/148629.pdf" TargetMode="External"/><Relationship Id="rId110" Type="http://schemas.openxmlformats.org/officeDocument/2006/relationships/hyperlink" Target="PDF-MASINE/G1000-Mali_Kekeisen/152930.pdf" TargetMode="External"/><Relationship Id="rId131" Type="http://schemas.openxmlformats.org/officeDocument/2006/relationships/hyperlink" Target="PDF-MASINE/G1000-Mali_Kekeisen/154396.PDF" TargetMode="External"/><Relationship Id="rId152" Type="http://schemas.openxmlformats.org/officeDocument/2006/relationships/hyperlink" Target="PDF-MASINE/G1000-Mali_Kekeisen/161908.pdf" TargetMode="External"/><Relationship Id="rId173" Type="http://schemas.openxmlformats.org/officeDocument/2006/relationships/hyperlink" Target="PDF-MASINE/G1000-Mali_Kekeisen/165750.pdf" TargetMode="External"/><Relationship Id="rId194" Type="http://schemas.openxmlformats.org/officeDocument/2006/relationships/hyperlink" Target="PDF-MASINE/G1000-Mali_Kekeisen/176369%20KLTNBCH%20Sockel%200-6501-030000%20P24" TargetMode="External"/><Relationship Id="rId208" Type="http://schemas.openxmlformats.org/officeDocument/2006/relationships/hyperlink" Target="PDF-MASINE/G1000-Mali_Kekeisen/176382%20KLTNBCH%20Sockel%200-6501-030000%20P46" TargetMode="External"/><Relationship Id="rId229" Type="http://schemas.openxmlformats.org/officeDocument/2006/relationships/ctrlProp" Target="../ctrlProps/ctrlProp4.xml"/><Relationship Id="rId14" Type="http://schemas.openxmlformats.org/officeDocument/2006/relationships/hyperlink" Target="PDF-MASINE/G1000-Mali_Kekeisen/118792.pdf" TargetMode="External"/><Relationship Id="rId35" Type="http://schemas.openxmlformats.org/officeDocument/2006/relationships/hyperlink" Target="PDF-MASINE/G1000-Mali_Kekeisen/137252.PDF" TargetMode="External"/><Relationship Id="rId56" Type="http://schemas.openxmlformats.org/officeDocument/2006/relationships/hyperlink" Target="PDF-MASINE/G1000-Mali_Kekeisen/139608.pdf" TargetMode="External"/><Relationship Id="rId77" Type="http://schemas.openxmlformats.org/officeDocument/2006/relationships/hyperlink" Target="PDF-MASINE/G1000-Mali_Kekeisen/142995.PDF" TargetMode="External"/><Relationship Id="rId100" Type="http://schemas.openxmlformats.org/officeDocument/2006/relationships/hyperlink" Target="PDF-MASINE/G1000-Mali_Kekeisen/151167.pdf" TargetMode="External"/><Relationship Id="rId8" Type="http://schemas.openxmlformats.org/officeDocument/2006/relationships/hyperlink" Target="PDF-MASINE/G1000-Mali_Kekeisen/110967.PDF" TargetMode="External"/><Relationship Id="rId98" Type="http://schemas.openxmlformats.org/officeDocument/2006/relationships/hyperlink" Target="PDF-MASINE/G1000-Mali_Kekeisen/150633.pdf" TargetMode="External"/><Relationship Id="rId121" Type="http://schemas.openxmlformats.org/officeDocument/2006/relationships/hyperlink" Target="PDF-MASINE/G1000-Mali_Kekeisen/153777.pdf" TargetMode="External"/><Relationship Id="rId142" Type="http://schemas.openxmlformats.org/officeDocument/2006/relationships/hyperlink" Target="PDF-MASINE/G1000-Mali_Kekeisen/155692.pdf" TargetMode="External"/><Relationship Id="rId163" Type="http://schemas.openxmlformats.org/officeDocument/2006/relationships/hyperlink" Target="PDF-MASINE/G1000-Mali_Kekeisen/164360.pdf" TargetMode="External"/><Relationship Id="rId184" Type="http://schemas.openxmlformats.org/officeDocument/2006/relationships/hyperlink" Target="PDF-MASINE/G1000-Mali_Kekeisen/176359%20KLTNBCH%20Sockel%200-6501-030000%20P10" TargetMode="External"/><Relationship Id="rId219" Type="http://schemas.openxmlformats.org/officeDocument/2006/relationships/hyperlink" Target="PDF-MASINE/G1000-Mali_Kekeisen/176505%20KLTNBCH%20Sockel%200-6501-030000%20P100%20Gewindebolzen%20M8x15.pdf" TargetMode="External"/><Relationship Id="rId230" Type="http://schemas.openxmlformats.org/officeDocument/2006/relationships/ctrlProp" Target="../ctrlProps/ctrlProp5.xml"/><Relationship Id="rId25" Type="http://schemas.openxmlformats.org/officeDocument/2006/relationships/hyperlink" Target="PDF-MASINE/G1000-Mali_Kekeisen/131358%20Grundgestell%2046m06395a305_drw.pdf" TargetMode="External"/><Relationship Id="rId46" Type="http://schemas.openxmlformats.org/officeDocument/2006/relationships/hyperlink" Target="PDF-MASINE/G1000-Mali_Kekeisen/137927.pdf" TargetMode="External"/><Relationship Id="rId67" Type="http://schemas.openxmlformats.org/officeDocument/2006/relationships/hyperlink" Target="PDF-MASINE/G1000-Mali_Kekeisen/140483.pdf" TargetMode="External"/><Relationship Id="rId20" Type="http://schemas.openxmlformats.org/officeDocument/2006/relationships/hyperlink" Target="PDF-MASINE/G1000-Mali_Kekeisen/124351.PDF" TargetMode="External"/><Relationship Id="rId41" Type="http://schemas.openxmlformats.org/officeDocument/2006/relationships/hyperlink" Target="PDF-MASINE/G1000-Mali_Kekeisen/137918.pdf" TargetMode="External"/><Relationship Id="rId62" Type="http://schemas.openxmlformats.org/officeDocument/2006/relationships/hyperlink" Target="PDF-MASINE/G1000-Mali_Kekeisen/139619.pdf" TargetMode="External"/><Relationship Id="rId83" Type="http://schemas.openxmlformats.org/officeDocument/2006/relationships/hyperlink" Target="PDF-MASINE/G1000-Mali_Kekeisen/147116.pdf" TargetMode="External"/><Relationship Id="rId88" Type="http://schemas.openxmlformats.org/officeDocument/2006/relationships/hyperlink" Target="PDF-MASINE/G1000-Mali_Kekeisen/149612.pdf" TargetMode="External"/><Relationship Id="rId111" Type="http://schemas.openxmlformats.org/officeDocument/2006/relationships/hyperlink" Target="PDF-MASINE/G1000-Mali_Kekeisen/152933.pdf" TargetMode="External"/><Relationship Id="rId132" Type="http://schemas.openxmlformats.org/officeDocument/2006/relationships/hyperlink" Target="PDF-MASINE/G1000-Mali_Kekeisen/154635.PDF" TargetMode="External"/><Relationship Id="rId153" Type="http://schemas.openxmlformats.org/officeDocument/2006/relationships/hyperlink" Target="PDF-MASINE/G1000-Mali_Kekeisen/163351.PDF" TargetMode="External"/><Relationship Id="rId174" Type="http://schemas.openxmlformats.org/officeDocument/2006/relationships/hyperlink" Target="PDF-MASINE/G1000-Mali_Kekeisen/165755.pdf" TargetMode="External"/><Relationship Id="rId179" Type="http://schemas.openxmlformats.org/officeDocument/2006/relationships/hyperlink" Target="PDF-MASINE/G1000-Mali_Kekeisen/176354%20KLTNBCH%20Sockel%200-6501-030000%20P4%20x1.pdf" TargetMode="External"/><Relationship Id="rId195" Type="http://schemas.openxmlformats.org/officeDocument/2006/relationships/hyperlink" Target="PDF-MASINE/G1000-Mali_Kekeisen/176370%20KLTNBCH%20Sockel%200-6501-030000%20P30" TargetMode="External"/><Relationship Id="rId209" Type="http://schemas.openxmlformats.org/officeDocument/2006/relationships/hyperlink" Target="PDF-MASINE/G1000-Mali_Kekeisen/176383%20KLTNBCH%20Sockel%200-6501-030000%20P48" TargetMode="External"/><Relationship Id="rId190" Type="http://schemas.openxmlformats.org/officeDocument/2006/relationships/hyperlink" Target="PDF-MASINE/G1000-Mali_Kekeisen/176365%20KLTNBCH%20Sockel%200-6501-030000%20P20" TargetMode="External"/><Relationship Id="rId204" Type="http://schemas.openxmlformats.org/officeDocument/2006/relationships/hyperlink" Target="PDF-MASINE/G1000-Mali_Kekeisen/176379%20KLTNBCH%20Sockel%200-6501-030000%20P43" TargetMode="External"/><Relationship Id="rId220" Type="http://schemas.openxmlformats.org/officeDocument/2006/relationships/hyperlink" Target="PDF-MASINE/G1000-Mali_Kekeisen/176518%20KLTNBCH%20Sockel%200-6501-030000%20&#352;ablon%20za%20postavljanje%20P100-1" TargetMode="External"/><Relationship Id="rId225" Type="http://schemas.openxmlformats.org/officeDocument/2006/relationships/vmlDrawing" Target="../drawings/vmlDrawing1.vml"/><Relationship Id="rId15" Type="http://schemas.openxmlformats.org/officeDocument/2006/relationships/hyperlink" Target="PDF-MASINE/G1000-Mali_Kekeisen/120832.pdf" TargetMode="External"/><Relationship Id="rId36" Type="http://schemas.openxmlformats.org/officeDocument/2006/relationships/hyperlink" Target="PDF-MASINE/G1000-Mali_Kekeisen/137868.pdf" TargetMode="External"/><Relationship Id="rId57" Type="http://schemas.openxmlformats.org/officeDocument/2006/relationships/hyperlink" Target="PDF-MASINE/G1000-Mali_Kekeisen/139609.pdf" TargetMode="External"/><Relationship Id="rId106" Type="http://schemas.openxmlformats.org/officeDocument/2006/relationships/hyperlink" Target="PDF-MASINE/G1000-Mali_Kekeisen/152571.PDF" TargetMode="External"/><Relationship Id="rId127" Type="http://schemas.openxmlformats.org/officeDocument/2006/relationships/hyperlink" Target="PDF-MASINE/G1000-Mali_Kekeisen/154383.PDF" TargetMode="External"/><Relationship Id="rId10" Type="http://schemas.openxmlformats.org/officeDocument/2006/relationships/hyperlink" Target="PDF-MASINE/G1000-Mali_Kekeisen/111871.pdf" TargetMode="External"/><Relationship Id="rId31" Type="http://schemas.openxmlformats.org/officeDocument/2006/relationships/hyperlink" Target="PDF-MASINE/G1000-Mali_Kekeisen/131783.pdf" TargetMode="External"/><Relationship Id="rId52" Type="http://schemas.openxmlformats.org/officeDocument/2006/relationships/hyperlink" Target="PDF-MASINE/G1000-Mali_Kekeisen/139273.PDF" TargetMode="External"/><Relationship Id="rId73" Type="http://schemas.openxmlformats.org/officeDocument/2006/relationships/hyperlink" Target="PDF-MASINE/G1000-Mali_Kekeisen/141617.PDF" TargetMode="External"/><Relationship Id="rId78" Type="http://schemas.openxmlformats.org/officeDocument/2006/relationships/hyperlink" Target="PDF-MASINE/G1000-Mali_Kekeisen/143008.PDF" TargetMode="External"/><Relationship Id="rId94" Type="http://schemas.openxmlformats.org/officeDocument/2006/relationships/hyperlink" Target="PDF-MASINE/G1000-Mali_Kekeisen/150279.pdf" TargetMode="External"/><Relationship Id="rId99" Type="http://schemas.openxmlformats.org/officeDocument/2006/relationships/hyperlink" Target="PDF-MASINE/G1000-Mali_Kekeisen/150893.pdf" TargetMode="External"/><Relationship Id="rId101" Type="http://schemas.openxmlformats.org/officeDocument/2006/relationships/hyperlink" Target="PDF-MASINE/G1000-Mali_Kekeisen/151168.pdf" TargetMode="External"/><Relationship Id="rId122" Type="http://schemas.openxmlformats.org/officeDocument/2006/relationships/hyperlink" Target="PDF-MASINE/G1000-Mali_Kekeisen/153780.pdf" TargetMode="External"/><Relationship Id="rId143" Type="http://schemas.openxmlformats.org/officeDocument/2006/relationships/hyperlink" Target="PDF-MASINE/G1000-Mali_Kekeisen/156913.PDF" TargetMode="External"/><Relationship Id="rId148" Type="http://schemas.openxmlformats.org/officeDocument/2006/relationships/hyperlink" Target="PDF-MASINE/G1000-Mali_Kekeisen/160120.PDF" TargetMode="External"/><Relationship Id="rId164" Type="http://schemas.openxmlformats.org/officeDocument/2006/relationships/hyperlink" Target="PDF-MASINE/G1000-Mali_Kekeisen/164667.PDF" TargetMode="External"/><Relationship Id="rId169" Type="http://schemas.openxmlformats.org/officeDocument/2006/relationships/hyperlink" Target="PDF-MASINE/G1000-Mali_Kekeisen/165258.PDF" TargetMode="External"/><Relationship Id="rId185" Type="http://schemas.openxmlformats.org/officeDocument/2006/relationships/hyperlink" Target="PDF-MASINE/G1000-Mali_Kekeisen/176360%20KLTNBCH%20Sockel%200-6501-030000%20P15" TargetMode="External"/><Relationship Id="rId4" Type="http://schemas.openxmlformats.org/officeDocument/2006/relationships/hyperlink" Target="PDF-MASINE/G1000-Mali_Kekeisen/106000.pdf" TargetMode="External"/><Relationship Id="rId9" Type="http://schemas.openxmlformats.org/officeDocument/2006/relationships/hyperlink" Target="PDF-MASINE/G1000-Mali_Kekeisen/110968.PDF" TargetMode="External"/><Relationship Id="rId180" Type="http://schemas.openxmlformats.org/officeDocument/2006/relationships/hyperlink" Target="PDF-MASINE/G1000-Mali_Kekeisen/176355%20KLTNBCH%20Sockel%200-6501-030000%20P5%20x2.pdf" TargetMode="External"/><Relationship Id="rId210" Type="http://schemas.openxmlformats.org/officeDocument/2006/relationships/hyperlink" Target="PDF-MASINE/G1000-Mali_Kekeisen/176384%20KLTNBCH%20Sockel%200-6501-030000%20P49" TargetMode="External"/><Relationship Id="rId215" Type="http://schemas.openxmlformats.org/officeDocument/2006/relationships/hyperlink" Target="PDF-MASINE/G1000-Mali_Kekeisen/176389%20KLTNBCH%20Sockel%200-6501-030000%20P54" TargetMode="External"/><Relationship Id="rId26" Type="http://schemas.openxmlformats.org/officeDocument/2006/relationships/hyperlink" Target="PDF-MASINE/G1000-Mali_Kekeisen/131372.pdf" TargetMode="External"/><Relationship Id="rId231" Type="http://schemas.openxmlformats.org/officeDocument/2006/relationships/ctrlProp" Target="../ctrlProps/ctrlProp6.xml"/><Relationship Id="rId47" Type="http://schemas.openxmlformats.org/officeDocument/2006/relationships/hyperlink" Target="PDF-MASINE/G1000-Mali_Kekeisen/137928.pdf" TargetMode="External"/><Relationship Id="rId68" Type="http://schemas.openxmlformats.org/officeDocument/2006/relationships/hyperlink" Target="PDF-MASINE/G1000-Mali_Kekeisen/140486.pdf" TargetMode="External"/><Relationship Id="rId89" Type="http://schemas.openxmlformats.org/officeDocument/2006/relationships/hyperlink" Target="PDF-MASINE/G1000-Mali_Kekeisen/150155.pdf" TargetMode="External"/><Relationship Id="rId112" Type="http://schemas.openxmlformats.org/officeDocument/2006/relationships/hyperlink" Target="PDF-MASINE/G1000-Mali_Kekeisen/153086.PDF" TargetMode="External"/><Relationship Id="rId133" Type="http://schemas.openxmlformats.org/officeDocument/2006/relationships/hyperlink" Target="PDF-MASINE/G1000-Mali_Kekeisen/154636.PDF" TargetMode="External"/><Relationship Id="rId154" Type="http://schemas.openxmlformats.org/officeDocument/2006/relationships/hyperlink" Target="PDF-MASINE/G1000-Mali_Kekeisen/163410.PDF" TargetMode="External"/><Relationship Id="rId175" Type="http://schemas.openxmlformats.org/officeDocument/2006/relationships/hyperlink" Target="PDF-MASINE/G1000-Mali_Kekeisen/175789%20KLTNBCH%20Sockel%200-6501-030000-00%20S%20kpl.pdf" TargetMode="External"/><Relationship Id="rId196" Type="http://schemas.openxmlformats.org/officeDocument/2006/relationships/hyperlink" Target="PDF-MASINE/G1000-Mali_Kekeisen/176371%20KLTNBCH%20Sockel%200-6501-030000%20P31" TargetMode="External"/><Relationship Id="rId200" Type="http://schemas.openxmlformats.org/officeDocument/2006/relationships/hyperlink" Target="PDF-MASINE/G1000-Mali_Kekeisen/176375%20KLTNBCH%20Sockel%200-6501-030000%20P35" TargetMode="External"/><Relationship Id="rId16" Type="http://schemas.openxmlformats.org/officeDocument/2006/relationships/hyperlink" Target="PDF-MASINE/G1000-Mali_Kekeisen/122922.pdf" TargetMode="External"/><Relationship Id="rId221" Type="http://schemas.openxmlformats.org/officeDocument/2006/relationships/hyperlink" Target="PDF-MASINE/G1000-Mali_Kekeisen/176519%20KLTNBCH%20Sockel%200-6501-030000%20&#352;ablon%20za%20postavljanje%20P100-2" TargetMode="External"/><Relationship Id="rId37" Type="http://schemas.openxmlformats.org/officeDocument/2006/relationships/hyperlink" Target="PDF-MASINE/G1000-Mali_Kekeisen/137873.pdf" TargetMode="External"/><Relationship Id="rId58" Type="http://schemas.openxmlformats.org/officeDocument/2006/relationships/hyperlink" Target="PDF-MASINE/G1000-Mali_Kekeisen/139610.pdf" TargetMode="External"/><Relationship Id="rId79" Type="http://schemas.openxmlformats.org/officeDocument/2006/relationships/hyperlink" Target="PDF-MASINE/G1000-Mali_Kekeisen/144305.pdf" TargetMode="External"/><Relationship Id="rId102" Type="http://schemas.openxmlformats.org/officeDocument/2006/relationships/hyperlink" Target="PDF-MASINE/G1000-Mali_Kekeisen/151173.pdf" TargetMode="External"/><Relationship Id="rId123" Type="http://schemas.openxmlformats.org/officeDocument/2006/relationships/hyperlink" Target="PDF-MASINE/G1000-Mali_Kekeisen/153783.pdf" TargetMode="External"/><Relationship Id="rId144" Type="http://schemas.openxmlformats.org/officeDocument/2006/relationships/hyperlink" Target="PDF-MASINE/G1000-Mali_Kekeisen/157680.PDF" TargetMode="External"/><Relationship Id="rId90" Type="http://schemas.openxmlformats.org/officeDocument/2006/relationships/hyperlink" Target="PDF-MASINE/G1000-Mali_Kekeisen/150158.pdf" TargetMode="External"/><Relationship Id="rId165" Type="http://schemas.openxmlformats.org/officeDocument/2006/relationships/hyperlink" Target="PDF-MASINE/G1000-Mali_Kekeisen/164711.PDF" TargetMode="External"/><Relationship Id="rId186" Type="http://schemas.openxmlformats.org/officeDocument/2006/relationships/hyperlink" Target="PDF-MASINE/G1000-Mali_Kekeisen/176361%20KLTNBCH%20Sockel%200-6501-030000%20P16" TargetMode="External"/><Relationship Id="rId211" Type="http://schemas.openxmlformats.org/officeDocument/2006/relationships/hyperlink" Target="PDF-MASINE/G1000-Mali_Kekeisen/176385%20KLTNBCH%20Sockel%200-6501-030000%20P50" TargetMode="External"/><Relationship Id="rId232" Type="http://schemas.openxmlformats.org/officeDocument/2006/relationships/ctrlProp" Target="../ctrlProps/ctrlProp7.xml"/><Relationship Id="rId27" Type="http://schemas.openxmlformats.org/officeDocument/2006/relationships/hyperlink" Target="PDF-MASINE/G1000-Mali_Kekeisen/131373.pdf" TargetMode="External"/><Relationship Id="rId48" Type="http://schemas.openxmlformats.org/officeDocument/2006/relationships/hyperlink" Target="PDF-MASINE/G1000-Mali_Kekeisen/137939.pdf" TargetMode="External"/><Relationship Id="rId69" Type="http://schemas.openxmlformats.org/officeDocument/2006/relationships/hyperlink" Target="PDF-MASINE/G1000-Mali_Kekeisen/141387.pdf" TargetMode="External"/><Relationship Id="rId113" Type="http://schemas.openxmlformats.org/officeDocument/2006/relationships/hyperlink" Target="PDF-MASINE/G1000-Mali_Kekeisen/153087.PDF" TargetMode="External"/><Relationship Id="rId134" Type="http://schemas.openxmlformats.org/officeDocument/2006/relationships/hyperlink" Target="PDF-MASINE/G1000-Mali_Kekeisen/154763.pdf" TargetMode="External"/><Relationship Id="rId80" Type="http://schemas.openxmlformats.org/officeDocument/2006/relationships/hyperlink" Target="PDF-MASINE/G1000-Mali_Kekeisen/144330.pdf" TargetMode="External"/><Relationship Id="rId155" Type="http://schemas.openxmlformats.org/officeDocument/2006/relationships/hyperlink" Target="PDF-MASINE/G1000-Mali_Kekeisen/163521.PDF" TargetMode="External"/><Relationship Id="rId176" Type="http://schemas.openxmlformats.org/officeDocument/2006/relationships/hyperlink" Target="PDF-MASINE/G1000-Mali_Kekeisen/176350%20KLTNBCH%20Sockel%200-6501-030000%20P1" TargetMode="External"/><Relationship Id="rId197" Type="http://schemas.openxmlformats.org/officeDocument/2006/relationships/hyperlink" Target="PDF-MASINE/G1000-Mali_Kekeisen/176372%20KLTNBCH%20Sockel%200-6501-030000%20P32" TargetMode="External"/><Relationship Id="rId201" Type="http://schemas.openxmlformats.org/officeDocument/2006/relationships/hyperlink" Target="PDF-MASINE/G1000-Mali_Kekeisen/176376%20%20KLTNBCH%20Sockel%200-6501-030000%20P40" TargetMode="External"/><Relationship Id="rId222" Type="http://schemas.openxmlformats.org/officeDocument/2006/relationships/hyperlink" Target="PDF-MASINE/G1000-Mali_Kekeisen/Thumbs.db" TargetMode="External"/><Relationship Id="rId17" Type="http://schemas.openxmlformats.org/officeDocument/2006/relationships/hyperlink" Target="PDF-MASINE/G1000-Mali_Kekeisen/122924.pdf" TargetMode="External"/><Relationship Id="rId38" Type="http://schemas.openxmlformats.org/officeDocument/2006/relationships/hyperlink" Target="PDF-MASINE/G1000-Mali_Kekeisen/137880.pdf" TargetMode="External"/><Relationship Id="rId59" Type="http://schemas.openxmlformats.org/officeDocument/2006/relationships/hyperlink" Target="PDF-MASINE/G1000-Mali_Kekeisen/139611.pdf" TargetMode="External"/><Relationship Id="rId103" Type="http://schemas.openxmlformats.org/officeDocument/2006/relationships/hyperlink" Target="PDF-MASINE/G1000-Mali_Kekeisen/151177.pdf" TargetMode="External"/><Relationship Id="rId124" Type="http://schemas.openxmlformats.org/officeDocument/2006/relationships/hyperlink" Target="PDF-MASINE/G1000-Mali_Kekeisen/153784.pdf" TargetMode="External"/><Relationship Id="rId70" Type="http://schemas.openxmlformats.org/officeDocument/2006/relationships/hyperlink" Target="PDF-MASINE/G1000-Mali_Kekeisen/141400.pdf" TargetMode="External"/><Relationship Id="rId91" Type="http://schemas.openxmlformats.org/officeDocument/2006/relationships/hyperlink" Target="PDF-MASINE/G1000-Mali_Kekeisen/150159.pdf" TargetMode="External"/><Relationship Id="rId145" Type="http://schemas.openxmlformats.org/officeDocument/2006/relationships/hyperlink" Target="PDF-MASINE/G1000-Mali_Kekeisen/159010.pdf" TargetMode="External"/><Relationship Id="rId166" Type="http://schemas.openxmlformats.org/officeDocument/2006/relationships/hyperlink" Target="PDF-MASINE/G1000-Mali_Kekeisen/164712.PDF" TargetMode="External"/><Relationship Id="rId187" Type="http://schemas.openxmlformats.org/officeDocument/2006/relationships/hyperlink" Target="PDF-MASINE/G1000-Mali_Kekeisen/176362%20%20KLTNBCH%20Sockel%200-6501-030000%20P17" TargetMode="External"/><Relationship Id="rId1" Type="http://schemas.openxmlformats.org/officeDocument/2006/relationships/hyperlink" Target="PDF-MASINE/G1000-Mali_Kekeisen/101174.pdf" TargetMode="External"/><Relationship Id="rId212" Type="http://schemas.openxmlformats.org/officeDocument/2006/relationships/hyperlink" Target="PDF-MASINE/G1000-Mali_Kekeisen/176386%20KLTNBCH%20Sockel%200-6501-030000%20P53" TargetMode="External"/><Relationship Id="rId233" Type="http://schemas.openxmlformats.org/officeDocument/2006/relationships/ctrlProp" Target="../ctrlProps/ctrlProp8.xml"/><Relationship Id="rId28" Type="http://schemas.openxmlformats.org/officeDocument/2006/relationships/hyperlink" Target="PDF-MASINE/G1000-Mali_Kekeisen/131411.pdf" TargetMode="External"/><Relationship Id="rId49" Type="http://schemas.openxmlformats.org/officeDocument/2006/relationships/hyperlink" Target="PDF-MASINE/G1000-Mali_Kekeisen/137940.pdf" TargetMode="External"/><Relationship Id="rId114" Type="http://schemas.openxmlformats.org/officeDocument/2006/relationships/hyperlink" Target="PDF-MASINE/G1000-Mali_Kekeisen/153137.pdf" TargetMode="External"/><Relationship Id="rId60" Type="http://schemas.openxmlformats.org/officeDocument/2006/relationships/hyperlink" Target="PDF-MASINE/G1000-Mali_Kekeisen/139615.pdf" TargetMode="External"/><Relationship Id="rId81" Type="http://schemas.openxmlformats.org/officeDocument/2006/relationships/hyperlink" Target="PDF-MASINE/G1000-Mali_Kekeisen/144717.pdf" TargetMode="External"/><Relationship Id="rId135" Type="http://schemas.openxmlformats.org/officeDocument/2006/relationships/hyperlink" Target="PDF-MASINE/G1000-Mali_Kekeisen/154885.pdf" TargetMode="External"/><Relationship Id="rId156" Type="http://schemas.openxmlformats.org/officeDocument/2006/relationships/hyperlink" Target="PDF-MASINE/G1000-Mali_Kekeisen/164036.PDF" TargetMode="External"/><Relationship Id="rId177" Type="http://schemas.openxmlformats.org/officeDocument/2006/relationships/hyperlink" Target="PDF-MASINE/G1000-Mali_Kekeisen/176351%20KLTNBCH%20Sockel%200-6501-030000%20P2" TargetMode="External"/><Relationship Id="rId198" Type="http://schemas.openxmlformats.org/officeDocument/2006/relationships/hyperlink" Target="PDF-MASINE/G1000-Mali_Kekeisen/176373%20KLTNBCH%20Sockel%200-6501-030000%20P33" TargetMode="External"/><Relationship Id="rId202" Type="http://schemas.openxmlformats.org/officeDocument/2006/relationships/hyperlink" Target="PDF-MASINE/G1000-Mali_Kekeisen/176377%20KLTNBCH%20Sockel%200-6501-030000%20P41" TargetMode="External"/><Relationship Id="rId223" Type="http://schemas.openxmlformats.org/officeDocument/2006/relationships/printerSettings" Target="../printerSettings/printerSettings1.bin"/><Relationship Id="rId18" Type="http://schemas.openxmlformats.org/officeDocument/2006/relationships/hyperlink" Target="PDF-MASINE/G1000-Mali_Kekeisen/122925.pdf" TargetMode="External"/><Relationship Id="rId39" Type="http://schemas.openxmlformats.org/officeDocument/2006/relationships/hyperlink" Target="PDF-MASINE/G1000-Mali_Kekeisen/137881.pdf" TargetMode="External"/><Relationship Id="rId50" Type="http://schemas.openxmlformats.org/officeDocument/2006/relationships/hyperlink" Target="PDF-MASINE/G1000-Mali_Kekeisen/137941.pdf" TargetMode="External"/><Relationship Id="rId104" Type="http://schemas.openxmlformats.org/officeDocument/2006/relationships/hyperlink" Target="PDF-MASINE/G1000-Mali_Kekeisen/151241.pdf" TargetMode="External"/><Relationship Id="rId125" Type="http://schemas.openxmlformats.org/officeDocument/2006/relationships/hyperlink" Target="PDF-MASINE/G1000-Mali_Kekeisen/154137.PDF" TargetMode="External"/><Relationship Id="rId146" Type="http://schemas.openxmlformats.org/officeDocument/2006/relationships/hyperlink" Target="PDF-MASINE/G1000-Mali_Kekeisen/159011.pdf" TargetMode="External"/><Relationship Id="rId167" Type="http://schemas.openxmlformats.org/officeDocument/2006/relationships/hyperlink" Target="PDF-MASINE/G1000-Mali_Kekeisen/165175.PDF" TargetMode="External"/><Relationship Id="rId188" Type="http://schemas.openxmlformats.org/officeDocument/2006/relationships/hyperlink" Target="PDF-MASINE/G1000-Mali_Kekeisen/176363%20KLTNBCH%20Sockel%200-6501-030000%20P18" TargetMode="External"/><Relationship Id="rId71" Type="http://schemas.openxmlformats.org/officeDocument/2006/relationships/hyperlink" Target="PDF-MASINE/G1000-Mali_Kekeisen/141577.pdf" TargetMode="External"/><Relationship Id="rId92" Type="http://schemas.openxmlformats.org/officeDocument/2006/relationships/hyperlink" Target="PDF-MASINE/G1000-Mali_Kekeisen/150174.pdf" TargetMode="External"/><Relationship Id="rId213" Type="http://schemas.openxmlformats.org/officeDocument/2006/relationships/hyperlink" Target="PDF-MASINE/G1000-Mali_Kekeisen/176387%20KLTNBCH%20Sockel%200-6501-030000%20P51" TargetMode="External"/><Relationship Id="rId234" Type="http://schemas.openxmlformats.org/officeDocument/2006/relationships/ctrlProp" Target="../ctrlProps/ctrlProp9.xml"/><Relationship Id="rId2" Type="http://schemas.openxmlformats.org/officeDocument/2006/relationships/hyperlink" Target="PDF-MASINE/G1000-Mali_Kekeisen/105997.pdf" TargetMode="External"/><Relationship Id="rId29" Type="http://schemas.openxmlformats.org/officeDocument/2006/relationships/hyperlink" Target="PDF-MASINE/G1000-Mali_Kekeisen/131412.pdf" TargetMode="External"/><Relationship Id="rId40" Type="http://schemas.openxmlformats.org/officeDocument/2006/relationships/hyperlink" Target="PDF-MASINE/G1000-Mali_Kekeisen/137917.pdf" TargetMode="External"/><Relationship Id="rId115" Type="http://schemas.openxmlformats.org/officeDocument/2006/relationships/hyperlink" Target="PDF-MASINE/G1000-Mali_Kekeisen/153476.pdf" TargetMode="External"/><Relationship Id="rId136" Type="http://schemas.openxmlformats.org/officeDocument/2006/relationships/hyperlink" Target="PDF-MASINE/G1000-Mali_Kekeisen/155372.PDF" TargetMode="External"/><Relationship Id="rId157" Type="http://schemas.openxmlformats.org/officeDocument/2006/relationships/hyperlink" Target="PDF-MASINE/G1000-Mali_Kekeisen/164039.pdf" TargetMode="External"/><Relationship Id="rId178" Type="http://schemas.openxmlformats.org/officeDocument/2006/relationships/hyperlink" Target="PDF-MASINE/G1000-Mali_Kekeisen/176353%20KLTNBCH%20Sockel%200-6501-030000%20P3" TargetMode="External"/><Relationship Id="rId61" Type="http://schemas.openxmlformats.org/officeDocument/2006/relationships/hyperlink" Target="PDF-MASINE/G1000-Mali_Kekeisen/139618.pdf" TargetMode="External"/><Relationship Id="rId82" Type="http://schemas.openxmlformats.org/officeDocument/2006/relationships/hyperlink" Target="PDF-MASINE/G1000-Mali_Kekeisen/145988.PDF" TargetMode="External"/><Relationship Id="rId199" Type="http://schemas.openxmlformats.org/officeDocument/2006/relationships/hyperlink" Target="PDF-MASINE/G1000-Mali_Kekeisen/176374%20KLTNBCH%20Sockel%200-6501-030000%20P34" TargetMode="External"/><Relationship Id="rId203" Type="http://schemas.openxmlformats.org/officeDocument/2006/relationships/hyperlink" Target="PDF-MASINE/G1000-Mali_Kekeisen/176378%20KLTNBCH%20Sockel%200-6501-030000%20P42" TargetMode="External"/><Relationship Id="rId19" Type="http://schemas.openxmlformats.org/officeDocument/2006/relationships/hyperlink" Target="PDF-MASINE/G1000-Mali_Kekeisen/124294.pdf" TargetMode="External"/><Relationship Id="rId224" Type="http://schemas.openxmlformats.org/officeDocument/2006/relationships/drawing" Target="../drawings/drawing1.xml"/><Relationship Id="rId30" Type="http://schemas.openxmlformats.org/officeDocument/2006/relationships/hyperlink" Target="PDF-MASINE/G1000-Mali_Kekeisen/131782.pdf" TargetMode="External"/><Relationship Id="rId105" Type="http://schemas.openxmlformats.org/officeDocument/2006/relationships/hyperlink" Target="PDF-MASINE/G1000-Mali_Kekeisen/151297.pdf" TargetMode="External"/><Relationship Id="rId126" Type="http://schemas.openxmlformats.org/officeDocument/2006/relationships/hyperlink" Target="PDF-MASINE/G1000-Mali_Kekeisen/154382.PDF" TargetMode="External"/><Relationship Id="rId147" Type="http://schemas.openxmlformats.org/officeDocument/2006/relationships/hyperlink" Target="PDF-MASINE/G1000-Mali_Kekeisen/160066.PDF" TargetMode="External"/><Relationship Id="rId168" Type="http://schemas.openxmlformats.org/officeDocument/2006/relationships/hyperlink" Target="PDF-MASINE/G1000-Mali_Kekeisen/165248.PDF" TargetMode="External"/><Relationship Id="rId51" Type="http://schemas.openxmlformats.org/officeDocument/2006/relationships/hyperlink" Target="PDF-MASINE/G1000-Mali_Kekeisen/138053.PDF" TargetMode="External"/><Relationship Id="rId72" Type="http://schemas.openxmlformats.org/officeDocument/2006/relationships/hyperlink" Target="PDF-MASINE/G1000-Mali_Kekeisen/141616.PDF" TargetMode="External"/><Relationship Id="rId93" Type="http://schemas.openxmlformats.org/officeDocument/2006/relationships/hyperlink" Target="PDF-MASINE/G1000-Mali_Kekeisen/150175.pdf" TargetMode="External"/><Relationship Id="rId189" Type="http://schemas.openxmlformats.org/officeDocument/2006/relationships/hyperlink" Target="PDF-MASINE/G1000-Mali_Kekeisen/176364%20KLTNBCH%20Sockel%200-6501-030000%20P19" TargetMode="External"/><Relationship Id="rId3" Type="http://schemas.openxmlformats.org/officeDocument/2006/relationships/hyperlink" Target="PDF-MASINE/G1000-Mali_Kekeisen/105998.pdf" TargetMode="External"/><Relationship Id="rId214" Type="http://schemas.openxmlformats.org/officeDocument/2006/relationships/hyperlink" Target="PDF-MASINE/G1000-Mali_Kekeisen/176388%20KLTNBCH%20Sockel%200-6501-030000%20P55" TargetMode="External"/><Relationship Id="rId235" Type="http://schemas.openxmlformats.org/officeDocument/2006/relationships/ctrlProp" Target="../ctrlProps/ctrlProp10.xml"/><Relationship Id="rId116" Type="http://schemas.openxmlformats.org/officeDocument/2006/relationships/hyperlink" Target="PDF-MASINE/G1000-Mali_Kekeisen/153477.pdf" TargetMode="External"/><Relationship Id="rId137" Type="http://schemas.openxmlformats.org/officeDocument/2006/relationships/hyperlink" Target="PDF-MASINE/G1000-Mali_Kekeisen/155381.PDF" TargetMode="External"/><Relationship Id="rId158" Type="http://schemas.openxmlformats.org/officeDocument/2006/relationships/hyperlink" Target="PDF-MASINE/G1000-Mali_Kekeisen/164043.PDF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12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3">
    <pageSetUpPr fitToPage="1"/>
  </sheetPr>
  <dimension ref="A1:XFC554"/>
  <sheetViews>
    <sheetView zoomScale="89" zoomScaleNormal="89" workbookViewId="0">
      <pane ySplit="4" topLeftCell="A5" activePane="bottomLeft" state="frozen"/>
      <selection pane="bottomLeft" activeCell="F10" sqref="F10"/>
    </sheetView>
  </sheetViews>
  <sheetFormatPr defaultColWidth="0" defaultRowHeight="14.5" x14ac:dyDescent="0.35"/>
  <cols>
    <col min="1" max="1" width="5.54296875" bestFit="1" customWidth="1"/>
    <col min="2" max="2" width="7.7265625" hidden="1" customWidth="1"/>
    <col min="3" max="3" width="10.26953125" bestFit="1" customWidth="1"/>
    <col min="4" max="4" width="6.81640625" customWidth="1"/>
    <col min="5" max="5" width="10.26953125" bestFit="1" customWidth="1"/>
    <col min="6" max="6" width="59.54296875" bestFit="1" customWidth="1"/>
    <col min="7" max="7" width="7.54296875" customWidth="1"/>
    <col min="8" max="8" width="4" customWidth="1"/>
    <col min="9" max="10" width="10" hidden="1" customWidth="1"/>
    <col min="11" max="11" width="10" style="6" bestFit="1" customWidth="1"/>
    <col min="12" max="12" width="29.54296875" customWidth="1"/>
    <col min="13" max="13" width="20.453125" hidden="1" customWidth="1"/>
    <col min="14" max="14" width="12.81640625" style="3" customWidth="1"/>
    <col min="15" max="15" width="9.81640625" style="8" bestFit="1" customWidth="1"/>
    <col min="16" max="16" width="10.81640625" style="30" bestFit="1" customWidth="1"/>
    <col min="17" max="17" width="21.54296875" style="2" customWidth="1"/>
    <col min="18" max="18" width="23.81640625" style="2" bestFit="1" customWidth="1"/>
    <col min="19" max="19" width="9.81640625" style="8" bestFit="1" customWidth="1"/>
    <col min="20" max="20" width="11" style="32" bestFit="1" customWidth="1"/>
    <col min="21" max="21" width="9" customWidth="1"/>
    <col min="22" max="26" width="1.7265625" hidden="1" customWidth="1"/>
    <col min="27" max="27" width="1.7265625" style="6" hidden="1" customWidth="1"/>
    <col min="28" max="58" width="7.7265625" hidden="1"/>
    <col min="59" max="16383" width="9.1796875" hidden="1"/>
    <col min="16384" max="16384" width="1.7265625" hidden="1"/>
  </cols>
  <sheetData>
    <row r="1" spans="1:27" s="37" customFormat="1" ht="21" x14ac:dyDescent="0.5">
      <c r="A1" s="74"/>
      <c r="B1" s="12"/>
      <c r="C1" s="12"/>
      <c r="D1" s="12"/>
      <c r="E1" s="12"/>
      <c r="F1" s="12"/>
      <c r="G1" s="12"/>
      <c r="H1" s="12"/>
      <c r="I1" s="12"/>
      <c r="J1" s="13"/>
      <c r="K1" s="50" t="b">
        <v>0</v>
      </c>
      <c r="L1" s="51" t="s">
        <v>433</v>
      </c>
      <c r="M1" s="12"/>
      <c r="N1" s="14"/>
      <c r="O1" s="35"/>
      <c r="P1" s="14"/>
      <c r="Q1" s="31" t="s">
        <v>202</v>
      </c>
      <c r="R1" s="53">
        <f ca="1">TODAY()</f>
        <v>45805</v>
      </c>
      <c r="S1" s="34"/>
      <c r="T1" s="36">
        <f>SUMIF(N:N,"&gt;0",O:O)</f>
        <v>16.621597222158286</v>
      </c>
      <c r="U1" s="12"/>
      <c r="AA1" s="39">
        <v>101174</v>
      </c>
    </row>
    <row r="2" spans="1:27" ht="21" x14ac:dyDescent="0.5">
      <c r="A2" s="52"/>
      <c r="B2" s="12"/>
      <c r="C2" s="12"/>
      <c r="D2" s="12"/>
      <c r="E2" s="12"/>
      <c r="F2" s="12"/>
      <c r="G2" s="12"/>
      <c r="H2" s="12"/>
      <c r="I2" s="12"/>
      <c r="J2" s="13"/>
      <c r="K2" s="50" t="b">
        <v>0</v>
      </c>
      <c r="L2" s="51" t="s">
        <v>434</v>
      </c>
      <c r="M2" s="12"/>
      <c r="N2" s="14"/>
      <c r="O2" s="55">
        <v>20</v>
      </c>
      <c r="P2" s="14"/>
      <c r="Q2" s="31" t="s">
        <v>203</v>
      </c>
      <c r="R2" s="33">
        <v>0.29166666666666669</v>
      </c>
      <c r="S2" s="34"/>
      <c r="T2" s="36"/>
      <c r="U2" s="12"/>
      <c r="AA2" s="40">
        <v>105997</v>
      </c>
    </row>
    <row r="3" spans="1:27" ht="21" x14ac:dyDescent="0.5">
      <c r="A3" s="52"/>
      <c r="B3" s="12"/>
      <c r="C3" s="12"/>
      <c r="D3" s="12"/>
      <c r="E3" s="12"/>
      <c r="F3" s="12"/>
      <c r="G3" s="12"/>
      <c r="H3" s="12"/>
      <c r="I3" s="12"/>
      <c r="J3" s="13"/>
      <c r="K3" s="50" t="b">
        <v>1</v>
      </c>
      <c r="L3" s="51" t="s">
        <v>612</v>
      </c>
      <c r="M3" s="12"/>
      <c r="N3" s="14"/>
      <c r="O3" s="35"/>
      <c r="P3" s="14"/>
      <c r="Q3" s="31" t="s">
        <v>196</v>
      </c>
      <c r="R3" s="15">
        <f ca="1">R1+R2</f>
        <v>45805.291666666664</v>
      </c>
      <c r="S3" s="34"/>
      <c r="T3" s="38"/>
      <c r="U3" s="12"/>
      <c r="AA3" s="40">
        <v>105998</v>
      </c>
    </row>
    <row r="4" spans="1:27" ht="26" x14ac:dyDescent="0.35">
      <c r="A4" s="57" t="s">
        <v>204</v>
      </c>
      <c r="B4" s="58" t="s">
        <v>195</v>
      </c>
      <c r="C4" s="57" t="s">
        <v>182</v>
      </c>
      <c r="D4" s="57" t="s">
        <v>183</v>
      </c>
      <c r="E4" s="57" t="s">
        <v>0</v>
      </c>
      <c r="F4" s="57" t="s">
        <v>184</v>
      </c>
      <c r="G4" s="57" t="s">
        <v>185</v>
      </c>
      <c r="H4" s="57" t="s">
        <v>186</v>
      </c>
      <c r="I4" s="57" t="s">
        <v>187</v>
      </c>
      <c r="J4" s="66" t="s">
        <v>188</v>
      </c>
      <c r="K4" s="57" t="s">
        <v>189</v>
      </c>
      <c r="L4" s="57" t="s">
        <v>190</v>
      </c>
      <c r="M4" s="57" t="s">
        <v>191</v>
      </c>
      <c r="N4" s="67" t="s">
        <v>192</v>
      </c>
      <c r="O4" s="68" t="s">
        <v>197</v>
      </c>
      <c r="P4" s="69" t="s">
        <v>574</v>
      </c>
      <c r="Q4" s="70" t="s">
        <v>209</v>
      </c>
      <c r="R4" s="71">
        <f ca="1">R3</f>
        <v>45805.291666666664</v>
      </c>
      <c r="S4" s="60" t="s">
        <v>200</v>
      </c>
      <c r="T4" s="61" t="s">
        <v>208</v>
      </c>
      <c r="U4" s="59" t="s">
        <v>355</v>
      </c>
      <c r="AA4" s="48">
        <v>106000</v>
      </c>
    </row>
    <row r="5" spans="1:27" s="23" customFormat="1" x14ac:dyDescent="0.35">
      <c r="A5" s="54">
        <v>0</v>
      </c>
      <c r="C5" s="23">
        <v>1020511</v>
      </c>
      <c r="D5" s="23">
        <v>1</v>
      </c>
      <c r="E5" s="23">
        <v>1020519</v>
      </c>
      <c r="F5" s="23" t="s">
        <v>1769</v>
      </c>
      <c r="G5" s="5">
        <v>15</v>
      </c>
      <c r="H5" s="23">
        <v>1</v>
      </c>
      <c r="I5" s="23">
        <v>0</v>
      </c>
      <c r="J5" s="23">
        <v>0</v>
      </c>
      <c r="K5" s="23" t="s">
        <v>24</v>
      </c>
      <c r="L5" s="23" t="s">
        <v>597</v>
      </c>
      <c r="M5" s="23" t="s">
        <v>1977</v>
      </c>
      <c r="N5" s="24">
        <v>45849</v>
      </c>
      <c r="O5" s="28">
        <v>1.0416666666666666E-2</v>
      </c>
      <c r="P5" s="3">
        <v>45819</v>
      </c>
      <c r="Q5" s="62">
        <v>45816.007013888899</v>
      </c>
      <c r="R5" s="72">
        <v>45816.017430555563</v>
      </c>
      <c r="S5" s="25">
        <v>1.7361111111111112E-2</v>
      </c>
      <c r="T5" s="63">
        <v>2.999930555546598</v>
      </c>
      <c r="U5" s="47">
        <f>IFERROR(INDEX(NOVO!O:O,MATCH(PRINT!E531,NOVO!C:C,0)),"")</f>
        <v>231678</v>
      </c>
      <c r="AA5" s="49">
        <v>110918</v>
      </c>
    </row>
    <row r="6" spans="1:27" s="23" customFormat="1" x14ac:dyDescent="0.35">
      <c r="A6" s="54">
        <v>0</v>
      </c>
      <c r="C6" s="23">
        <v>1020511</v>
      </c>
      <c r="D6" s="23">
        <v>1</v>
      </c>
      <c r="E6" s="23">
        <v>1020522</v>
      </c>
      <c r="F6" s="23" t="s">
        <v>1453</v>
      </c>
      <c r="G6" s="5">
        <v>15</v>
      </c>
      <c r="H6" s="23">
        <v>1</v>
      </c>
      <c r="I6" s="23">
        <v>0</v>
      </c>
      <c r="J6" s="23">
        <v>0</v>
      </c>
      <c r="K6" s="23" t="s">
        <v>24</v>
      </c>
      <c r="L6" s="23" t="s">
        <v>597</v>
      </c>
      <c r="M6" s="23" t="s">
        <v>1977</v>
      </c>
      <c r="N6" s="24">
        <v>45849</v>
      </c>
      <c r="O6" s="28">
        <v>1.0416666666666666E-2</v>
      </c>
      <c r="P6" s="3">
        <v>45819</v>
      </c>
      <c r="Q6" s="62">
        <v>45815.996597222234</v>
      </c>
      <c r="R6" s="72">
        <v>45816.007013888899</v>
      </c>
      <c r="S6" s="25">
        <v>6.9444444444444441E-3</v>
      </c>
      <c r="T6" s="63">
        <v>2.999930555546598</v>
      </c>
      <c r="U6" s="47">
        <f>IFERROR(INDEX(NOVO!O:O,MATCH(PRINT!E530,NOVO!C:C,0)),"")</f>
        <v>175901</v>
      </c>
      <c r="AA6" s="49">
        <v>110954</v>
      </c>
    </row>
    <row r="7" spans="1:27" s="23" customFormat="1" x14ac:dyDescent="0.35">
      <c r="A7" s="54">
        <v>0</v>
      </c>
      <c r="C7" s="23">
        <v>1020511</v>
      </c>
      <c r="D7" s="23">
        <v>1</v>
      </c>
      <c r="E7" s="23">
        <v>1020521</v>
      </c>
      <c r="F7" s="23" t="s">
        <v>1454</v>
      </c>
      <c r="G7" s="5">
        <v>13</v>
      </c>
      <c r="H7" s="23">
        <v>1</v>
      </c>
      <c r="I7" s="23">
        <v>0</v>
      </c>
      <c r="J7" s="23">
        <v>0</v>
      </c>
      <c r="K7" s="23" t="s">
        <v>24</v>
      </c>
      <c r="L7" s="23" t="s">
        <v>597</v>
      </c>
      <c r="M7" s="23" t="s">
        <v>1977</v>
      </c>
      <c r="N7" s="24">
        <v>45849</v>
      </c>
      <c r="O7" s="28">
        <v>9.0277777777777769E-3</v>
      </c>
      <c r="P7" s="3">
        <v>45819</v>
      </c>
      <c r="Q7" s="62">
        <v>45815.987569444456</v>
      </c>
      <c r="R7" s="72">
        <v>45815.996597222234</v>
      </c>
      <c r="S7" s="25">
        <v>0.99652777777777779</v>
      </c>
      <c r="T7" s="63">
        <v>3.999930555546598</v>
      </c>
      <c r="U7" s="47">
        <f>IFERROR(INDEX(NOVO!O:O,MATCH(PRINT!E529,NOVO!C:C,0)),"")</f>
        <v>175901</v>
      </c>
      <c r="AA7" s="49">
        <v>110958</v>
      </c>
    </row>
    <row r="8" spans="1:27" s="23" customFormat="1" x14ac:dyDescent="0.35">
      <c r="A8" s="54">
        <v>0</v>
      </c>
      <c r="C8" s="23">
        <v>1020511</v>
      </c>
      <c r="D8" s="23">
        <v>1</v>
      </c>
      <c r="E8" s="23">
        <v>1020520</v>
      </c>
      <c r="F8" s="23" t="s">
        <v>1768</v>
      </c>
      <c r="G8" s="5">
        <v>15</v>
      </c>
      <c r="H8" s="23">
        <v>1</v>
      </c>
      <c r="I8" s="23">
        <v>0</v>
      </c>
      <c r="J8" s="23">
        <v>0</v>
      </c>
      <c r="K8" s="23" t="s">
        <v>24</v>
      </c>
      <c r="L8" s="23" t="s">
        <v>597</v>
      </c>
      <c r="M8" s="23" t="s">
        <v>1977</v>
      </c>
      <c r="N8" s="24">
        <v>45849</v>
      </c>
      <c r="O8" s="28">
        <v>1.0416666666666666E-2</v>
      </c>
      <c r="P8" s="3">
        <v>45819</v>
      </c>
      <c r="Q8" s="62">
        <v>45815.977152777792</v>
      </c>
      <c r="R8" s="72">
        <v>45815.987569444456</v>
      </c>
      <c r="S8" s="25">
        <v>0.98750000000000004</v>
      </c>
      <c r="T8" s="63">
        <v>3.999930555546598</v>
      </c>
      <c r="U8" s="47">
        <f>IFERROR(INDEX(NOVO!O:O,MATCH(PRINT!E528,NOVO!C:C,0)),"")</f>
        <v>232110</v>
      </c>
      <c r="AA8" s="49">
        <v>110967</v>
      </c>
    </row>
    <row r="9" spans="1:27" s="23" customFormat="1" x14ac:dyDescent="0.35">
      <c r="A9" s="54">
        <v>0</v>
      </c>
      <c r="C9" s="23">
        <v>1020330</v>
      </c>
      <c r="D9" s="23">
        <v>1</v>
      </c>
      <c r="E9" s="23">
        <v>1020376</v>
      </c>
      <c r="F9" s="23" t="s">
        <v>255</v>
      </c>
      <c r="G9" s="5">
        <v>30</v>
      </c>
      <c r="H9" s="23">
        <v>1</v>
      </c>
      <c r="I9" s="23">
        <v>0</v>
      </c>
      <c r="J9" s="23">
        <v>0</v>
      </c>
      <c r="K9" s="23" t="s">
        <v>24</v>
      </c>
      <c r="L9" s="23" t="s">
        <v>597</v>
      </c>
      <c r="M9" s="23" t="s">
        <v>1976</v>
      </c>
      <c r="N9" s="24">
        <v>45838</v>
      </c>
      <c r="O9" s="28">
        <v>2.0833333333333332E-2</v>
      </c>
      <c r="P9" s="3">
        <v>45819</v>
      </c>
      <c r="Q9" s="62">
        <v>45815.956319444456</v>
      </c>
      <c r="R9" s="72">
        <v>45815.977152777792</v>
      </c>
      <c r="S9" s="25">
        <v>0.9770833333333333</v>
      </c>
      <c r="T9" s="63">
        <v>3.9999305555393221</v>
      </c>
      <c r="U9" s="47" t="str">
        <f>IFERROR(INDEX(NOVO!O:O,MATCH(PRINT!E527,NOVO!C:C,0)),"")</f>
        <v/>
      </c>
      <c r="AA9" s="49">
        <v>110968</v>
      </c>
    </row>
    <row r="10" spans="1:27" s="23" customFormat="1" x14ac:dyDescent="0.35">
      <c r="A10" s="54">
        <v>0</v>
      </c>
      <c r="C10" s="23">
        <v>1020330</v>
      </c>
      <c r="D10" s="23">
        <v>1</v>
      </c>
      <c r="E10" s="23">
        <v>1020375</v>
      </c>
      <c r="F10" s="23" t="s">
        <v>254</v>
      </c>
      <c r="G10" s="5">
        <v>30</v>
      </c>
      <c r="H10" s="23">
        <v>1</v>
      </c>
      <c r="I10" s="23">
        <v>0</v>
      </c>
      <c r="J10" s="23">
        <v>0</v>
      </c>
      <c r="K10" s="23" t="s">
        <v>24</v>
      </c>
      <c r="L10" s="23" t="s">
        <v>597</v>
      </c>
      <c r="M10" s="23" t="s">
        <v>1976</v>
      </c>
      <c r="N10" s="24">
        <v>45838</v>
      </c>
      <c r="O10" s="28">
        <v>2.0833333333333332E-2</v>
      </c>
      <c r="P10" s="3">
        <v>45819</v>
      </c>
      <c r="Q10" s="62">
        <v>45815.935486111121</v>
      </c>
      <c r="R10" s="72">
        <v>45815.956319444456</v>
      </c>
      <c r="S10" s="25">
        <v>0.95625000000000004</v>
      </c>
      <c r="T10" s="63">
        <v>3.999930555546598</v>
      </c>
      <c r="U10" s="47">
        <f>IFERROR(INDEX(NOVO!O:O,MATCH(PRINT!E526,NOVO!C:C,0)),"")</f>
        <v>232110</v>
      </c>
      <c r="AA10" s="49">
        <v>111871</v>
      </c>
    </row>
    <row r="11" spans="1:27" s="23" customFormat="1" x14ac:dyDescent="0.35">
      <c r="A11" s="54">
        <v>0</v>
      </c>
      <c r="C11" s="23">
        <v>1027392</v>
      </c>
      <c r="D11" s="23">
        <v>1</v>
      </c>
      <c r="E11" s="23">
        <v>1027402</v>
      </c>
      <c r="F11" s="23" t="s">
        <v>1975</v>
      </c>
      <c r="G11" s="5">
        <v>40</v>
      </c>
      <c r="H11" s="23">
        <v>1</v>
      </c>
      <c r="I11" s="23">
        <v>0</v>
      </c>
      <c r="J11" s="23">
        <v>0</v>
      </c>
      <c r="K11" s="23" t="s">
        <v>24</v>
      </c>
      <c r="L11" s="23" t="s">
        <v>597</v>
      </c>
      <c r="M11" s="23" t="s">
        <v>1974</v>
      </c>
      <c r="N11" s="24">
        <v>45846</v>
      </c>
      <c r="O11" s="28">
        <v>2.7777777777777776E-2</v>
      </c>
      <c r="P11" s="3">
        <v>45818</v>
      </c>
      <c r="Q11" s="62">
        <v>45815.90770833334</v>
      </c>
      <c r="R11" s="72">
        <v>45815.935486111121</v>
      </c>
      <c r="S11" s="25">
        <v>0.93541666666666667</v>
      </c>
      <c r="T11" s="63">
        <v>2.999930555546598</v>
      </c>
      <c r="U11" s="47">
        <f>IFERROR(INDEX(NOVO!O:O,MATCH(PRINT!E525,NOVO!C:C,0)),"")</f>
        <v>232109</v>
      </c>
      <c r="AA11" s="49">
        <v>116382</v>
      </c>
    </row>
    <row r="12" spans="1:27" s="23" customFormat="1" x14ac:dyDescent="0.35">
      <c r="A12" s="54">
        <v>0</v>
      </c>
      <c r="C12" s="23">
        <v>1027392</v>
      </c>
      <c r="D12" s="23">
        <v>1</v>
      </c>
      <c r="E12" s="23">
        <v>1027397</v>
      </c>
      <c r="F12" s="23" t="s">
        <v>1973</v>
      </c>
      <c r="G12" s="5">
        <v>60</v>
      </c>
      <c r="H12" s="23">
        <v>1</v>
      </c>
      <c r="I12" s="23">
        <v>0</v>
      </c>
      <c r="J12" s="23">
        <v>0</v>
      </c>
      <c r="K12" s="23" t="s">
        <v>24</v>
      </c>
      <c r="L12" s="23" t="s">
        <v>597</v>
      </c>
      <c r="M12" s="23" t="s">
        <v>1974</v>
      </c>
      <c r="N12" s="24">
        <v>45846</v>
      </c>
      <c r="O12" s="28">
        <v>4.1666666666666664E-2</v>
      </c>
      <c r="P12" s="3">
        <v>45818</v>
      </c>
      <c r="Q12" s="62">
        <v>45815.866041666675</v>
      </c>
      <c r="R12" s="72">
        <v>45815.90770833334</v>
      </c>
      <c r="S12" s="25">
        <v>0.90763888888888888</v>
      </c>
      <c r="T12" s="63">
        <v>2.999930555546598</v>
      </c>
      <c r="U12" s="47">
        <f>IFERROR(INDEX(NOVO!O:O,MATCH(PRINT!E524,NOVO!C:C,0)),"")</f>
        <v>190453</v>
      </c>
      <c r="AA12" s="49">
        <v>117525</v>
      </c>
    </row>
    <row r="13" spans="1:27" s="23" customFormat="1" x14ac:dyDescent="0.35">
      <c r="A13" s="54">
        <v>0</v>
      </c>
      <c r="C13" s="23">
        <v>1026706</v>
      </c>
      <c r="D13" s="23">
        <v>1</v>
      </c>
      <c r="E13" s="23">
        <v>1026683</v>
      </c>
      <c r="F13" s="23" t="s">
        <v>1091</v>
      </c>
      <c r="G13" s="5">
        <v>8</v>
      </c>
      <c r="H13" s="23">
        <v>1</v>
      </c>
      <c r="I13" s="23">
        <v>0</v>
      </c>
      <c r="J13" s="23">
        <v>0</v>
      </c>
      <c r="K13" s="23" t="s">
        <v>24</v>
      </c>
      <c r="L13" s="23" t="s">
        <v>597</v>
      </c>
      <c r="M13" s="23" t="s">
        <v>1972</v>
      </c>
      <c r="N13" s="24">
        <v>45841</v>
      </c>
      <c r="O13" s="28">
        <v>5.5555555555555558E-3</v>
      </c>
      <c r="P13" s="3">
        <v>45818</v>
      </c>
      <c r="Q13" s="62">
        <v>45815.860486111116</v>
      </c>
      <c r="R13" s="72">
        <v>45815.866041666675</v>
      </c>
      <c r="S13" s="25">
        <v>0.86597222222222225</v>
      </c>
      <c r="T13" s="63">
        <v>2.999930555546598</v>
      </c>
      <c r="U13" s="47">
        <f>IFERROR(INDEX(NOVO!O:O,MATCH(PRINT!E523,NOVO!C:C,0)),"")</f>
        <v>209469</v>
      </c>
      <c r="AA13" s="49">
        <v>118355</v>
      </c>
    </row>
    <row r="14" spans="1:27" s="23" customFormat="1" x14ac:dyDescent="0.35">
      <c r="A14" s="54">
        <v>0</v>
      </c>
      <c r="C14" s="23">
        <v>1024614</v>
      </c>
      <c r="D14" s="23">
        <v>1</v>
      </c>
      <c r="E14" s="23">
        <v>1024609</v>
      </c>
      <c r="F14" s="23" t="s">
        <v>239</v>
      </c>
      <c r="G14" s="5">
        <v>10</v>
      </c>
      <c r="H14" s="23">
        <v>1</v>
      </c>
      <c r="I14" s="23">
        <v>0</v>
      </c>
      <c r="J14" s="23">
        <v>0</v>
      </c>
      <c r="K14" s="23" t="s">
        <v>24</v>
      </c>
      <c r="L14" s="23" t="s">
        <v>597</v>
      </c>
      <c r="M14" s="23" t="s">
        <v>1971</v>
      </c>
      <c r="N14" s="24">
        <v>45833</v>
      </c>
      <c r="O14" s="28">
        <v>6.9444444444444441E-3</v>
      </c>
      <c r="P14" s="3">
        <v>45818</v>
      </c>
      <c r="Q14" s="62">
        <v>45815.853541666671</v>
      </c>
      <c r="R14" s="72">
        <v>45815.860486111116</v>
      </c>
      <c r="S14" s="25">
        <v>0.86041666666666672</v>
      </c>
      <c r="T14" s="63">
        <v>2.999930555553874</v>
      </c>
      <c r="U14" s="47">
        <f>IFERROR(INDEX(NOVO!O:O,MATCH(PRINT!E522,NOVO!C:C,0)),"")</f>
        <v>209458</v>
      </c>
      <c r="AA14" s="49">
        <v>118792</v>
      </c>
    </row>
    <row r="15" spans="1:27" s="23" customFormat="1" x14ac:dyDescent="0.35">
      <c r="A15" s="54">
        <v>0</v>
      </c>
      <c r="C15" s="23">
        <v>1022583</v>
      </c>
      <c r="D15" s="23">
        <v>2</v>
      </c>
      <c r="E15" s="23">
        <v>1022584</v>
      </c>
      <c r="F15" s="23" t="s">
        <v>1969</v>
      </c>
      <c r="G15" s="5">
        <v>30</v>
      </c>
      <c r="H15" s="23">
        <v>2</v>
      </c>
      <c r="I15" s="23">
        <v>0</v>
      </c>
      <c r="J15" s="23">
        <v>0</v>
      </c>
      <c r="K15" s="23" t="s">
        <v>24</v>
      </c>
      <c r="L15" s="23" t="s">
        <v>597</v>
      </c>
      <c r="M15" s="23" t="s">
        <v>1970</v>
      </c>
      <c r="N15" s="24">
        <v>45848</v>
      </c>
      <c r="O15" s="28">
        <v>2.0833333333333332E-2</v>
      </c>
      <c r="P15" s="3">
        <v>45818</v>
      </c>
      <c r="Q15" s="62">
        <v>45815.832708333335</v>
      </c>
      <c r="R15" s="72">
        <v>45815.853541666671</v>
      </c>
      <c r="S15" s="25">
        <v>0.85347222222222219</v>
      </c>
      <c r="T15" s="63">
        <v>2.999930555553874</v>
      </c>
      <c r="U15" s="47" t="str">
        <f>IFERROR(INDEX(NOVO!O:O,MATCH(PRINT!E521,NOVO!C:C,0)),"")</f>
        <v/>
      </c>
      <c r="AA15" s="49">
        <v>120832</v>
      </c>
    </row>
    <row r="16" spans="1:27" s="23" customFormat="1" x14ac:dyDescent="0.35">
      <c r="A16" s="54">
        <v>0</v>
      </c>
      <c r="C16" s="23">
        <v>1022551</v>
      </c>
      <c r="D16" s="23">
        <v>1</v>
      </c>
      <c r="E16" s="23">
        <v>1022562</v>
      </c>
      <c r="F16" s="23" t="s">
        <v>1636</v>
      </c>
      <c r="G16" s="5">
        <v>70</v>
      </c>
      <c r="H16" s="23">
        <v>2</v>
      </c>
      <c r="I16" s="23">
        <v>0</v>
      </c>
      <c r="J16" s="23">
        <v>0</v>
      </c>
      <c r="K16" s="23" t="s">
        <v>24</v>
      </c>
      <c r="L16" s="23" t="s">
        <v>597</v>
      </c>
      <c r="M16" s="23" t="s">
        <v>1968</v>
      </c>
      <c r="N16" s="24">
        <v>45848</v>
      </c>
      <c r="O16" s="28">
        <v>4.8611111111111112E-2</v>
      </c>
      <c r="P16" s="3">
        <v>45818</v>
      </c>
      <c r="Q16" s="62">
        <v>45815.784097222226</v>
      </c>
      <c r="R16" s="72">
        <v>45815.832708333335</v>
      </c>
      <c r="S16" s="25">
        <v>0.83263888888888893</v>
      </c>
      <c r="T16" s="63">
        <v>2.999930555553874</v>
      </c>
      <c r="U16" s="47">
        <f>IFERROR(INDEX(NOVO!O:O,MATCH(PRINT!E520,NOVO!C:C,0)),"")</f>
        <v>209458</v>
      </c>
      <c r="AA16" s="49">
        <v>122922</v>
      </c>
    </row>
    <row r="17" spans="1:27" s="23" customFormat="1" x14ac:dyDescent="0.35">
      <c r="A17" s="54">
        <v>0</v>
      </c>
      <c r="C17" s="23">
        <v>1022543</v>
      </c>
      <c r="D17" s="23">
        <v>1</v>
      </c>
      <c r="E17" s="23">
        <v>1022545</v>
      </c>
      <c r="F17" s="23" t="s">
        <v>1629</v>
      </c>
      <c r="G17" s="5">
        <v>10</v>
      </c>
      <c r="H17" s="23">
        <v>1</v>
      </c>
      <c r="I17" s="23">
        <v>0</v>
      </c>
      <c r="J17" s="23">
        <v>0</v>
      </c>
      <c r="K17" s="23" t="s">
        <v>24</v>
      </c>
      <c r="L17" s="23" t="s">
        <v>597</v>
      </c>
      <c r="M17" s="23" t="s">
        <v>1967</v>
      </c>
      <c r="N17" s="24">
        <v>45848</v>
      </c>
      <c r="O17" s="28">
        <v>6.9444444444444441E-3</v>
      </c>
      <c r="P17" s="3">
        <v>45818</v>
      </c>
      <c r="Q17" s="62">
        <v>45815.77715277778</v>
      </c>
      <c r="R17" s="72">
        <v>45815.784097222226</v>
      </c>
      <c r="S17" s="25">
        <v>0.78402777777777777</v>
      </c>
      <c r="T17" s="63">
        <v>2.999930555553874</v>
      </c>
      <c r="U17" s="47">
        <f>IFERROR(INDEX(NOVO!O:O,MATCH(PRINT!E519,NOVO!C:C,0)),"")</f>
        <v>209470</v>
      </c>
      <c r="AA17" s="49">
        <v>122924</v>
      </c>
    </row>
    <row r="18" spans="1:27" s="23" customFormat="1" x14ac:dyDescent="0.35">
      <c r="A18" s="54">
        <v>0</v>
      </c>
      <c r="C18" s="23">
        <v>1022543</v>
      </c>
      <c r="D18" s="23">
        <v>1</v>
      </c>
      <c r="E18" s="23">
        <v>1022544</v>
      </c>
      <c r="F18" s="23" t="s">
        <v>1628</v>
      </c>
      <c r="G18" s="5">
        <v>9</v>
      </c>
      <c r="H18" s="23">
        <v>1</v>
      </c>
      <c r="I18" s="23">
        <v>0</v>
      </c>
      <c r="J18" s="23">
        <v>0</v>
      </c>
      <c r="K18" s="23" t="s">
        <v>24</v>
      </c>
      <c r="L18" s="23" t="s">
        <v>597</v>
      </c>
      <c r="M18" s="23" t="s">
        <v>1967</v>
      </c>
      <c r="N18" s="24">
        <v>45848</v>
      </c>
      <c r="O18" s="28">
        <v>6.3194444444444444E-3</v>
      </c>
      <c r="P18" s="3">
        <v>45818</v>
      </c>
      <c r="Q18" s="62">
        <v>45815.770833333336</v>
      </c>
      <c r="R18" s="72">
        <v>45815.77715277778</v>
      </c>
      <c r="S18" s="25">
        <v>0.77708333333333335</v>
      </c>
      <c r="T18" s="63">
        <v>2.999930555553874</v>
      </c>
      <c r="U18" s="47">
        <f>IFERROR(INDEX(NOVO!O:O,MATCH(PRINT!E518,NOVO!C:C,0)),"")</f>
        <v>231763</v>
      </c>
      <c r="AA18" s="49">
        <v>122925</v>
      </c>
    </row>
    <row r="19" spans="1:27" s="23" customFormat="1" x14ac:dyDescent="0.35">
      <c r="A19" s="54"/>
      <c r="G19" s="5"/>
      <c r="N19" s="24" t="s">
        <v>198</v>
      </c>
      <c r="O19" s="28">
        <v>2.0833333333333332E-2</v>
      </c>
      <c r="P19" s="3">
        <v>45818</v>
      </c>
      <c r="Q19" s="62">
        <v>45815.75</v>
      </c>
      <c r="R19" s="72">
        <v>45815.770833333336</v>
      </c>
      <c r="S19" s="25">
        <v>0.77083333333333337</v>
      </c>
      <c r="T19" s="63">
        <v>3</v>
      </c>
      <c r="U19" s="47">
        <f>IFERROR(INDEX(NOVO!O:O,MATCH(PRINT!E517,NOVO!C:C,0)),"")</f>
        <v>173565</v>
      </c>
      <c r="AA19" s="49">
        <v>124294</v>
      </c>
    </row>
    <row r="20" spans="1:27" s="23" customFormat="1" x14ac:dyDescent="0.35">
      <c r="A20" s="54">
        <v>0</v>
      </c>
      <c r="C20" s="23">
        <v>1022543</v>
      </c>
      <c r="D20" s="23">
        <v>1</v>
      </c>
      <c r="E20" s="23">
        <v>1022544</v>
      </c>
      <c r="F20" s="23" t="s">
        <v>1628</v>
      </c>
      <c r="G20" s="5">
        <v>10</v>
      </c>
      <c r="H20" s="23">
        <v>1</v>
      </c>
      <c r="I20" s="23">
        <v>0</v>
      </c>
      <c r="J20" s="23">
        <v>0</v>
      </c>
      <c r="K20" s="23" t="s">
        <v>24</v>
      </c>
      <c r="L20" s="23" t="s">
        <v>597</v>
      </c>
      <c r="M20" s="23" t="s">
        <v>1967</v>
      </c>
      <c r="N20" s="24">
        <v>45848</v>
      </c>
      <c r="O20" s="28">
        <v>7.569444460386876E-3</v>
      </c>
      <c r="P20" s="3">
        <v>45818</v>
      </c>
      <c r="Q20" s="62">
        <v>45815.74243055554</v>
      </c>
      <c r="R20" s="72">
        <v>45815.75</v>
      </c>
      <c r="S20" s="25">
        <v>0.75</v>
      </c>
      <c r="T20" s="63">
        <v>3</v>
      </c>
      <c r="U20" s="47" t="str">
        <f>IFERROR(INDEX(NOVO!O:O,MATCH(PRINT!E516,NOVO!C:C,0)),"")</f>
        <v/>
      </c>
      <c r="AA20" s="49">
        <v>124351</v>
      </c>
    </row>
    <row r="21" spans="1:27" s="23" customFormat="1" x14ac:dyDescent="0.35">
      <c r="A21" s="54">
        <v>0</v>
      </c>
      <c r="C21" s="23">
        <v>1022535</v>
      </c>
      <c r="D21" s="23">
        <v>1</v>
      </c>
      <c r="E21" s="23">
        <v>1022536</v>
      </c>
      <c r="F21" s="23" t="s">
        <v>1884</v>
      </c>
      <c r="G21" s="5">
        <v>10</v>
      </c>
      <c r="H21" s="23">
        <v>1</v>
      </c>
      <c r="I21" s="23">
        <v>0</v>
      </c>
      <c r="J21" s="23">
        <v>0</v>
      </c>
      <c r="K21" s="23" t="s">
        <v>24</v>
      </c>
      <c r="L21" s="23" t="s">
        <v>597</v>
      </c>
      <c r="M21" s="23" t="s">
        <v>1966</v>
      </c>
      <c r="N21" s="24">
        <v>45848</v>
      </c>
      <c r="O21" s="28">
        <v>6.9444444444444441E-3</v>
      </c>
      <c r="P21" s="3">
        <v>45818</v>
      </c>
      <c r="Q21" s="62">
        <v>45815.735486111094</v>
      </c>
      <c r="R21" s="72">
        <v>45815.74243055554</v>
      </c>
      <c r="S21" s="25">
        <v>0.74236111111111114</v>
      </c>
      <c r="T21" s="63">
        <v>2.9999305555684259</v>
      </c>
      <c r="U21" s="47">
        <f>IFERROR(INDEX(NOVO!O:O,MATCH(PRINT!E515,NOVO!C:C,0)),"")</f>
        <v>173565</v>
      </c>
      <c r="AA21" s="49">
        <v>130073</v>
      </c>
    </row>
    <row r="22" spans="1:27" s="23" customFormat="1" x14ac:dyDescent="0.35">
      <c r="A22" s="54">
        <v>0</v>
      </c>
      <c r="C22" s="23">
        <v>1022535</v>
      </c>
      <c r="D22" s="23">
        <v>1</v>
      </c>
      <c r="E22" s="23">
        <v>1022537</v>
      </c>
      <c r="F22" s="23" t="s">
        <v>1627</v>
      </c>
      <c r="G22" s="5">
        <v>20</v>
      </c>
      <c r="H22" s="23">
        <v>1</v>
      </c>
      <c r="I22" s="23">
        <v>0</v>
      </c>
      <c r="J22" s="23">
        <v>0</v>
      </c>
      <c r="K22" s="23" t="s">
        <v>24</v>
      </c>
      <c r="L22" s="23" t="s">
        <v>597</v>
      </c>
      <c r="M22" s="23" t="s">
        <v>1966</v>
      </c>
      <c r="N22" s="24">
        <v>45848</v>
      </c>
      <c r="O22" s="28">
        <v>1.3888888888888888E-2</v>
      </c>
      <c r="P22" s="3">
        <v>45818</v>
      </c>
      <c r="Q22" s="62">
        <v>45815.721597222204</v>
      </c>
      <c r="R22" s="72">
        <v>45815.735486111094</v>
      </c>
      <c r="S22" s="25">
        <v>0.73541666666666672</v>
      </c>
      <c r="T22" s="63">
        <v>2.9999305555757019</v>
      </c>
      <c r="U22" s="47">
        <f>IFERROR(INDEX(NOVO!O:O,MATCH(PRINT!E514,NOVO!C:C,0)),"")</f>
        <v>151241</v>
      </c>
      <c r="AA22" s="49">
        <v>130076</v>
      </c>
    </row>
    <row r="23" spans="1:27" s="23" customFormat="1" x14ac:dyDescent="0.35">
      <c r="A23" s="54">
        <v>0</v>
      </c>
      <c r="C23" s="23">
        <v>1022528</v>
      </c>
      <c r="D23" s="23">
        <v>1</v>
      </c>
      <c r="E23" s="23">
        <v>1022528</v>
      </c>
      <c r="F23" s="23" t="s">
        <v>1882</v>
      </c>
      <c r="G23" s="5">
        <v>75</v>
      </c>
      <c r="H23" s="23">
        <v>1</v>
      </c>
      <c r="I23" s="23">
        <v>0</v>
      </c>
      <c r="J23" s="23">
        <v>0</v>
      </c>
      <c r="K23" s="23" t="s">
        <v>24</v>
      </c>
      <c r="L23" s="23" t="s">
        <v>597</v>
      </c>
      <c r="M23" s="23" t="s">
        <v>1965</v>
      </c>
      <c r="N23" s="24">
        <v>45848</v>
      </c>
      <c r="O23" s="28">
        <v>5.2083333333333336E-2</v>
      </c>
      <c r="P23" s="3">
        <v>45818</v>
      </c>
      <c r="Q23" s="62">
        <v>45815.669513888868</v>
      </c>
      <c r="R23" s="72">
        <v>45815.721597222204</v>
      </c>
      <c r="S23" s="25">
        <v>0.72152777777777777</v>
      </c>
      <c r="T23" s="63">
        <v>2.9999305555757019</v>
      </c>
      <c r="U23" s="47" t="str">
        <f>IFERROR(INDEX(NOVO!O:O,MATCH(PRINT!E513,NOVO!C:C,0)),"")</f>
        <v/>
      </c>
      <c r="AA23" s="49">
        <v>130078</v>
      </c>
    </row>
    <row r="24" spans="1:27" s="23" customFormat="1" x14ac:dyDescent="0.35">
      <c r="A24" s="54">
        <v>0</v>
      </c>
      <c r="C24" s="23">
        <v>1020173</v>
      </c>
      <c r="D24" s="23">
        <v>1</v>
      </c>
      <c r="E24" s="23">
        <v>1020200</v>
      </c>
      <c r="F24" s="23" t="s">
        <v>1964</v>
      </c>
      <c r="G24" s="5">
        <v>60</v>
      </c>
      <c r="H24" s="23">
        <v>2</v>
      </c>
      <c r="I24" s="23">
        <v>0</v>
      </c>
      <c r="J24" s="23">
        <v>0</v>
      </c>
      <c r="K24" s="23" t="s">
        <v>24</v>
      </c>
      <c r="L24" s="23" t="s">
        <v>597</v>
      </c>
      <c r="M24" s="23" t="s">
        <v>1963</v>
      </c>
      <c r="N24" s="24">
        <v>45838</v>
      </c>
      <c r="O24" s="28">
        <v>4.1666666666666664E-2</v>
      </c>
      <c r="P24" s="3">
        <v>45818</v>
      </c>
      <c r="Q24" s="62">
        <v>45815.627847222204</v>
      </c>
      <c r="R24" s="72">
        <v>45815.669513888868</v>
      </c>
      <c r="S24" s="25">
        <v>0.6694444444444444</v>
      </c>
      <c r="T24" s="63">
        <v>2.9999305555757019</v>
      </c>
      <c r="U24" s="47">
        <f>IFERROR(INDEX(NOVO!O:O,MATCH(PRINT!E512,NOVO!C:C,0)),"")</f>
        <v>151241</v>
      </c>
      <c r="AA24" s="49">
        <v>131357</v>
      </c>
    </row>
    <row r="25" spans="1:27" s="23" customFormat="1" x14ac:dyDescent="0.35">
      <c r="A25" s="54">
        <v>0</v>
      </c>
      <c r="C25" s="23">
        <v>1020173</v>
      </c>
      <c r="D25" s="23">
        <v>1</v>
      </c>
      <c r="E25" s="23">
        <v>1020184</v>
      </c>
      <c r="F25" s="23" t="s">
        <v>1453</v>
      </c>
      <c r="G25" s="5">
        <v>15</v>
      </c>
      <c r="H25" s="23">
        <v>1</v>
      </c>
      <c r="I25" s="23">
        <v>0</v>
      </c>
      <c r="J25" s="23">
        <v>0</v>
      </c>
      <c r="K25" s="23" t="s">
        <v>24</v>
      </c>
      <c r="L25" s="23" t="s">
        <v>597</v>
      </c>
      <c r="M25" s="23" t="s">
        <v>1963</v>
      </c>
      <c r="N25" s="24">
        <v>45838</v>
      </c>
      <c r="O25" s="28">
        <v>1.0416666666666666E-2</v>
      </c>
      <c r="P25" s="3">
        <v>45818</v>
      </c>
      <c r="Q25" s="62">
        <v>45815.61743055554</v>
      </c>
      <c r="R25" s="72">
        <v>45815.627847222204</v>
      </c>
      <c r="S25" s="25">
        <v>0.62777777777777777</v>
      </c>
      <c r="T25" s="63">
        <v>2.9999305555757019</v>
      </c>
      <c r="U25" s="47" t="str">
        <f>IFERROR(INDEX(NOVO!O:O,MATCH(PRINT!E511,NOVO!C:C,0)),"")</f>
        <v/>
      </c>
      <c r="AA25" s="49">
        <v>131358</v>
      </c>
    </row>
    <row r="26" spans="1:27" s="23" customFormat="1" x14ac:dyDescent="0.35">
      <c r="A26" s="54">
        <v>0</v>
      </c>
      <c r="C26" s="23">
        <v>1020173</v>
      </c>
      <c r="D26" s="23">
        <v>1</v>
      </c>
      <c r="E26" s="23">
        <v>1020183</v>
      </c>
      <c r="F26" s="23" t="s">
        <v>1454</v>
      </c>
      <c r="G26" s="5">
        <v>13</v>
      </c>
      <c r="H26" s="23">
        <v>1</v>
      </c>
      <c r="I26" s="23">
        <v>0</v>
      </c>
      <c r="J26" s="23">
        <v>0</v>
      </c>
      <c r="K26" s="23" t="s">
        <v>24</v>
      </c>
      <c r="L26" s="23" t="s">
        <v>597</v>
      </c>
      <c r="M26" s="23" t="s">
        <v>1963</v>
      </c>
      <c r="N26" s="24">
        <v>45838</v>
      </c>
      <c r="O26" s="28">
        <v>9.0277777777777769E-3</v>
      </c>
      <c r="P26" s="3">
        <v>45818</v>
      </c>
      <c r="Q26" s="62">
        <v>45815.608402777762</v>
      </c>
      <c r="R26" s="72">
        <v>45815.61743055554</v>
      </c>
      <c r="S26" s="25">
        <v>0.61736111111111114</v>
      </c>
      <c r="T26" s="63">
        <v>2.9999305555684259</v>
      </c>
      <c r="U26" s="47">
        <f>IFERROR(INDEX(NOVO!O:O,MATCH(PRINT!E510,NOVO!C:C,0)),"")</f>
        <v>151241</v>
      </c>
      <c r="AA26" s="49">
        <v>131372</v>
      </c>
    </row>
    <row r="27" spans="1:27" s="23" customFormat="1" x14ac:dyDescent="0.35">
      <c r="A27" s="54">
        <v>0</v>
      </c>
      <c r="C27" s="23">
        <v>1020173</v>
      </c>
      <c r="D27" s="23">
        <v>1</v>
      </c>
      <c r="E27" s="23">
        <v>1020181</v>
      </c>
      <c r="F27" s="23" t="s">
        <v>1769</v>
      </c>
      <c r="G27" s="5">
        <v>15</v>
      </c>
      <c r="H27" s="23">
        <v>1</v>
      </c>
      <c r="I27" s="23">
        <v>0</v>
      </c>
      <c r="J27" s="23">
        <v>0</v>
      </c>
      <c r="K27" s="23" t="s">
        <v>24</v>
      </c>
      <c r="L27" s="23" t="s">
        <v>597</v>
      </c>
      <c r="M27" s="23" t="s">
        <v>1963</v>
      </c>
      <c r="N27" s="24">
        <v>45838</v>
      </c>
      <c r="O27" s="28">
        <v>1.0416666666666666E-2</v>
      </c>
      <c r="P27" s="3">
        <v>45818</v>
      </c>
      <c r="Q27" s="62">
        <v>45815.597986111097</v>
      </c>
      <c r="R27" s="72">
        <v>45815.608402777762</v>
      </c>
      <c r="S27" s="25">
        <v>0.60833333333333328</v>
      </c>
      <c r="T27" s="63">
        <v>2.9999305555684259</v>
      </c>
      <c r="U27" s="47">
        <f>IFERROR(INDEX(NOVO!O:O,MATCH(PRINT!E509,NOVO!C:C,0)),"")</f>
        <v>151242</v>
      </c>
      <c r="AA27" s="49">
        <v>131373</v>
      </c>
    </row>
    <row r="28" spans="1:27" s="23" customFormat="1" x14ac:dyDescent="0.35">
      <c r="A28" s="54">
        <v>0</v>
      </c>
      <c r="C28" s="23">
        <v>1020173</v>
      </c>
      <c r="D28" s="23">
        <v>1</v>
      </c>
      <c r="E28" s="23">
        <v>1020182</v>
      </c>
      <c r="F28" s="23" t="s">
        <v>1768</v>
      </c>
      <c r="G28" s="5">
        <v>15</v>
      </c>
      <c r="H28" s="23">
        <v>1</v>
      </c>
      <c r="I28" s="23">
        <v>0</v>
      </c>
      <c r="J28" s="23">
        <v>0</v>
      </c>
      <c r="K28" s="23" t="s">
        <v>24</v>
      </c>
      <c r="L28" s="23" t="s">
        <v>597</v>
      </c>
      <c r="M28" s="23" t="s">
        <v>1963</v>
      </c>
      <c r="N28" s="24">
        <v>45838</v>
      </c>
      <c r="O28" s="28">
        <v>1.0416666666666666E-2</v>
      </c>
      <c r="P28" s="3">
        <v>45818</v>
      </c>
      <c r="Q28" s="62">
        <v>45815.587569444433</v>
      </c>
      <c r="R28" s="72">
        <v>45815.597986111097</v>
      </c>
      <c r="S28" s="25">
        <v>0.59791666666666665</v>
      </c>
      <c r="T28" s="63">
        <v>2.9999305555684259</v>
      </c>
      <c r="U28" s="47">
        <f>IFERROR(INDEX(NOVO!O:O,MATCH(PRINT!E508,NOVO!C:C,0)),"")</f>
        <v>202323</v>
      </c>
      <c r="AA28" s="49">
        <v>131411</v>
      </c>
    </row>
    <row r="29" spans="1:27" s="23" customFormat="1" x14ac:dyDescent="0.35">
      <c r="A29" s="54">
        <v>0</v>
      </c>
      <c r="C29" s="23">
        <v>1019643</v>
      </c>
      <c r="D29" s="23">
        <v>1</v>
      </c>
      <c r="E29" s="23">
        <v>1019681</v>
      </c>
      <c r="F29" s="23" t="s">
        <v>1961</v>
      </c>
      <c r="G29" s="5">
        <v>15</v>
      </c>
      <c r="H29" s="23">
        <v>6</v>
      </c>
      <c r="I29" s="23">
        <v>0</v>
      </c>
      <c r="J29" s="23">
        <v>0</v>
      </c>
      <c r="K29" s="23" t="s">
        <v>24</v>
      </c>
      <c r="L29" s="23" t="s">
        <v>597</v>
      </c>
      <c r="M29" s="23" t="s">
        <v>1962</v>
      </c>
      <c r="N29" s="24">
        <v>45841</v>
      </c>
      <c r="O29" s="28">
        <v>1.0416666666666666E-2</v>
      </c>
      <c r="P29" s="3">
        <v>45818</v>
      </c>
      <c r="Q29" s="62">
        <v>45815.577152777769</v>
      </c>
      <c r="R29" s="72">
        <v>45815.587569444433</v>
      </c>
      <c r="S29" s="25">
        <v>0.58750000000000002</v>
      </c>
      <c r="T29" s="63">
        <v>2.9999305555684259</v>
      </c>
      <c r="U29" s="47" t="str">
        <f>IFERROR(INDEX(NOVO!O:O,MATCH(PRINT!E507,NOVO!C:C,0)),"")</f>
        <v/>
      </c>
      <c r="AA29" s="49">
        <v>131412</v>
      </c>
    </row>
    <row r="30" spans="1:27" s="23" customFormat="1" x14ac:dyDescent="0.35">
      <c r="A30" s="54">
        <v>0</v>
      </c>
      <c r="C30" s="23">
        <v>1019642</v>
      </c>
      <c r="D30" s="23">
        <v>1</v>
      </c>
      <c r="E30" s="23">
        <v>1019681</v>
      </c>
      <c r="F30" s="23" t="s">
        <v>1961</v>
      </c>
      <c r="G30" s="5">
        <v>15</v>
      </c>
      <c r="H30" s="23">
        <v>6</v>
      </c>
      <c r="I30" s="23">
        <v>0</v>
      </c>
      <c r="J30" s="23">
        <v>0</v>
      </c>
      <c r="K30" s="23" t="s">
        <v>24</v>
      </c>
      <c r="L30" s="23" t="s">
        <v>597</v>
      </c>
      <c r="M30" s="23" t="s">
        <v>1962</v>
      </c>
      <c r="N30" s="24">
        <v>45841</v>
      </c>
      <c r="O30" s="28">
        <v>1.0416666666666666E-2</v>
      </c>
      <c r="P30" s="3">
        <v>45818</v>
      </c>
      <c r="Q30" s="62">
        <v>45815.566736111105</v>
      </c>
      <c r="R30" s="72">
        <v>45815.577152777769</v>
      </c>
      <c r="S30" s="25">
        <v>0.57708333333333328</v>
      </c>
      <c r="T30" s="63">
        <v>2.99993055556115</v>
      </c>
      <c r="U30" s="47">
        <f>IFERROR(INDEX(NOVO!O:O,MATCH(PRINT!E506,NOVO!C:C,0)),"")</f>
        <v>202323</v>
      </c>
      <c r="AA30" s="49">
        <v>131782</v>
      </c>
    </row>
    <row r="31" spans="1:27" s="23" customFormat="1" x14ac:dyDescent="0.35">
      <c r="A31" s="54">
        <v>0</v>
      </c>
      <c r="C31" s="23">
        <v>1019641</v>
      </c>
      <c r="D31" s="23">
        <v>1</v>
      </c>
      <c r="E31" s="23">
        <v>1019681</v>
      </c>
      <c r="F31" s="23" t="s">
        <v>1961</v>
      </c>
      <c r="G31" s="5">
        <v>15</v>
      </c>
      <c r="H31" s="23">
        <v>6</v>
      </c>
      <c r="I31" s="23">
        <v>0</v>
      </c>
      <c r="J31" s="23">
        <v>0</v>
      </c>
      <c r="K31" s="23" t="s">
        <v>24</v>
      </c>
      <c r="L31" s="23" t="s">
        <v>597</v>
      </c>
      <c r="M31" s="23" t="s">
        <v>1962</v>
      </c>
      <c r="N31" s="24">
        <v>45841</v>
      </c>
      <c r="O31" s="28">
        <v>1.0416666666666666E-2</v>
      </c>
      <c r="P31" s="3">
        <v>45818</v>
      </c>
      <c r="Q31" s="62">
        <v>45815.55631944444</v>
      </c>
      <c r="R31" s="72">
        <v>45815.566736111105</v>
      </c>
      <c r="S31" s="25">
        <v>0.56666666666666665</v>
      </c>
      <c r="T31" s="63">
        <v>2.99993055556115</v>
      </c>
      <c r="U31" s="47" t="str">
        <f>IFERROR(INDEX(NOVO!O:O,MATCH(PRINT!E505,NOVO!C:C,0)),"")</f>
        <v/>
      </c>
      <c r="AA31" s="49">
        <v>131783</v>
      </c>
    </row>
    <row r="32" spans="1:27" s="23" customFormat="1" x14ac:dyDescent="0.35">
      <c r="A32" s="54">
        <v>0</v>
      </c>
      <c r="C32" s="23">
        <v>1019640</v>
      </c>
      <c r="D32" s="23">
        <v>1</v>
      </c>
      <c r="E32" s="23">
        <v>1019681</v>
      </c>
      <c r="F32" s="23" t="s">
        <v>1961</v>
      </c>
      <c r="G32" s="5">
        <v>15</v>
      </c>
      <c r="H32" s="23">
        <v>6</v>
      </c>
      <c r="I32" s="23">
        <v>0</v>
      </c>
      <c r="J32" s="23">
        <v>0</v>
      </c>
      <c r="K32" s="23" t="s">
        <v>24</v>
      </c>
      <c r="L32" s="23" t="s">
        <v>597</v>
      </c>
      <c r="M32" s="23" t="s">
        <v>1962</v>
      </c>
      <c r="N32" s="24">
        <v>45841</v>
      </c>
      <c r="O32" s="28">
        <v>1.0416666666666666E-2</v>
      </c>
      <c r="P32" s="3">
        <v>45818</v>
      </c>
      <c r="Q32" s="62">
        <v>45815.545902777776</v>
      </c>
      <c r="R32" s="72">
        <v>45815.55631944444</v>
      </c>
      <c r="S32" s="25">
        <v>0.55625000000000002</v>
      </c>
      <c r="T32" s="63">
        <v>2.99993055556115</v>
      </c>
      <c r="U32" s="47">
        <f>IFERROR(INDEX(NOVO!O:O,MATCH(PRINT!E504,NOVO!C:C,0)),"")</f>
        <v>202323</v>
      </c>
      <c r="AA32" s="49">
        <v>137101</v>
      </c>
    </row>
    <row r="33" spans="1:27" s="23" customFormat="1" x14ac:dyDescent="0.35">
      <c r="A33" s="54">
        <v>0</v>
      </c>
      <c r="C33" s="23">
        <v>1019639</v>
      </c>
      <c r="D33" s="23">
        <v>1</v>
      </c>
      <c r="E33" s="23">
        <v>1019681</v>
      </c>
      <c r="F33" s="23" t="s">
        <v>1961</v>
      </c>
      <c r="G33" s="5">
        <v>15</v>
      </c>
      <c r="H33" s="23">
        <v>6</v>
      </c>
      <c r="I33" s="23">
        <v>0</v>
      </c>
      <c r="J33" s="23">
        <v>0</v>
      </c>
      <c r="K33" s="23" t="s">
        <v>24</v>
      </c>
      <c r="L33" s="23" t="s">
        <v>597</v>
      </c>
      <c r="M33" s="23" t="s">
        <v>1962</v>
      </c>
      <c r="N33" s="24">
        <v>45841</v>
      </c>
      <c r="O33" s="28">
        <v>1.0416666666666666E-2</v>
      </c>
      <c r="P33" s="3">
        <v>45818</v>
      </c>
      <c r="Q33" s="62">
        <v>45815.535486111112</v>
      </c>
      <c r="R33" s="72">
        <v>45815.545902777776</v>
      </c>
      <c r="S33" s="25">
        <v>0.54583333333333328</v>
      </c>
      <c r="T33" s="63">
        <v>2.999930555553874</v>
      </c>
      <c r="U33" s="47">
        <f>IFERROR(INDEX(NOVO!O:O,MATCH(PRINT!E503,NOVO!C:C,0)),"")</f>
        <v>202321</v>
      </c>
      <c r="AA33" s="49">
        <v>137102</v>
      </c>
    </row>
    <row r="34" spans="1:27" s="23" customFormat="1" x14ac:dyDescent="0.35">
      <c r="A34" s="54">
        <v>0</v>
      </c>
      <c r="C34" s="23">
        <v>1019638</v>
      </c>
      <c r="D34" s="23">
        <v>1</v>
      </c>
      <c r="E34" s="23">
        <v>1019681</v>
      </c>
      <c r="F34" s="23" t="s">
        <v>1961</v>
      </c>
      <c r="G34" s="5">
        <v>15</v>
      </c>
      <c r="H34" s="23">
        <v>6</v>
      </c>
      <c r="I34" s="23">
        <v>0</v>
      </c>
      <c r="J34" s="23">
        <v>0</v>
      </c>
      <c r="K34" s="23" t="s">
        <v>24</v>
      </c>
      <c r="L34" s="23" t="s">
        <v>597</v>
      </c>
      <c r="M34" s="23" t="s">
        <v>1962</v>
      </c>
      <c r="N34" s="24">
        <v>45841</v>
      </c>
      <c r="O34" s="28">
        <v>1.0416666666666666E-2</v>
      </c>
      <c r="P34" s="3">
        <v>45818</v>
      </c>
      <c r="Q34" s="62">
        <v>45815.525069444448</v>
      </c>
      <c r="R34" s="72">
        <v>45815.535486111112</v>
      </c>
      <c r="S34" s="25">
        <v>0.53541666666666665</v>
      </c>
      <c r="T34" s="63">
        <v>2.999930555553874</v>
      </c>
      <c r="U34" s="47">
        <f>IFERROR(INDEX(NOVO!O:O,MATCH(PRINT!E502,NOVO!C:C,0)),"")</f>
        <v>202327</v>
      </c>
      <c r="AA34" s="49">
        <v>137105</v>
      </c>
    </row>
    <row r="35" spans="1:27" s="23" customFormat="1" x14ac:dyDescent="0.35">
      <c r="A35" s="54">
        <v>0</v>
      </c>
      <c r="C35" s="23">
        <v>1028257</v>
      </c>
      <c r="D35" s="23">
        <v>2</v>
      </c>
      <c r="E35" s="23">
        <v>1028258</v>
      </c>
      <c r="F35" s="23" t="s">
        <v>1959</v>
      </c>
      <c r="G35" s="5">
        <v>40</v>
      </c>
      <c r="H35" s="23">
        <v>2</v>
      </c>
      <c r="I35" s="23">
        <v>0</v>
      </c>
      <c r="J35" s="23">
        <v>0</v>
      </c>
      <c r="K35" s="23" t="s">
        <v>24</v>
      </c>
      <c r="L35" s="23" t="s">
        <v>597</v>
      </c>
      <c r="M35" s="23" t="s">
        <v>1960</v>
      </c>
      <c r="N35" s="24">
        <v>45840</v>
      </c>
      <c r="O35" s="28">
        <v>2.7777777777777776E-2</v>
      </c>
      <c r="P35" s="3">
        <v>45817</v>
      </c>
      <c r="Q35" s="62">
        <v>45815.497291666667</v>
      </c>
      <c r="R35" s="72">
        <v>45815.525069444448</v>
      </c>
      <c r="S35" s="25">
        <v>0.52500000000000002</v>
      </c>
      <c r="T35" s="63">
        <v>1.999930555553874</v>
      </c>
      <c r="U35" s="47">
        <f>IFERROR(INDEX(NOVO!O:O,MATCH(PRINT!E501,NOVO!C:C,0)),"")</f>
        <v>232611</v>
      </c>
      <c r="AA35" s="49">
        <v>137252</v>
      </c>
    </row>
    <row r="36" spans="1:27" s="23" customFormat="1" x14ac:dyDescent="0.35">
      <c r="A36" s="54">
        <v>0</v>
      </c>
      <c r="C36" s="23">
        <v>1027916</v>
      </c>
      <c r="D36" s="23">
        <v>1</v>
      </c>
      <c r="E36" s="23">
        <v>1027931</v>
      </c>
      <c r="F36" s="23" t="s">
        <v>1790</v>
      </c>
      <c r="G36" s="5">
        <v>20</v>
      </c>
      <c r="H36" s="23">
        <v>1</v>
      </c>
      <c r="I36" s="23">
        <v>0</v>
      </c>
      <c r="J36" s="23">
        <v>0</v>
      </c>
      <c r="K36" s="23" t="s">
        <v>24</v>
      </c>
      <c r="L36" s="23" t="s">
        <v>597</v>
      </c>
      <c r="M36" s="23" t="s">
        <v>1958</v>
      </c>
      <c r="N36" s="24">
        <v>45849</v>
      </c>
      <c r="O36" s="28">
        <v>1.3888888888888888E-2</v>
      </c>
      <c r="P36" s="3">
        <v>45817</v>
      </c>
      <c r="Q36" s="62">
        <v>45815.483402777776</v>
      </c>
      <c r="R36" s="72">
        <v>45815.497291666667</v>
      </c>
      <c r="S36" s="25">
        <v>0.49722222222222223</v>
      </c>
      <c r="T36" s="63">
        <v>1.999930555553874</v>
      </c>
      <c r="U36" s="47" t="str">
        <f>IFERROR(INDEX(NOVO!O:O,MATCH(PRINT!E500,NOVO!C:C,0)),"")</f>
        <v/>
      </c>
      <c r="AA36" s="49">
        <v>137868</v>
      </c>
    </row>
    <row r="37" spans="1:27" s="23" customFormat="1" x14ac:dyDescent="0.35">
      <c r="A37" s="54">
        <v>0</v>
      </c>
      <c r="C37" s="23">
        <v>1027893</v>
      </c>
      <c r="D37" s="23">
        <v>3</v>
      </c>
      <c r="E37" s="23">
        <v>1027911</v>
      </c>
      <c r="F37" s="23" t="s">
        <v>1850</v>
      </c>
      <c r="G37" s="5">
        <v>66</v>
      </c>
      <c r="H37" s="23">
        <v>3</v>
      </c>
      <c r="I37" s="23">
        <v>0</v>
      </c>
      <c r="J37" s="23">
        <v>0</v>
      </c>
      <c r="K37" s="23" t="s">
        <v>24</v>
      </c>
      <c r="L37" s="23" t="s">
        <v>597</v>
      </c>
      <c r="M37" s="23" t="s">
        <v>1957</v>
      </c>
      <c r="N37" s="24">
        <v>45849</v>
      </c>
      <c r="O37" s="28">
        <v>4.5902777777777778E-2</v>
      </c>
      <c r="P37" s="3">
        <v>45817</v>
      </c>
      <c r="Q37" s="62">
        <v>45815.4375</v>
      </c>
      <c r="R37" s="72">
        <v>45815.483402777776</v>
      </c>
      <c r="S37" s="25">
        <v>0.48333333333333334</v>
      </c>
      <c r="T37" s="63">
        <v>1.999930555553874</v>
      </c>
      <c r="U37" s="47">
        <f>IFERROR(INDEX(NOVO!O:O,MATCH(PRINT!E499,NOVO!C:C,0)),"")</f>
        <v>232611</v>
      </c>
      <c r="AA37" s="49">
        <v>137873</v>
      </c>
    </row>
    <row r="38" spans="1:27" s="23" customFormat="1" x14ac:dyDescent="0.35">
      <c r="A38" s="54"/>
      <c r="G38" s="5"/>
      <c r="N38" s="24" t="s">
        <v>198</v>
      </c>
      <c r="O38" s="28">
        <v>2.0833333333333332E-2</v>
      </c>
      <c r="P38" s="3">
        <v>45817</v>
      </c>
      <c r="Q38" s="62">
        <v>45815.416666666664</v>
      </c>
      <c r="R38" s="72">
        <v>45815.4375</v>
      </c>
      <c r="S38" s="25">
        <v>0.4375</v>
      </c>
      <c r="T38" s="63">
        <v>2</v>
      </c>
      <c r="U38" s="47">
        <f>IFERROR(INDEX(NOVO!O:O,MATCH(PRINT!E498,NOVO!C:C,0)),"")</f>
        <v>179986</v>
      </c>
      <c r="AA38" s="49">
        <v>137880</v>
      </c>
    </row>
    <row r="39" spans="1:27" s="23" customFormat="1" x14ac:dyDescent="0.35">
      <c r="A39" s="54">
        <v>0</v>
      </c>
      <c r="C39" s="23">
        <v>1027893</v>
      </c>
      <c r="D39" s="23">
        <v>3</v>
      </c>
      <c r="E39" s="23">
        <v>1027911</v>
      </c>
      <c r="F39" s="23" t="s">
        <v>1850</v>
      </c>
      <c r="G39" s="5">
        <v>68</v>
      </c>
      <c r="H39" s="23">
        <v>3</v>
      </c>
      <c r="I39" s="23">
        <v>0</v>
      </c>
      <c r="J39" s="23">
        <v>0</v>
      </c>
      <c r="K39" s="23" t="s">
        <v>24</v>
      </c>
      <c r="L39" s="23" t="s">
        <v>597</v>
      </c>
      <c r="M39" s="23" t="s">
        <v>1957</v>
      </c>
      <c r="N39" s="24">
        <v>45849</v>
      </c>
      <c r="O39" s="28">
        <v>4.7847222216660157E-2</v>
      </c>
      <c r="P39" s="3">
        <v>45817</v>
      </c>
      <c r="Q39" s="62">
        <v>45815.368819444448</v>
      </c>
      <c r="R39" s="72">
        <v>45815.416666666664</v>
      </c>
      <c r="S39" s="25">
        <v>0.41666666666666669</v>
      </c>
      <c r="T39" s="63">
        <v>2</v>
      </c>
      <c r="U39" s="47">
        <f>IFERROR(INDEX(NOVO!O:O,MATCH(PRINT!E497,NOVO!C:C,0)),"")</f>
        <v>151945</v>
      </c>
      <c r="AA39" s="49">
        <v>137881</v>
      </c>
    </row>
    <row r="40" spans="1:27" s="23" customFormat="1" x14ac:dyDescent="0.35">
      <c r="A40" s="54">
        <v>0</v>
      </c>
      <c r="C40" s="23">
        <v>1027893</v>
      </c>
      <c r="D40" s="23">
        <v>3</v>
      </c>
      <c r="E40" s="23">
        <v>1027910</v>
      </c>
      <c r="F40" s="23" t="s">
        <v>592</v>
      </c>
      <c r="G40" s="5">
        <v>270</v>
      </c>
      <c r="H40" s="23">
        <v>9</v>
      </c>
      <c r="I40" s="23">
        <v>0</v>
      </c>
      <c r="J40" s="23">
        <v>0</v>
      </c>
      <c r="K40" s="23" t="s">
        <v>24</v>
      </c>
      <c r="L40" s="23" t="s">
        <v>597</v>
      </c>
      <c r="M40" s="23" t="s">
        <v>1957</v>
      </c>
      <c r="N40" s="24">
        <v>45849</v>
      </c>
      <c r="O40" s="28">
        <v>0.1875</v>
      </c>
      <c r="P40" s="3">
        <v>45817</v>
      </c>
      <c r="Q40" s="62">
        <v>45815.181319444448</v>
      </c>
      <c r="R40" s="72">
        <v>45815.368819444448</v>
      </c>
      <c r="S40" s="25">
        <v>0.36875000000000002</v>
      </c>
      <c r="T40" s="63">
        <v>1.999930555553874</v>
      </c>
      <c r="U40" s="47" t="str">
        <f>IFERROR(INDEX(NOVO!O:O,MATCH(PRINT!E496,NOVO!C:C,0)),"")</f>
        <v/>
      </c>
      <c r="AA40" s="49">
        <v>137917</v>
      </c>
    </row>
    <row r="41" spans="1:27" s="23" customFormat="1" x14ac:dyDescent="0.35">
      <c r="A41" s="54">
        <v>0</v>
      </c>
      <c r="C41" s="23">
        <v>1026409</v>
      </c>
      <c r="D41" s="23">
        <v>12</v>
      </c>
      <c r="E41" s="23">
        <v>1026413</v>
      </c>
      <c r="F41" s="23" t="s">
        <v>225</v>
      </c>
      <c r="G41" s="5">
        <v>111</v>
      </c>
      <c r="H41" s="23">
        <v>12</v>
      </c>
      <c r="I41" s="23">
        <v>0</v>
      </c>
      <c r="J41" s="23">
        <v>0</v>
      </c>
      <c r="K41" s="23" t="s">
        <v>24</v>
      </c>
      <c r="L41" s="23" t="s">
        <v>597</v>
      </c>
      <c r="M41" s="23" t="s">
        <v>1956</v>
      </c>
      <c r="N41" s="24">
        <v>45852</v>
      </c>
      <c r="O41" s="28">
        <v>7.7152777777777778E-2</v>
      </c>
      <c r="P41" s="3">
        <v>45817</v>
      </c>
      <c r="Q41" s="62">
        <v>45815.104166666672</v>
      </c>
      <c r="R41" s="72">
        <v>45815.181319444448</v>
      </c>
      <c r="S41" s="25">
        <v>0.18124999999999999</v>
      </c>
      <c r="T41" s="63">
        <v>1.999930555553874</v>
      </c>
      <c r="U41" s="47">
        <f>IFERROR(INDEX(NOVO!O:O,MATCH(PRINT!E495,NOVO!C:C,0)),"")</f>
        <v>151945</v>
      </c>
      <c r="AA41" s="49">
        <v>137918</v>
      </c>
    </row>
    <row r="42" spans="1:27" s="23" customFormat="1" x14ac:dyDescent="0.35">
      <c r="A42" s="54"/>
      <c r="G42" s="5"/>
      <c r="N42" s="24" t="s">
        <v>198</v>
      </c>
      <c r="O42" s="28">
        <v>2.0833333333333332E-2</v>
      </c>
      <c r="P42" s="3">
        <v>45817</v>
      </c>
      <c r="Q42" s="62">
        <v>45815.083333333336</v>
      </c>
      <c r="R42" s="72">
        <v>45815.104166666672</v>
      </c>
      <c r="S42" s="25">
        <v>0.10416666666666667</v>
      </c>
      <c r="T42" s="63">
        <v>1.999999999992724</v>
      </c>
      <c r="U42" s="47" t="str">
        <f>IFERROR(INDEX(NOVO!O:O,MATCH(PRINT!E494,NOVO!C:C,0)),"")</f>
        <v/>
      </c>
      <c r="AA42" s="49">
        <v>137922</v>
      </c>
    </row>
    <row r="43" spans="1:27" s="23" customFormat="1" x14ac:dyDescent="0.35">
      <c r="A43" s="54">
        <v>0</v>
      </c>
      <c r="C43" s="23">
        <v>1026409</v>
      </c>
      <c r="D43" s="23">
        <v>12</v>
      </c>
      <c r="E43" s="23">
        <v>1026413</v>
      </c>
      <c r="F43" s="23" t="s">
        <v>225</v>
      </c>
      <c r="G43" s="5">
        <v>188</v>
      </c>
      <c r="H43" s="23">
        <v>12</v>
      </c>
      <c r="I43" s="23">
        <v>0</v>
      </c>
      <c r="J43" s="23">
        <v>0</v>
      </c>
      <c r="K43" s="23" t="s">
        <v>24</v>
      </c>
      <c r="L43" s="23" t="s">
        <v>597</v>
      </c>
      <c r="M43" s="23" t="s">
        <v>1956</v>
      </c>
      <c r="N43" s="24">
        <v>45852</v>
      </c>
      <c r="O43" s="28">
        <v>0.13118055555241881</v>
      </c>
      <c r="P43" s="3">
        <v>45817</v>
      </c>
      <c r="Q43" s="62">
        <v>45814.952152777783</v>
      </c>
      <c r="R43" s="72">
        <v>45815.083333333336</v>
      </c>
      <c r="S43" s="25">
        <v>8.3333333333333329E-2</v>
      </c>
      <c r="T43" s="63">
        <v>2</v>
      </c>
      <c r="U43" s="47">
        <f>IFERROR(INDEX(NOVO!O:O,MATCH(PRINT!E493,NOVO!C:C,0)),"")</f>
        <v>151945</v>
      </c>
      <c r="AA43" s="49">
        <v>137923</v>
      </c>
    </row>
    <row r="44" spans="1:27" s="23" customFormat="1" x14ac:dyDescent="0.35">
      <c r="A44" s="54">
        <v>0</v>
      </c>
      <c r="C44" s="23">
        <v>1025612</v>
      </c>
      <c r="D44" s="23">
        <v>1</v>
      </c>
      <c r="E44" s="23">
        <v>1025649</v>
      </c>
      <c r="F44" s="23" t="s">
        <v>1459</v>
      </c>
      <c r="G44" s="5">
        <v>10</v>
      </c>
      <c r="H44" s="23">
        <v>1</v>
      </c>
      <c r="I44" s="23">
        <v>0</v>
      </c>
      <c r="J44" s="23">
        <v>0</v>
      </c>
      <c r="K44" s="23" t="s">
        <v>24</v>
      </c>
      <c r="L44" s="23" t="s">
        <v>597</v>
      </c>
      <c r="M44" s="23" t="s">
        <v>1955</v>
      </c>
      <c r="N44" s="24">
        <v>45835</v>
      </c>
      <c r="O44" s="28">
        <v>6.9444444444444441E-3</v>
      </c>
      <c r="P44" s="3">
        <v>45817</v>
      </c>
      <c r="Q44" s="62">
        <v>45814.945208333338</v>
      </c>
      <c r="R44" s="72">
        <v>45814.952152777783</v>
      </c>
      <c r="S44" s="25">
        <v>0.95208333333333328</v>
      </c>
      <c r="T44" s="63">
        <v>2.999930555546598</v>
      </c>
      <c r="U44" s="47" t="str">
        <f>IFERROR(INDEX(NOVO!O:O,MATCH(PRINT!E492,NOVO!C:C,0)),"")</f>
        <v/>
      </c>
      <c r="AA44" s="49">
        <v>137924</v>
      </c>
    </row>
    <row r="45" spans="1:27" s="23" customFormat="1" x14ac:dyDescent="0.35">
      <c r="A45" s="54">
        <v>0</v>
      </c>
      <c r="C45" s="23">
        <v>1025612</v>
      </c>
      <c r="D45" s="23">
        <v>1</v>
      </c>
      <c r="E45" s="23">
        <v>1025645</v>
      </c>
      <c r="F45" s="23" t="s">
        <v>1505</v>
      </c>
      <c r="G45" s="5">
        <v>20</v>
      </c>
      <c r="H45" s="23">
        <v>2</v>
      </c>
      <c r="I45" s="23">
        <v>0</v>
      </c>
      <c r="J45" s="23">
        <v>0</v>
      </c>
      <c r="K45" s="23" t="s">
        <v>24</v>
      </c>
      <c r="L45" s="23" t="s">
        <v>597</v>
      </c>
      <c r="M45" s="23" t="s">
        <v>1955</v>
      </c>
      <c r="N45" s="24">
        <v>45835</v>
      </c>
      <c r="O45" s="28">
        <v>1.3888888888888888E-2</v>
      </c>
      <c r="P45" s="3">
        <v>45817</v>
      </c>
      <c r="Q45" s="62">
        <v>45814.931319444448</v>
      </c>
      <c r="R45" s="72">
        <v>45814.945208333338</v>
      </c>
      <c r="S45" s="25">
        <v>0.94513888888888886</v>
      </c>
      <c r="T45" s="63">
        <v>2.999930555553874</v>
      </c>
      <c r="U45" s="47">
        <f>IFERROR(INDEX(NOVO!O:O,MATCH(PRINT!E491,NOVO!C:C,0)),"")</f>
        <v>151945</v>
      </c>
      <c r="AA45" s="49">
        <v>137925</v>
      </c>
    </row>
    <row r="46" spans="1:27" s="23" customFormat="1" x14ac:dyDescent="0.35">
      <c r="A46" s="54">
        <v>0</v>
      </c>
      <c r="C46" s="23">
        <v>1025612</v>
      </c>
      <c r="D46" s="23">
        <v>1</v>
      </c>
      <c r="E46" s="23">
        <v>1025637</v>
      </c>
      <c r="F46" s="23" t="s">
        <v>1476</v>
      </c>
      <c r="G46" s="5">
        <v>30</v>
      </c>
      <c r="H46" s="23">
        <v>3</v>
      </c>
      <c r="I46" s="23">
        <v>0</v>
      </c>
      <c r="J46" s="23">
        <v>0</v>
      </c>
      <c r="K46" s="23" t="s">
        <v>24</v>
      </c>
      <c r="L46" s="23" t="s">
        <v>597</v>
      </c>
      <c r="M46" s="23" t="s">
        <v>1955</v>
      </c>
      <c r="N46" s="24">
        <v>45835</v>
      </c>
      <c r="O46" s="28">
        <v>2.0833333333333332E-2</v>
      </c>
      <c r="P46" s="3">
        <v>45817</v>
      </c>
      <c r="Q46" s="62">
        <v>45814.910486111112</v>
      </c>
      <c r="R46" s="72">
        <v>45814.931319444448</v>
      </c>
      <c r="S46" s="25">
        <v>0.93125000000000002</v>
      </c>
      <c r="T46" s="63">
        <v>2.999930555553874</v>
      </c>
      <c r="U46" s="47">
        <f>IFERROR(INDEX(NOVO!O:O,MATCH(PRINT!E490,NOVO!C:C,0)),"")</f>
        <v>151946</v>
      </c>
      <c r="AA46" s="49">
        <v>137927</v>
      </c>
    </row>
    <row r="47" spans="1:27" s="23" customFormat="1" x14ac:dyDescent="0.35">
      <c r="A47" s="54">
        <v>0</v>
      </c>
      <c r="C47" s="23">
        <v>1025612</v>
      </c>
      <c r="D47" s="23">
        <v>1</v>
      </c>
      <c r="E47" s="23">
        <v>1025648</v>
      </c>
      <c r="F47" s="23" t="s">
        <v>1458</v>
      </c>
      <c r="G47" s="5">
        <v>20</v>
      </c>
      <c r="H47" s="23">
        <v>2</v>
      </c>
      <c r="I47" s="23">
        <v>0</v>
      </c>
      <c r="J47" s="23">
        <v>0</v>
      </c>
      <c r="K47" s="23" t="s">
        <v>24</v>
      </c>
      <c r="L47" s="23" t="s">
        <v>597</v>
      </c>
      <c r="M47" s="23" t="s">
        <v>1955</v>
      </c>
      <c r="N47" s="24">
        <v>45835</v>
      </c>
      <c r="O47" s="28">
        <v>1.3888888888888888E-2</v>
      </c>
      <c r="P47" s="3">
        <v>45817</v>
      </c>
      <c r="Q47" s="62">
        <v>45814.896597222221</v>
      </c>
      <c r="R47" s="72">
        <v>45814.910486111112</v>
      </c>
      <c r="S47" s="25">
        <v>0.91041666666666665</v>
      </c>
      <c r="T47" s="63">
        <v>2.999930555553874</v>
      </c>
      <c r="U47" s="47" t="str">
        <f>IFERROR(INDEX(NOVO!O:O,MATCH(PRINT!E489,NOVO!C:C,0)),"")</f>
        <v/>
      </c>
      <c r="AA47" s="49">
        <v>137928</v>
      </c>
    </row>
    <row r="48" spans="1:27" s="23" customFormat="1" x14ac:dyDescent="0.35">
      <c r="A48" s="54">
        <v>0</v>
      </c>
      <c r="C48" s="23">
        <v>1025612</v>
      </c>
      <c r="D48" s="23">
        <v>1</v>
      </c>
      <c r="E48" s="23">
        <v>1025632</v>
      </c>
      <c r="F48" s="23" t="s">
        <v>1475</v>
      </c>
      <c r="G48" s="5">
        <v>15</v>
      </c>
      <c r="H48" s="23">
        <v>1</v>
      </c>
      <c r="I48" s="23">
        <v>0</v>
      </c>
      <c r="J48" s="23">
        <v>0</v>
      </c>
      <c r="K48" s="23" t="s">
        <v>24</v>
      </c>
      <c r="L48" s="23" t="s">
        <v>597</v>
      </c>
      <c r="M48" s="23" t="s">
        <v>1955</v>
      </c>
      <c r="N48" s="24">
        <v>45835</v>
      </c>
      <c r="O48" s="28">
        <v>1.0416666666666666E-2</v>
      </c>
      <c r="P48" s="3">
        <v>45817</v>
      </c>
      <c r="Q48" s="62">
        <v>45814.886180555557</v>
      </c>
      <c r="R48" s="72">
        <v>45814.896597222221</v>
      </c>
      <c r="S48" s="25">
        <v>0.89652777777777781</v>
      </c>
      <c r="T48" s="63">
        <v>2.999930555553874</v>
      </c>
      <c r="U48" s="47">
        <f>IFERROR(INDEX(NOVO!O:O,MATCH(PRINT!E488,NOVO!C:C,0)),"")</f>
        <v>151946</v>
      </c>
      <c r="AA48" s="49">
        <v>137939</v>
      </c>
    </row>
    <row r="49" spans="1:27" s="23" customFormat="1" x14ac:dyDescent="0.35">
      <c r="A49" s="54">
        <v>0</v>
      </c>
      <c r="C49" s="23">
        <v>1025612</v>
      </c>
      <c r="D49" s="23">
        <v>1</v>
      </c>
      <c r="E49" s="23">
        <v>1025629</v>
      </c>
      <c r="F49" s="23" t="s">
        <v>1474</v>
      </c>
      <c r="G49" s="5">
        <v>15</v>
      </c>
      <c r="H49" s="23">
        <v>1</v>
      </c>
      <c r="I49" s="23">
        <v>0</v>
      </c>
      <c r="J49" s="23">
        <v>0</v>
      </c>
      <c r="K49" s="23" t="s">
        <v>24</v>
      </c>
      <c r="L49" s="23" t="s">
        <v>597</v>
      </c>
      <c r="M49" s="23" t="s">
        <v>1955</v>
      </c>
      <c r="N49" s="24">
        <v>45835</v>
      </c>
      <c r="O49" s="28">
        <v>1.0416666666666666E-2</v>
      </c>
      <c r="P49" s="3">
        <v>45817</v>
      </c>
      <c r="Q49" s="62">
        <v>45814.875763888893</v>
      </c>
      <c r="R49" s="72">
        <v>45814.886180555557</v>
      </c>
      <c r="S49" s="25">
        <v>0.88611111111111107</v>
      </c>
      <c r="T49" s="63">
        <v>2.999930555553874</v>
      </c>
      <c r="U49" s="47">
        <f>IFERROR(INDEX(NOVO!O:O,MATCH(PRINT!E487,NOVO!C:C,0)),"")</f>
        <v>133531</v>
      </c>
      <c r="AA49" s="49">
        <v>137940</v>
      </c>
    </row>
    <row r="50" spans="1:27" s="23" customFormat="1" x14ac:dyDescent="0.35">
      <c r="A50" s="54">
        <v>0</v>
      </c>
      <c r="C50" s="23">
        <v>1024436</v>
      </c>
      <c r="D50" s="23">
        <v>1</v>
      </c>
      <c r="E50" s="23">
        <v>1024431</v>
      </c>
      <c r="F50" s="23" t="s">
        <v>239</v>
      </c>
      <c r="G50" s="5">
        <v>10</v>
      </c>
      <c r="H50" s="23">
        <v>1</v>
      </c>
      <c r="I50" s="23">
        <v>0</v>
      </c>
      <c r="J50" s="23">
        <v>0</v>
      </c>
      <c r="K50" s="23" t="s">
        <v>24</v>
      </c>
      <c r="L50" s="23" t="s">
        <v>597</v>
      </c>
      <c r="M50" s="23" t="s">
        <v>1954</v>
      </c>
      <c r="N50" s="24">
        <v>45828</v>
      </c>
      <c r="O50" s="28">
        <v>6.9444444444444441E-3</v>
      </c>
      <c r="P50" s="3">
        <v>45817</v>
      </c>
      <c r="Q50" s="62">
        <v>45814.868819444448</v>
      </c>
      <c r="R50" s="72">
        <v>45814.875763888893</v>
      </c>
      <c r="S50" s="25">
        <v>0.87569444444444444</v>
      </c>
      <c r="T50" s="63">
        <v>2.999930555553874</v>
      </c>
      <c r="U50" s="47">
        <f>IFERROR(INDEX(NOVO!O:O,MATCH(PRINT!E486,NOVO!C:C,0)),"")</f>
        <v>133520</v>
      </c>
      <c r="AA50" s="49">
        <v>137941</v>
      </c>
    </row>
    <row r="51" spans="1:27" s="23" customFormat="1" x14ac:dyDescent="0.35">
      <c r="A51" s="54">
        <v>0</v>
      </c>
      <c r="C51" s="23">
        <v>1022621</v>
      </c>
      <c r="D51" s="23">
        <v>10</v>
      </c>
      <c r="E51" s="23">
        <v>1022639</v>
      </c>
      <c r="F51" s="23" t="s">
        <v>1952</v>
      </c>
      <c r="G51" s="5">
        <v>141</v>
      </c>
      <c r="H51" s="23">
        <v>20</v>
      </c>
      <c r="I51" s="23">
        <v>0</v>
      </c>
      <c r="J51" s="23">
        <v>0</v>
      </c>
      <c r="K51" s="23" t="s">
        <v>24</v>
      </c>
      <c r="L51" s="23" t="s">
        <v>597</v>
      </c>
      <c r="M51" s="23" t="s">
        <v>1953</v>
      </c>
      <c r="N51" s="24">
        <v>45838</v>
      </c>
      <c r="O51" s="28">
        <v>9.7986111111111107E-2</v>
      </c>
      <c r="P51" s="3">
        <v>45817</v>
      </c>
      <c r="Q51" s="62">
        <v>45814.770833333336</v>
      </c>
      <c r="R51" s="72">
        <v>45814.868819444448</v>
      </c>
      <c r="S51" s="25">
        <v>0.86875000000000002</v>
      </c>
      <c r="T51" s="63">
        <v>2.999930555553874</v>
      </c>
      <c r="U51" s="47">
        <f>IFERROR(INDEX(NOVO!O:O,MATCH(PRINT!E485,NOVO!C:C,0)),"")</f>
        <v>133531</v>
      </c>
      <c r="AA51" s="49">
        <v>138053</v>
      </c>
    </row>
    <row r="52" spans="1:27" s="23" customFormat="1" x14ac:dyDescent="0.35">
      <c r="A52" s="54"/>
      <c r="G52" s="5"/>
      <c r="N52" s="24" t="s">
        <v>198</v>
      </c>
      <c r="O52" s="28">
        <v>2.0833333333333332E-2</v>
      </c>
      <c r="P52" s="3">
        <v>45817</v>
      </c>
      <c r="Q52" s="62">
        <v>45814.75</v>
      </c>
      <c r="R52" s="72">
        <v>45814.770833333336</v>
      </c>
      <c r="S52" s="25">
        <v>0.77083333333333337</v>
      </c>
      <c r="T52" s="63">
        <v>3</v>
      </c>
      <c r="U52" s="47">
        <f>IFERROR(INDEX(NOVO!O:O,MATCH(PRINT!E484,NOVO!C:C,0)),"")</f>
        <v>133520</v>
      </c>
      <c r="AA52" s="49">
        <v>139273</v>
      </c>
    </row>
    <row r="53" spans="1:27" s="23" customFormat="1" x14ac:dyDescent="0.35">
      <c r="A53" s="54">
        <v>0</v>
      </c>
      <c r="C53" s="23">
        <v>1022621</v>
      </c>
      <c r="D53" s="23">
        <v>10</v>
      </c>
      <c r="E53" s="23">
        <v>1022639</v>
      </c>
      <c r="F53" s="23" t="s">
        <v>1952</v>
      </c>
      <c r="G53" s="5">
        <v>258</v>
      </c>
      <c r="H53" s="23">
        <v>20</v>
      </c>
      <c r="I53" s="23">
        <v>0</v>
      </c>
      <c r="J53" s="23">
        <v>0</v>
      </c>
      <c r="K53" s="23" t="s">
        <v>24</v>
      </c>
      <c r="L53" s="23" t="s">
        <v>597</v>
      </c>
      <c r="M53" s="23" t="s">
        <v>1953</v>
      </c>
      <c r="N53" s="24">
        <v>45838</v>
      </c>
      <c r="O53" s="28">
        <v>0.179791666669189</v>
      </c>
      <c r="P53" s="3">
        <v>45817</v>
      </c>
      <c r="Q53" s="62">
        <v>45814.570208333331</v>
      </c>
      <c r="R53" s="72">
        <v>45814.75</v>
      </c>
      <c r="S53" s="25">
        <v>0.75</v>
      </c>
      <c r="T53" s="63">
        <v>3</v>
      </c>
      <c r="U53" s="47">
        <f>IFERROR(INDEX(NOVO!O:O,MATCH(PRINT!E483,NOVO!C:C,0)),"")</f>
        <v>138053</v>
      </c>
      <c r="AA53" s="49">
        <v>139605</v>
      </c>
    </row>
    <row r="54" spans="1:27" s="23" customFormat="1" x14ac:dyDescent="0.35">
      <c r="A54" s="54">
        <v>0</v>
      </c>
      <c r="C54" s="23">
        <v>1022600</v>
      </c>
      <c r="D54" s="23">
        <v>10</v>
      </c>
      <c r="E54" s="23">
        <v>1022618</v>
      </c>
      <c r="F54" s="23" t="s">
        <v>1950</v>
      </c>
      <c r="G54" s="5">
        <v>191</v>
      </c>
      <c r="H54" s="23">
        <v>20</v>
      </c>
      <c r="I54" s="23">
        <v>0</v>
      </c>
      <c r="J54" s="23">
        <v>0</v>
      </c>
      <c r="K54" s="23" t="s">
        <v>24</v>
      </c>
      <c r="L54" s="23" t="s">
        <v>597</v>
      </c>
      <c r="M54" s="23" t="s">
        <v>1951</v>
      </c>
      <c r="N54" s="24">
        <v>45838</v>
      </c>
      <c r="O54" s="28">
        <v>0.13270833333333334</v>
      </c>
      <c r="P54" s="3">
        <v>45817</v>
      </c>
      <c r="Q54" s="62">
        <v>45814.4375</v>
      </c>
      <c r="R54" s="72">
        <v>45814.570208333331</v>
      </c>
      <c r="S54" s="25">
        <v>0.57013888888888886</v>
      </c>
      <c r="T54" s="63">
        <v>2.99993055556115</v>
      </c>
      <c r="U54" s="47">
        <f>IFERROR(INDEX(NOVO!O:O,MATCH(PRINT!E482,NOVO!C:C,0)),"")</f>
        <v>183698</v>
      </c>
      <c r="AA54" s="49">
        <v>139606</v>
      </c>
    </row>
    <row r="55" spans="1:27" s="23" customFormat="1" x14ac:dyDescent="0.35">
      <c r="A55" s="54"/>
      <c r="G55" s="5"/>
      <c r="N55" s="24" t="s">
        <v>198</v>
      </c>
      <c r="O55" s="28">
        <v>2.0833333333333332E-2</v>
      </c>
      <c r="P55" s="3">
        <v>45817</v>
      </c>
      <c r="Q55" s="62">
        <v>45814.416666666664</v>
      </c>
      <c r="R55" s="72">
        <v>45814.4375</v>
      </c>
      <c r="S55" s="25">
        <v>0.4375</v>
      </c>
      <c r="T55" s="63">
        <v>3</v>
      </c>
      <c r="U55" s="47">
        <f>IFERROR(INDEX(NOVO!O:O,MATCH(PRINT!E481,NOVO!C:C,0)),"")</f>
        <v>183678</v>
      </c>
      <c r="AA55" s="49">
        <v>139607</v>
      </c>
    </row>
    <row r="56" spans="1:27" s="23" customFormat="1" x14ac:dyDescent="0.35">
      <c r="A56" s="54">
        <v>0</v>
      </c>
      <c r="C56" s="23">
        <v>1022600</v>
      </c>
      <c r="D56" s="23">
        <v>10</v>
      </c>
      <c r="E56" s="23">
        <v>1022618</v>
      </c>
      <c r="F56" s="23" t="s">
        <v>1950</v>
      </c>
      <c r="G56" s="5">
        <v>408</v>
      </c>
      <c r="H56" s="23">
        <v>20</v>
      </c>
      <c r="I56" s="23">
        <v>0</v>
      </c>
      <c r="J56" s="23">
        <v>0</v>
      </c>
      <c r="K56" s="23" t="s">
        <v>24</v>
      </c>
      <c r="L56" s="23" t="s">
        <v>597</v>
      </c>
      <c r="M56" s="23" t="s">
        <v>1951</v>
      </c>
      <c r="N56" s="24">
        <v>45838</v>
      </c>
      <c r="O56" s="28">
        <v>0.28395833332615439</v>
      </c>
      <c r="P56" s="3">
        <v>45817</v>
      </c>
      <c r="Q56" s="62">
        <v>45814.132708333338</v>
      </c>
      <c r="R56" s="72">
        <v>45814.416666666664</v>
      </c>
      <c r="S56" s="25">
        <v>0.41666666666666669</v>
      </c>
      <c r="T56" s="63">
        <v>3</v>
      </c>
      <c r="U56" s="47">
        <f>IFERROR(INDEX(NOVO!O:O,MATCH(PRINT!E480,NOVO!C:C,0)),"")</f>
        <v>183685</v>
      </c>
      <c r="AA56" s="49">
        <v>139608</v>
      </c>
    </row>
    <row r="57" spans="1:27" s="23" customFormat="1" x14ac:dyDescent="0.35">
      <c r="A57" s="54">
        <v>0</v>
      </c>
      <c r="C57" s="23">
        <v>1022410</v>
      </c>
      <c r="D57" s="23">
        <v>10</v>
      </c>
      <c r="E57" s="23">
        <v>1022421</v>
      </c>
      <c r="F57" s="23" t="s">
        <v>1306</v>
      </c>
      <c r="G57" s="5">
        <v>41</v>
      </c>
      <c r="H57" s="23">
        <v>10</v>
      </c>
      <c r="I57" s="23">
        <v>0</v>
      </c>
      <c r="J57" s="23">
        <v>0</v>
      </c>
      <c r="K57" s="23" t="s">
        <v>24</v>
      </c>
      <c r="L57" s="23" t="s">
        <v>597</v>
      </c>
      <c r="M57" s="23" t="s">
        <v>1949</v>
      </c>
      <c r="N57" s="24">
        <v>45846</v>
      </c>
      <c r="O57" s="28">
        <v>2.8541666666666667E-2</v>
      </c>
      <c r="P57" s="3">
        <v>45817</v>
      </c>
      <c r="Q57" s="62">
        <v>45814.104166666672</v>
      </c>
      <c r="R57" s="72">
        <v>45814.132708333338</v>
      </c>
      <c r="S57" s="25">
        <v>0.13263888888888889</v>
      </c>
      <c r="T57" s="63">
        <v>2.999930555553874</v>
      </c>
      <c r="U57" s="47">
        <f>IFERROR(INDEX(NOVO!O:O,MATCH(PRINT!E479,NOVO!C:C,0)),"")</f>
        <v>183684</v>
      </c>
      <c r="AA57" s="49">
        <v>139609</v>
      </c>
    </row>
    <row r="58" spans="1:27" s="23" customFormat="1" x14ac:dyDescent="0.35">
      <c r="A58" s="54"/>
      <c r="G58" s="5"/>
      <c r="N58" s="24" t="s">
        <v>198</v>
      </c>
      <c r="O58" s="28">
        <v>2.0833333333333332E-2</v>
      </c>
      <c r="P58" s="3">
        <v>45817</v>
      </c>
      <c r="Q58" s="62">
        <v>45814.083333333336</v>
      </c>
      <c r="R58" s="72">
        <v>45814.104166666672</v>
      </c>
      <c r="S58" s="25">
        <v>0.10416666666666667</v>
      </c>
      <c r="T58" s="63">
        <v>2.999999999992724</v>
      </c>
      <c r="U58" s="47">
        <f>IFERROR(INDEX(NOVO!O:O,MATCH(PRINT!E478,NOVO!C:C,0)),"")</f>
        <v>183685</v>
      </c>
      <c r="AA58" s="49">
        <v>139610</v>
      </c>
    </row>
    <row r="59" spans="1:27" s="23" customFormat="1" x14ac:dyDescent="0.35">
      <c r="A59" s="54">
        <v>0</v>
      </c>
      <c r="C59" s="23">
        <v>1022410</v>
      </c>
      <c r="D59" s="23">
        <v>10</v>
      </c>
      <c r="E59" s="23">
        <v>1022421</v>
      </c>
      <c r="F59" s="23" t="s">
        <v>1306</v>
      </c>
      <c r="G59" s="5">
        <v>78</v>
      </c>
      <c r="H59" s="23">
        <v>10</v>
      </c>
      <c r="I59" s="23">
        <v>0</v>
      </c>
      <c r="J59" s="23">
        <v>0</v>
      </c>
      <c r="K59" s="23" t="s">
        <v>24</v>
      </c>
      <c r="L59" s="23" t="s">
        <v>597</v>
      </c>
      <c r="M59" s="23" t="s">
        <v>1949</v>
      </c>
      <c r="N59" s="24">
        <v>45846</v>
      </c>
      <c r="O59" s="28">
        <v>5.4791666669188999E-2</v>
      </c>
      <c r="P59" s="3">
        <v>45817</v>
      </c>
      <c r="Q59" s="62">
        <v>45814.028541666667</v>
      </c>
      <c r="R59" s="72">
        <v>45814.083333333336</v>
      </c>
      <c r="S59" s="25">
        <v>8.3333333333333329E-2</v>
      </c>
      <c r="T59" s="63">
        <v>3</v>
      </c>
      <c r="U59" s="47" t="str">
        <f>IFERROR(INDEX(NOVO!O:O,MATCH(PRINT!E477,NOVO!C:C,0)),"")</f>
        <v/>
      </c>
      <c r="AA59" s="49">
        <v>139611</v>
      </c>
    </row>
    <row r="60" spans="1:27" s="23" customFormat="1" x14ac:dyDescent="0.35">
      <c r="A60" s="54">
        <v>0</v>
      </c>
      <c r="C60" s="23">
        <v>1022410</v>
      </c>
      <c r="D60" s="23">
        <v>10</v>
      </c>
      <c r="E60" s="23">
        <v>1022414</v>
      </c>
      <c r="F60" s="23" t="s">
        <v>1305</v>
      </c>
      <c r="G60" s="5">
        <v>371</v>
      </c>
      <c r="H60" s="23">
        <v>10</v>
      </c>
      <c r="I60" s="23">
        <v>0</v>
      </c>
      <c r="J60" s="23">
        <v>0</v>
      </c>
      <c r="K60" s="23" t="s">
        <v>24</v>
      </c>
      <c r="L60" s="23" t="s">
        <v>597</v>
      </c>
      <c r="M60" s="23" t="s">
        <v>1949</v>
      </c>
      <c r="N60" s="24">
        <v>45846</v>
      </c>
      <c r="O60" s="28">
        <v>0.25770833333333332</v>
      </c>
      <c r="P60" s="3">
        <v>45817</v>
      </c>
      <c r="Q60" s="62">
        <v>45813.770833333336</v>
      </c>
      <c r="R60" s="72">
        <v>45814.028541666667</v>
      </c>
      <c r="S60" s="25">
        <v>2.8472222222222222E-2</v>
      </c>
      <c r="T60" s="63">
        <v>2.999930555553874</v>
      </c>
      <c r="U60" s="47">
        <f>IFERROR(INDEX(NOVO!O:O,MATCH(PRINT!E476,NOVO!C:C,0)),"")</f>
        <v>183685</v>
      </c>
      <c r="AA60" s="49">
        <v>139615</v>
      </c>
    </row>
    <row r="61" spans="1:27" s="23" customFormat="1" x14ac:dyDescent="0.35">
      <c r="A61" s="54"/>
      <c r="G61" s="5"/>
      <c r="N61" s="24" t="s">
        <v>198</v>
      </c>
      <c r="O61" s="28">
        <v>2.0833333333333332E-2</v>
      </c>
      <c r="P61" s="3">
        <v>45817</v>
      </c>
      <c r="Q61" s="62">
        <v>45813.75</v>
      </c>
      <c r="R61" s="72">
        <v>45813.770833333336</v>
      </c>
      <c r="S61" s="25">
        <v>0.77083333333333337</v>
      </c>
      <c r="T61" s="63">
        <v>4</v>
      </c>
      <c r="U61" s="47">
        <f>IFERROR(INDEX(NOVO!O:O,MATCH(PRINT!E475,NOVO!C:C,0)),"")</f>
        <v>183698</v>
      </c>
      <c r="AA61" s="49">
        <v>139618</v>
      </c>
    </row>
    <row r="62" spans="1:27" s="23" customFormat="1" x14ac:dyDescent="0.35">
      <c r="A62" s="54">
        <v>0</v>
      </c>
      <c r="C62" s="23">
        <v>1022410</v>
      </c>
      <c r="D62" s="23">
        <v>10</v>
      </c>
      <c r="E62" s="23">
        <v>1022414</v>
      </c>
      <c r="F62" s="23" t="s">
        <v>1305</v>
      </c>
      <c r="G62" s="5">
        <v>179</v>
      </c>
      <c r="H62" s="23">
        <v>10</v>
      </c>
      <c r="I62" s="23">
        <v>0</v>
      </c>
      <c r="J62" s="23">
        <v>0</v>
      </c>
      <c r="K62" s="23" t="s">
        <v>24</v>
      </c>
      <c r="L62" s="23" t="s">
        <v>597</v>
      </c>
      <c r="M62" s="23" t="s">
        <v>1949</v>
      </c>
      <c r="N62" s="24">
        <v>45846</v>
      </c>
      <c r="O62" s="28">
        <v>0.12430555555329192</v>
      </c>
      <c r="P62" s="3">
        <v>45817</v>
      </c>
      <c r="Q62" s="62">
        <v>45813.625694444447</v>
      </c>
      <c r="R62" s="72">
        <v>45813.75</v>
      </c>
      <c r="S62" s="25">
        <v>0.75</v>
      </c>
      <c r="T62" s="63">
        <v>4</v>
      </c>
      <c r="U62" s="47">
        <f>IFERROR(INDEX(NOVO!O:O,MATCH(PRINT!E474,NOVO!C:C,0)),"")</f>
        <v>183684</v>
      </c>
      <c r="AA62" s="49">
        <v>139619</v>
      </c>
    </row>
    <row r="63" spans="1:27" s="23" customFormat="1" x14ac:dyDescent="0.35">
      <c r="A63" s="54">
        <v>0</v>
      </c>
      <c r="C63" s="23">
        <v>1022410</v>
      </c>
      <c r="D63" s="23">
        <v>10</v>
      </c>
      <c r="E63" s="23">
        <v>1022412</v>
      </c>
      <c r="F63" s="23" t="s">
        <v>1307</v>
      </c>
      <c r="G63" s="5">
        <v>250</v>
      </c>
      <c r="H63" s="23">
        <v>10</v>
      </c>
      <c r="I63" s="23">
        <v>0</v>
      </c>
      <c r="J63" s="23">
        <v>0</v>
      </c>
      <c r="K63" s="23" t="s">
        <v>24</v>
      </c>
      <c r="L63" s="23" t="s">
        <v>597</v>
      </c>
      <c r="M63" s="23" t="s">
        <v>1949</v>
      </c>
      <c r="N63" s="24">
        <v>45846</v>
      </c>
      <c r="O63" s="28">
        <v>0.17368055555555556</v>
      </c>
      <c r="P63" s="3">
        <v>45817</v>
      </c>
      <c r="Q63" s="62">
        <v>45813.452013888891</v>
      </c>
      <c r="R63" s="72">
        <v>45813.625694444447</v>
      </c>
      <c r="S63" s="25">
        <v>0.62569444444444444</v>
      </c>
      <c r="T63" s="63">
        <v>4</v>
      </c>
      <c r="U63" s="47">
        <f>IFERROR(INDEX(NOVO!O:O,MATCH(PRINT!E473,NOVO!C:C,0)),"")</f>
        <v>183678</v>
      </c>
      <c r="AA63" s="49">
        <v>139624</v>
      </c>
    </row>
    <row r="64" spans="1:27" s="23" customFormat="1" x14ac:dyDescent="0.35">
      <c r="A64" s="54">
        <v>0</v>
      </c>
      <c r="C64" s="23">
        <v>1022410</v>
      </c>
      <c r="D64" s="23">
        <v>10</v>
      </c>
      <c r="E64" s="23">
        <v>1022418</v>
      </c>
      <c r="F64" s="23" t="s">
        <v>1308</v>
      </c>
      <c r="G64" s="5">
        <v>20</v>
      </c>
      <c r="H64" s="23">
        <v>10</v>
      </c>
      <c r="I64" s="23">
        <v>0</v>
      </c>
      <c r="J64" s="23">
        <v>0</v>
      </c>
      <c r="K64" s="23" t="s">
        <v>24</v>
      </c>
      <c r="L64" s="23" t="s">
        <v>597</v>
      </c>
      <c r="M64" s="23" t="s">
        <v>1949</v>
      </c>
      <c r="N64" s="24">
        <v>45846</v>
      </c>
      <c r="O64" s="28">
        <v>1.4513888888888889E-2</v>
      </c>
      <c r="P64" s="3">
        <v>45817</v>
      </c>
      <c r="Q64" s="62">
        <v>45813.4375</v>
      </c>
      <c r="R64" s="72">
        <v>45813.452013888891</v>
      </c>
      <c r="S64" s="25">
        <v>0.4513888888888889</v>
      </c>
      <c r="T64" s="63">
        <v>3.9993749999994179</v>
      </c>
      <c r="U64" s="47">
        <f>IFERROR(INDEX(NOVO!O:O,MATCH(PRINT!E472,NOVO!C:C,0)),"")</f>
        <v>183678</v>
      </c>
      <c r="AA64" s="49">
        <v>139631</v>
      </c>
    </row>
    <row r="65" spans="1:27" s="23" customFormat="1" x14ac:dyDescent="0.35">
      <c r="A65" s="54"/>
      <c r="G65" s="5"/>
      <c r="N65" s="24" t="s">
        <v>198</v>
      </c>
      <c r="O65" s="28">
        <v>2.0833333333333332E-2</v>
      </c>
      <c r="P65" s="3">
        <v>45817</v>
      </c>
      <c r="Q65" s="62">
        <v>45813.416666666664</v>
      </c>
      <c r="R65" s="72">
        <v>45813.4375</v>
      </c>
      <c r="S65" s="25">
        <v>0.4375</v>
      </c>
      <c r="T65" s="63">
        <v>4</v>
      </c>
      <c r="U65" s="47">
        <f>IFERROR(INDEX(NOVO!O:O,MATCH(PRINT!E471,NOVO!C:C,0)),"")</f>
        <v>183685</v>
      </c>
      <c r="AA65" s="49">
        <v>139758</v>
      </c>
    </row>
    <row r="66" spans="1:27" s="23" customFormat="1" x14ac:dyDescent="0.35">
      <c r="A66" s="54">
        <v>0</v>
      </c>
      <c r="C66" s="23">
        <v>1022410</v>
      </c>
      <c r="D66" s="23">
        <v>10</v>
      </c>
      <c r="E66" s="23">
        <v>1022418</v>
      </c>
      <c r="F66" s="23" t="s">
        <v>1308</v>
      </c>
      <c r="G66" s="5">
        <v>79</v>
      </c>
      <c r="H66" s="23">
        <v>10</v>
      </c>
      <c r="I66" s="23">
        <v>0</v>
      </c>
      <c r="J66" s="23">
        <v>0</v>
      </c>
      <c r="K66" s="23" t="s">
        <v>24</v>
      </c>
      <c r="L66" s="23" t="s">
        <v>597</v>
      </c>
      <c r="M66" s="23" t="s">
        <v>1949</v>
      </c>
      <c r="N66" s="24">
        <v>45846</v>
      </c>
      <c r="O66" s="28">
        <v>5.4999999993015081E-2</v>
      </c>
      <c r="P66" s="3">
        <v>45817</v>
      </c>
      <c r="Q66" s="62">
        <v>45813.361666666671</v>
      </c>
      <c r="R66" s="72">
        <v>45813.416666666664</v>
      </c>
      <c r="S66" s="25">
        <v>0.41666666666666669</v>
      </c>
      <c r="T66" s="63">
        <v>4</v>
      </c>
      <c r="U66" s="47">
        <f>IFERROR(INDEX(NOVO!O:O,MATCH(PRINT!E470,NOVO!C:C,0)),"")</f>
        <v>183698</v>
      </c>
      <c r="AA66" s="49">
        <v>140479</v>
      </c>
    </row>
    <row r="67" spans="1:27" s="23" customFormat="1" x14ac:dyDescent="0.35">
      <c r="A67" s="54">
        <v>0</v>
      </c>
      <c r="C67" s="23">
        <v>1022087</v>
      </c>
      <c r="D67" s="23">
        <v>1</v>
      </c>
      <c r="E67" s="23">
        <v>1022089</v>
      </c>
      <c r="F67" s="23" t="s">
        <v>1947</v>
      </c>
      <c r="G67" s="5">
        <v>15</v>
      </c>
      <c r="H67" s="23">
        <v>1</v>
      </c>
      <c r="I67" s="23">
        <v>0</v>
      </c>
      <c r="J67" s="23">
        <v>0</v>
      </c>
      <c r="K67" s="23" t="s">
        <v>24</v>
      </c>
      <c r="L67" s="23" t="s">
        <v>597</v>
      </c>
      <c r="M67" s="23" t="s">
        <v>1948</v>
      </c>
      <c r="N67" s="24">
        <v>45832</v>
      </c>
      <c r="O67" s="28">
        <v>1.0416666666666666E-2</v>
      </c>
      <c r="P67" s="3">
        <v>45817</v>
      </c>
      <c r="Q67" s="62">
        <v>45813.351250000007</v>
      </c>
      <c r="R67" s="72">
        <v>45813.361666666671</v>
      </c>
      <c r="S67" s="25">
        <v>0.3611111111111111</v>
      </c>
      <c r="T67" s="63">
        <v>3.999444444438268</v>
      </c>
      <c r="U67" s="47">
        <f>IFERROR(INDEX(NOVO!O:O,MATCH(PRINT!E469,NOVO!C:C,0)),"")</f>
        <v>183684</v>
      </c>
      <c r="AA67" s="49">
        <v>140483</v>
      </c>
    </row>
    <row r="68" spans="1:27" s="23" customFormat="1" x14ac:dyDescent="0.35">
      <c r="A68" s="54">
        <v>0</v>
      </c>
      <c r="C68" s="23">
        <v>1021995</v>
      </c>
      <c r="D68" s="23">
        <v>1</v>
      </c>
      <c r="E68" s="23">
        <v>1021910</v>
      </c>
      <c r="F68" s="23" t="s">
        <v>1612</v>
      </c>
      <c r="G68" s="5">
        <v>20</v>
      </c>
      <c r="H68" s="23">
        <v>6</v>
      </c>
      <c r="I68" s="23">
        <v>0</v>
      </c>
      <c r="J68" s="23">
        <v>0</v>
      </c>
      <c r="K68" s="23" t="s">
        <v>24</v>
      </c>
      <c r="L68" s="23" t="s">
        <v>597</v>
      </c>
      <c r="M68" s="23" t="s">
        <v>1946</v>
      </c>
      <c r="N68" s="24">
        <v>45820</v>
      </c>
      <c r="O68" s="28">
        <v>1.3888888888888888E-2</v>
      </c>
      <c r="P68" s="3">
        <v>45817</v>
      </c>
      <c r="Q68" s="62">
        <v>45813.337361111116</v>
      </c>
      <c r="R68" s="72">
        <v>45813.351250000007</v>
      </c>
      <c r="S68" s="25">
        <v>0.35069444444444442</v>
      </c>
      <c r="T68" s="63">
        <v>3.999444444438268</v>
      </c>
      <c r="U68" s="47">
        <f>IFERROR(INDEX(NOVO!O:O,MATCH(PRINT!E468,NOVO!C:C,0)),"")</f>
        <v>140061</v>
      </c>
      <c r="AA68" s="49">
        <v>140486</v>
      </c>
    </row>
    <row r="69" spans="1:27" s="23" customFormat="1" x14ac:dyDescent="0.35">
      <c r="A69" s="54">
        <v>0</v>
      </c>
      <c r="C69" s="23">
        <v>1021995</v>
      </c>
      <c r="D69" s="23">
        <v>1</v>
      </c>
      <c r="E69" s="23">
        <v>1021911</v>
      </c>
      <c r="F69" s="23" t="s">
        <v>1623</v>
      </c>
      <c r="G69" s="5">
        <v>30</v>
      </c>
      <c r="H69" s="23">
        <v>6</v>
      </c>
      <c r="I69" s="23">
        <v>0</v>
      </c>
      <c r="J69" s="23">
        <v>0</v>
      </c>
      <c r="K69" s="23" t="s">
        <v>24</v>
      </c>
      <c r="L69" s="23" t="s">
        <v>597</v>
      </c>
      <c r="M69" s="23" t="s">
        <v>1946</v>
      </c>
      <c r="N69" s="24">
        <v>45820</v>
      </c>
      <c r="O69" s="28">
        <v>2.0833333333333332E-2</v>
      </c>
      <c r="P69" s="3">
        <v>45817</v>
      </c>
      <c r="Q69" s="62">
        <v>45813.316527777781</v>
      </c>
      <c r="R69" s="72">
        <v>45813.337361111116</v>
      </c>
      <c r="S69" s="25">
        <v>0.33680555555555558</v>
      </c>
      <c r="T69" s="63">
        <v>3.999444444438268</v>
      </c>
      <c r="U69" s="47">
        <f>IFERROR(INDEX(NOVO!O:O,MATCH(PRINT!E467,NOVO!C:C,0)),"")</f>
        <v>140041</v>
      </c>
      <c r="AA69" s="49">
        <v>141387</v>
      </c>
    </row>
    <row r="70" spans="1:27" s="23" customFormat="1" x14ac:dyDescent="0.35">
      <c r="A70" s="54">
        <v>0</v>
      </c>
      <c r="C70" s="23">
        <v>1021995</v>
      </c>
      <c r="D70" s="23">
        <v>1</v>
      </c>
      <c r="E70" s="23">
        <v>1021953</v>
      </c>
      <c r="F70" s="23" t="s">
        <v>1710</v>
      </c>
      <c r="G70" s="5">
        <v>15</v>
      </c>
      <c r="H70" s="23">
        <v>6</v>
      </c>
      <c r="I70" s="23">
        <v>0</v>
      </c>
      <c r="J70" s="23">
        <v>0</v>
      </c>
      <c r="K70" s="23" t="s">
        <v>24</v>
      </c>
      <c r="L70" s="23" t="s">
        <v>597</v>
      </c>
      <c r="M70" s="23" t="s">
        <v>1946</v>
      </c>
      <c r="N70" s="24">
        <v>45820</v>
      </c>
      <c r="O70" s="28">
        <v>1.0416666666666666E-2</v>
      </c>
      <c r="P70" s="3">
        <v>45817</v>
      </c>
      <c r="Q70" s="62">
        <v>45813.306111111116</v>
      </c>
      <c r="R70" s="72">
        <v>45813.316527777781</v>
      </c>
      <c r="S70" s="25">
        <v>0.31597222222222221</v>
      </c>
      <c r="T70" s="63">
        <v>3.999444444438268</v>
      </c>
      <c r="U70" s="47">
        <f>IFERROR(INDEX(NOVO!O:O,MATCH(PRINT!E466,NOVO!C:C,0)),"")</f>
        <v>140061</v>
      </c>
      <c r="AA70" s="49">
        <v>141400</v>
      </c>
    </row>
    <row r="71" spans="1:27" s="23" customFormat="1" x14ac:dyDescent="0.35">
      <c r="A71" s="54">
        <v>0</v>
      </c>
      <c r="C71" s="23">
        <v>1021994</v>
      </c>
      <c r="D71" s="23">
        <v>1</v>
      </c>
      <c r="E71" s="23">
        <v>1021953</v>
      </c>
      <c r="F71" s="23" t="s">
        <v>1710</v>
      </c>
      <c r="G71" s="5">
        <v>15</v>
      </c>
      <c r="H71" s="23">
        <v>6</v>
      </c>
      <c r="I71" s="23">
        <v>0</v>
      </c>
      <c r="J71" s="23">
        <v>0</v>
      </c>
      <c r="K71" s="23" t="s">
        <v>24</v>
      </c>
      <c r="L71" s="23" t="s">
        <v>597</v>
      </c>
      <c r="M71" s="23" t="s">
        <v>1946</v>
      </c>
      <c r="N71" s="24">
        <v>45820</v>
      </c>
      <c r="O71" s="28">
        <v>1.0416666666666666E-2</v>
      </c>
      <c r="P71" s="3">
        <v>45817</v>
      </c>
      <c r="Q71" s="62">
        <v>45813.295694444452</v>
      </c>
      <c r="R71" s="72">
        <v>45813.306111111116</v>
      </c>
      <c r="S71" s="25">
        <v>0.30555555555555558</v>
      </c>
      <c r="T71" s="63">
        <v>3.999444444438268</v>
      </c>
      <c r="U71" s="47">
        <f>IFERROR(INDEX(NOVO!O:O,MATCH(PRINT!E465,NOVO!C:C,0)),"")</f>
        <v>140041</v>
      </c>
      <c r="AA71" s="49">
        <v>141577</v>
      </c>
    </row>
    <row r="72" spans="1:27" s="23" customFormat="1" x14ac:dyDescent="0.35">
      <c r="A72" s="54">
        <v>0</v>
      </c>
      <c r="C72" s="23">
        <v>1021994</v>
      </c>
      <c r="D72" s="23">
        <v>1</v>
      </c>
      <c r="E72" s="23">
        <v>1021911</v>
      </c>
      <c r="F72" s="23" t="s">
        <v>1623</v>
      </c>
      <c r="G72" s="5">
        <v>30</v>
      </c>
      <c r="H72" s="23">
        <v>6</v>
      </c>
      <c r="I72" s="23">
        <v>0</v>
      </c>
      <c r="J72" s="23">
        <v>0</v>
      </c>
      <c r="K72" s="23" t="s">
        <v>24</v>
      </c>
      <c r="L72" s="23" t="s">
        <v>597</v>
      </c>
      <c r="M72" s="23" t="s">
        <v>1946</v>
      </c>
      <c r="N72" s="24">
        <v>45820</v>
      </c>
      <c r="O72" s="28">
        <v>2.0833333333333332E-2</v>
      </c>
      <c r="P72" s="3">
        <v>45817</v>
      </c>
      <c r="Q72" s="62">
        <v>45813.274861111116</v>
      </c>
      <c r="R72" s="72">
        <v>45813.295694444452</v>
      </c>
      <c r="S72" s="25">
        <v>0.2951388888888889</v>
      </c>
      <c r="T72" s="63">
        <v>3.999444444438268</v>
      </c>
      <c r="U72" s="47" t="str">
        <f>IFERROR(INDEX(NOVO!O:O,MATCH(PRINT!E464,NOVO!C:C,0)),"")</f>
        <v/>
      </c>
      <c r="AA72" s="49">
        <v>141616</v>
      </c>
    </row>
    <row r="73" spans="1:27" s="23" customFormat="1" x14ac:dyDescent="0.35">
      <c r="A73" s="54">
        <v>0</v>
      </c>
      <c r="C73" s="23">
        <v>1021994</v>
      </c>
      <c r="D73" s="23">
        <v>1</v>
      </c>
      <c r="E73" s="23">
        <v>1021910</v>
      </c>
      <c r="F73" s="23" t="s">
        <v>1612</v>
      </c>
      <c r="G73" s="5">
        <v>20</v>
      </c>
      <c r="H73" s="23">
        <v>6</v>
      </c>
      <c r="I73" s="23">
        <v>0</v>
      </c>
      <c r="J73" s="23">
        <v>0</v>
      </c>
      <c r="K73" s="23" t="s">
        <v>24</v>
      </c>
      <c r="L73" s="23" t="s">
        <v>597</v>
      </c>
      <c r="M73" s="23" t="s">
        <v>1946</v>
      </c>
      <c r="N73" s="24">
        <v>45820</v>
      </c>
      <c r="O73" s="28">
        <v>1.3888888888888888E-2</v>
      </c>
      <c r="P73" s="3">
        <v>45817</v>
      </c>
      <c r="Q73" s="62">
        <v>45813.260972222226</v>
      </c>
      <c r="R73" s="72">
        <v>45813.274861111116</v>
      </c>
      <c r="S73" s="25">
        <v>0.27430555555555558</v>
      </c>
      <c r="T73" s="63">
        <v>3.999444444438268</v>
      </c>
      <c r="U73" s="47">
        <f>IFERROR(INDEX(NOVO!O:O,MATCH(PRINT!E463,NOVO!C:C,0)),"")</f>
        <v>140041</v>
      </c>
      <c r="AA73" s="49">
        <v>141617</v>
      </c>
    </row>
    <row r="74" spans="1:27" s="23" customFormat="1" x14ac:dyDescent="0.35">
      <c r="A74" s="54">
        <v>0</v>
      </c>
      <c r="C74" s="23">
        <v>1021993</v>
      </c>
      <c r="D74" s="23">
        <v>1</v>
      </c>
      <c r="E74" s="23">
        <v>1021911</v>
      </c>
      <c r="F74" s="23" t="s">
        <v>1623</v>
      </c>
      <c r="G74" s="5">
        <v>30</v>
      </c>
      <c r="H74" s="23">
        <v>6</v>
      </c>
      <c r="I74" s="23">
        <v>0</v>
      </c>
      <c r="J74" s="23">
        <v>0</v>
      </c>
      <c r="K74" s="23" t="s">
        <v>24</v>
      </c>
      <c r="L74" s="23" t="s">
        <v>597</v>
      </c>
      <c r="M74" s="23" t="s">
        <v>1946</v>
      </c>
      <c r="N74" s="24">
        <v>45820</v>
      </c>
      <c r="O74" s="28">
        <v>2.0833333333333332E-2</v>
      </c>
      <c r="P74" s="3">
        <v>45817</v>
      </c>
      <c r="Q74" s="62">
        <v>45813.24013888889</v>
      </c>
      <c r="R74" s="72">
        <v>45813.260972222226</v>
      </c>
      <c r="S74" s="25">
        <v>0.26041666666666669</v>
      </c>
      <c r="T74" s="63">
        <v>3.999444444438268</v>
      </c>
      <c r="U74" s="47">
        <f>IFERROR(INDEX(NOVO!O:O,MATCH(PRINT!E462,NOVO!C:C,0)),"")</f>
        <v>140041</v>
      </c>
      <c r="AA74" s="49">
        <v>141939</v>
      </c>
    </row>
    <row r="75" spans="1:27" s="23" customFormat="1" x14ac:dyDescent="0.35">
      <c r="A75" s="54">
        <v>0</v>
      </c>
      <c r="C75" s="23">
        <v>1021993</v>
      </c>
      <c r="D75" s="23">
        <v>1</v>
      </c>
      <c r="E75" s="23">
        <v>1021910</v>
      </c>
      <c r="F75" s="23" t="s">
        <v>1612</v>
      </c>
      <c r="G75" s="5">
        <v>20</v>
      </c>
      <c r="H75" s="23">
        <v>6</v>
      </c>
      <c r="I75" s="23">
        <v>0</v>
      </c>
      <c r="J75" s="23">
        <v>0</v>
      </c>
      <c r="K75" s="23" t="s">
        <v>24</v>
      </c>
      <c r="L75" s="23" t="s">
        <v>597</v>
      </c>
      <c r="M75" s="23" t="s">
        <v>1946</v>
      </c>
      <c r="N75" s="24">
        <v>45820</v>
      </c>
      <c r="O75" s="28">
        <v>1.3888888888888888E-2</v>
      </c>
      <c r="P75" s="3">
        <v>45817</v>
      </c>
      <c r="Q75" s="62">
        <v>45813.22625</v>
      </c>
      <c r="R75" s="72">
        <v>45813.24013888889</v>
      </c>
      <c r="S75" s="25">
        <v>0.23958333333333334</v>
      </c>
      <c r="T75" s="63">
        <v>3.9994444444455439</v>
      </c>
      <c r="U75" s="47">
        <f>IFERROR(INDEX(NOVO!O:O,MATCH(PRINT!E461,NOVO!C:C,0)),"")</f>
        <v>140061</v>
      </c>
      <c r="AA75" s="49">
        <v>141955</v>
      </c>
    </row>
    <row r="76" spans="1:27" s="23" customFormat="1" x14ac:dyDescent="0.35">
      <c r="A76" s="54">
        <v>0</v>
      </c>
      <c r="C76" s="23">
        <v>1021993</v>
      </c>
      <c r="D76" s="23">
        <v>1</v>
      </c>
      <c r="E76" s="23">
        <v>1021953</v>
      </c>
      <c r="F76" s="23" t="s">
        <v>1710</v>
      </c>
      <c r="G76" s="5">
        <v>15</v>
      </c>
      <c r="H76" s="23">
        <v>6</v>
      </c>
      <c r="I76" s="23">
        <v>0</v>
      </c>
      <c r="J76" s="23">
        <v>0</v>
      </c>
      <c r="K76" s="23" t="s">
        <v>24</v>
      </c>
      <c r="L76" s="23" t="s">
        <v>597</v>
      </c>
      <c r="M76" s="23" t="s">
        <v>1946</v>
      </c>
      <c r="N76" s="24">
        <v>45820</v>
      </c>
      <c r="O76" s="28">
        <v>1.0416666666666666E-2</v>
      </c>
      <c r="P76" s="3">
        <v>45817</v>
      </c>
      <c r="Q76" s="62">
        <v>45813.215833333335</v>
      </c>
      <c r="R76" s="72">
        <v>45813.22625</v>
      </c>
      <c r="S76" s="25">
        <v>0.22569444444444445</v>
      </c>
      <c r="T76" s="63">
        <v>3.9994444444455439</v>
      </c>
      <c r="U76" s="47">
        <f>IFERROR(INDEX(NOVO!O:O,MATCH(PRINT!E460,NOVO!C:C,0)),"")</f>
        <v>140041</v>
      </c>
      <c r="AA76" s="49">
        <v>142010</v>
      </c>
    </row>
    <row r="77" spans="1:27" s="23" customFormat="1" x14ac:dyDescent="0.35">
      <c r="A77" s="54">
        <v>0</v>
      </c>
      <c r="C77" s="23">
        <v>1021992</v>
      </c>
      <c r="D77" s="23">
        <v>1</v>
      </c>
      <c r="E77" s="23">
        <v>1021910</v>
      </c>
      <c r="F77" s="23" t="s">
        <v>1612</v>
      </c>
      <c r="G77" s="5">
        <v>20</v>
      </c>
      <c r="H77" s="23">
        <v>6</v>
      </c>
      <c r="I77" s="23">
        <v>0</v>
      </c>
      <c r="J77" s="23">
        <v>0</v>
      </c>
      <c r="K77" s="23" t="s">
        <v>24</v>
      </c>
      <c r="L77" s="23" t="s">
        <v>597</v>
      </c>
      <c r="M77" s="23" t="s">
        <v>1946</v>
      </c>
      <c r="N77" s="24">
        <v>45820</v>
      </c>
      <c r="O77" s="28">
        <v>1.3888888888888888E-2</v>
      </c>
      <c r="P77" s="3">
        <v>45817</v>
      </c>
      <c r="Q77" s="62">
        <v>45813.201944444445</v>
      </c>
      <c r="R77" s="72">
        <v>45813.215833333335</v>
      </c>
      <c r="S77" s="25">
        <v>0.21527777777777779</v>
      </c>
      <c r="T77" s="63">
        <v>3.9994444444455439</v>
      </c>
      <c r="U77" s="47">
        <f>IFERROR(INDEX(NOVO!O:O,MATCH(PRINT!E459,NOVO!C:C,0)),"")</f>
        <v>140061</v>
      </c>
      <c r="AA77" s="49">
        <v>142995</v>
      </c>
    </row>
    <row r="78" spans="1:27" s="23" customFormat="1" x14ac:dyDescent="0.35">
      <c r="A78" s="54">
        <v>0</v>
      </c>
      <c r="C78" s="23">
        <v>1021992</v>
      </c>
      <c r="D78" s="23">
        <v>1</v>
      </c>
      <c r="E78" s="23">
        <v>1021911</v>
      </c>
      <c r="F78" s="23" t="s">
        <v>1623</v>
      </c>
      <c r="G78" s="5">
        <v>30</v>
      </c>
      <c r="H78" s="23">
        <v>6</v>
      </c>
      <c r="I78" s="23">
        <v>0</v>
      </c>
      <c r="J78" s="23">
        <v>0</v>
      </c>
      <c r="K78" s="23" t="s">
        <v>24</v>
      </c>
      <c r="L78" s="23" t="s">
        <v>597</v>
      </c>
      <c r="M78" s="23" t="s">
        <v>1946</v>
      </c>
      <c r="N78" s="24">
        <v>45820</v>
      </c>
      <c r="O78" s="28">
        <v>2.0833333333333332E-2</v>
      </c>
      <c r="P78" s="3">
        <v>45817</v>
      </c>
      <c r="Q78" s="62">
        <v>45813.181111111109</v>
      </c>
      <c r="R78" s="72">
        <v>45813.201944444445</v>
      </c>
      <c r="S78" s="25">
        <v>0.2013888888888889</v>
      </c>
      <c r="T78" s="63">
        <v>3.9994444444455439</v>
      </c>
      <c r="U78" s="47">
        <f>IFERROR(INDEX(NOVO!O:O,MATCH(PRINT!E458,NOVO!C:C,0)),"")</f>
        <v>156913</v>
      </c>
      <c r="AA78" s="49">
        <v>143008</v>
      </c>
    </row>
    <row r="79" spans="1:27" s="23" customFormat="1" x14ac:dyDescent="0.35">
      <c r="A79" s="54">
        <v>0</v>
      </c>
      <c r="C79" s="23">
        <v>1021992</v>
      </c>
      <c r="D79" s="23">
        <v>1</v>
      </c>
      <c r="E79" s="23">
        <v>1021953</v>
      </c>
      <c r="F79" s="23" t="s">
        <v>1710</v>
      </c>
      <c r="G79" s="5">
        <v>15</v>
      </c>
      <c r="H79" s="23">
        <v>6</v>
      </c>
      <c r="I79" s="23">
        <v>0</v>
      </c>
      <c r="J79" s="23">
        <v>0</v>
      </c>
      <c r="K79" s="23" t="s">
        <v>24</v>
      </c>
      <c r="L79" s="23" t="s">
        <v>597</v>
      </c>
      <c r="M79" s="23" t="s">
        <v>1946</v>
      </c>
      <c r="N79" s="24">
        <v>45820</v>
      </c>
      <c r="O79" s="28">
        <v>1.0416666666666666E-2</v>
      </c>
      <c r="P79" s="3">
        <v>45817</v>
      </c>
      <c r="Q79" s="62">
        <v>45813.170694444445</v>
      </c>
      <c r="R79" s="72">
        <v>45813.181111111109</v>
      </c>
      <c r="S79" s="25">
        <v>0.18055555555555555</v>
      </c>
      <c r="T79" s="63">
        <v>3.9994444444455439</v>
      </c>
      <c r="U79" s="47" t="str">
        <f>IFERROR(INDEX(NOVO!O:O,MATCH(PRINT!E457,NOVO!C:C,0)),"")</f>
        <v/>
      </c>
      <c r="AA79" s="49">
        <v>144305</v>
      </c>
    </row>
    <row r="80" spans="1:27" s="23" customFormat="1" x14ac:dyDescent="0.35">
      <c r="A80" s="54">
        <v>0</v>
      </c>
      <c r="C80" s="23">
        <v>1021991</v>
      </c>
      <c r="D80" s="23">
        <v>1</v>
      </c>
      <c r="E80" s="23">
        <v>1021953</v>
      </c>
      <c r="F80" s="23" t="s">
        <v>1710</v>
      </c>
      <c r="G80" s="5">
        <v>15</v>
      </c>
      <c r="H80" s="23">
        <v>6</v>
      </c>
      <c r="I80" s="23">
        <v>0</v>
      </c>
      <c r="J80" s="23">
        <v>0</v>
      </c>
      <c r="K80" s="23" t="s">
        <v>24</v>
      </c>
      <c r="L80" s="23" t="s">
        <v>597</v>
      </c>
      <c r="M80" s="23" t="s">
        <v>1946</v>
      </c>
      <c r="N80" s="24">
        <v>45820</v>
      </c>
      <c r="O80" s="28">
        <v>1.0416666666666666E-2</v>
      </c>
      <c r="P80" s="3">
        <v>45817</v>
      </c>
      <c r="Q80" s="62">
        <v>45813.160277777781</v>
      </c>
      <c r="R80" s="72">
        <v>45813.170694444445</v>
      </c>
      <c r="S80" s="25">
        <v>0.1701388888888889</v>
      </c>
      <c r="T80" s="63">
        <v>3.9994444444455439</v>
      </c>
      <c r="U80" s="47">
        <f>IFERROR(INDEX(NOVO!O:O,MATCH(PRINT!E456,NOVO!C:C,0)),"")</f>
        <v>156913</v>
      </c>
      <c r="AA80" s="49">
        <v>144330</v>
      </c>
    </row>
    <row r="81" spans="1:27" s="23" customFormat="1" x14ac:dyDescent="0.35">
      <c r="A81" s="54">
        <v>0</v>
      </c>
      <c r="C81" s="23">
        <v>1021991</v>
      </c>
      <c r="D81" s="23">
        <v>1</v>
      </c>
      <c r="E81" s="23">
        <v>1021910</v>
      </c>
      <c r="F81" s="23" t="s">
        <v>1612</v>
      </c>
      <c r="G81" s="5">
        <v>20</v>
      </c>
      <c r="H81" s="23">
        <v>6</v>
      </c>
      <c r="I81" s="23">
        <v>0</v>
      </c>
      <c r="J81" s="23">
        <v>0</v>
      </c>
      <c r="K81" s="23" t="s">
        <v>24</v>
      </c>
      <c r="L81" s="23" t="s">
        <v>597</v>
      </c>
      <c r="M81" s="23" t="s">
        <v>1946</v>
      </c>
      <c r="N81" s="24">
        <v>45820</v>
      </c>
      <c r="O81" s="28">
        <v>1.3888888888888888E-2</v>
      </c>
      <c r="P81" s="3">
        <v>45817</v>
      </c>
      <c r="Q81" s="62">
        <v>45813.14638888889</v>
      </c>
      <c r="R81" s="72">
        <v>45813.160277777781</v>
      </c>
      <c r="S81" s="25">
        <v>0.15972222222222221</v>
      </c>
      <c r="T81" s="63">
        <v>3.999444444438268</v>
      </c>
      <c r="U81" s="47">
        <f>IFERROR(INDEX(NOVO!O:O,MATCH(PRINT!E455,NOVO!C:C,0)),"")</f>
        <v>156913</v>
      </c>
      <c r="AA81" s="49">
        <v>144717</v>
      </c>
    </row>
    <row r="82" spans="1:27" s="23" customFormat="1" x14ac:dyDescent="0.35">
      <c r="A82" s="54">
        <v>0</v>
      </c>
      <c r="C82" s="23">
        <v>1021991</v>
      </c>
      <c r="D82" s="23">
        <v>1</v>
      </c>
      <c r="E82" s="23">
        <v>1021911</v>
      </c>
      <c r="F82" s="23" t="s">
        <v>1623</v>
      </c>
      <c r="G82" s="5">
        <v>30</v>
      </c>
      <c r="H82" s="23">
        <v>6</v>
      </c>
      <c r="I82" s="23">
        <v>0</v>
      </c>
      <c r="J82" s="23">
        <v>0</v>
      </c>
      <c r="K82" s="23" t="s">
        <v>24</v>
      </c>
      <c r="L82" s="23" t="s">
        <v>597</v>
      </c>
      <c r="M82" s="23" t="s">
        <v>1946</v>
      </c>
      <c r="N82" s="24">
        <v>45820</v>
      </c>
      <c r="O82" s="28">
        <v>2.0833333333333332E-2</v>
      </c>
      <c r="P82" s="3">
        <v>45817</v>
      </c>
      <c r="Q82" s="62">
        <v>45813.125555555554</v>
      </c>
      <c r="R82" s="72">
        <v>45813.14638888889</v>
      </c>
      <c r="S82" s="25">
        <v>0.14583333333333334</v>
      </c>
      <c r="T82" s="63">
        <v>3.9994444444455439</v>
      </c>
      <c r="U82" s="47">
        <f>IFERROR(INDEX(NOVO!O:O,MATCH(PRINT!E454,NOVO!C:C,0)),"")</f>
        <v>232481</v>
      </c>
      <c r="AA82" s="49">
        <v>145988</v>
      </c>
    </row>
    <row r="83" spans="1:27" s="23" customFormat="1" x14ac:dyDescent="0.35">
      <c r="A83" s="54">
        <v>0</v>
      </c>
      <c r="C83" s="23">
        <v>1021990</v>
      </c>
      <c r="D83" s="23">
        <v>1</v>
      </c>
      <c r="E83" s="23">
        <v>1021953</v>
      </c>
      <c r="F83" s="23" t="s">
        <v>1710</v>
      </c>
      <c r="G83" s="5">
        <v>15</v>
      </c>
      <c r="H83" s="23">
        <v>6</v>
      </c>
      <c r="I83" s="23">
        <v>0</v>
      </c>
      <c r="J83" s="23">
        <v>0</v>
      </c>
      <c r="K83" s="23" t="s">
        <v>24</v>
      </c>
      <c r="L83" s="23" t="s">
        <v>597</v>
      </c>
      <c r="M83" s="23" t="s">
        <v>1946</v>
      </c>
      <c r="N83" s="24">
        <v>45820</v>
      </c>
      <c r="O83" s="28">
        <v>1.0416666666666666E-2</v>
      </c>
      <c r="P83" s="3">
        <v>45817</v>
      </c>
      <c r="Q83" s="62">
        <v>45813.11513888889</v>
      </c>
      <c r="R83" s="72">
        <v>45813.125555555554</v>
      </c>
      <c r="S83" s="25">
        <v>0.125</v>
      </c>
      <c r="T83" s="63">
        <v>3.9994444444455439</v>
      </c>
      <c r="U83" s="47">
        <f>IFERROR(INDEX(NOVO!O:O,MATCH(PRINT!E453,NOVO!C:C,0)),"")</f>
        <v>230516</v>
      </c>
      <c r="AA83" s="49">
        <v>147116</v>
      </c>
    </row>
    <row r="84" spans="1:27" s="23" customFormat="1" x14ac:dyDescent="0.35">
      <c r="A84" s="54">
        <v>0</v>
      </c>
      <c r="C84" s="23">
        <v>1021990</v>
      </c>
      <c r="D84" s="23">
        <v>1</v>
      </c>
      <c r="E84" s="23">
        <v>1021911</v>
      </c>
      <c r="F84" s="23" t="s">
        <v>1623</v>
      </c>
      <c r="G84" s="5">
        <v>15</v>
      </c>
      <c r="H84" s="23">
        <v>6</v>
      </c>
      <c r="I84" s="23">
        <v>0</v>
      </c>
      <c r="J84" s="23">
        <v>0</v>
      </c>
      <c r="K84" s="23" t="s">
        <v>24</v>
      </c>
      <c r="L84" s="23" t="s">
        <v>597</v>
      </c>
      <c r="M84" s="23" t="s">
        <v>1946</v>
      </c>
      <c r="N84" s="24">
        <v>45820</v>
      </c>
      <c r="O84" s="28">
        <v>1.0972222222222222E-2</v>
      </c>
      <c r="P84" s="3">
        <v>45817</v>
      </c>
      <c r="Q84" s="62">
        <v>45813.104166666672</v>
      </c>
      <c r="R84" s="72">
        <v>45813.11513888889</v>
      </c>
      <c r="S84" s="25">
        <v>0.11458333333333333</v>
      </c>
      <c r="T84" s="63">
        <v>3.9994444444455439</v>
      </c>
      <c r="U84" s="47">
        <f>IFERROR(INDEX(NOVO!O:O,MATCH(PRINT!E452,NOVO!C:C,0)),"")</f>
        <v>230502</v>
      </c>
      <c r="AA84" s="49">
        <v>147117</v>
      </c>
    </row>
    <row r="85" spans="1:27" s="23" customFormat="1" x14ac:dyDescent="0.35">
      <c r="A85" s="54"/>
      <c r="G85" s="5"/>
      <c r="N85" s="24" t="s">
        <v>198</v>
      </c>
      <c r="O85" s="28">
        <v>2.0833333333333332E-2</v>
      </c>
      <c r="P85" s="3">
        <v>45817</v>
      </c>
      <c r="Q85" s="62">
        <v>45813.083333333336</v>
      </c>
      <c r="R85" s="72">
        <v>45813.104166666672</v>
      </c>
      <c r="S85" s="25">
        <v>0.10416666666666667</v>
      </c>
      <c r="T85" s="63">
        <v>3.999999999992724</v>
      </c>
      <c r="U85" s="47">
        <f>IFERROR(INDEX(NOVO!O:O,MATCH(PRINT!E451,NOVO!C:C,0)),"")</f>
        <v>185726</v>
      </c>
      <c r="AA85" s="49">
        <v>147118</v>
      </c>
    </row>
    <row r="86" spans="1:27" s="23" customFormat="1" x14ac:dyDescent="0.35">
      <c r="A86" s="54">
        <v>0</v>
      </c>
      <c r="C86" s="23">
        <v>1021990</v>
      </c>
      <c r="D86" s="23">
        <v>1</v>
      </c>
      <c r="E86" s="23">
        <v>1021911</v>
      </c>
      <c r="F86" s="23" t="s">
        <v>1623</v>
      </c>
      <c r="G86" s="5">
        <v>14</v>
      </c>
      <c r="H86" s="23">
        <v>6</v>
      </c>
      <c r="I86" s="23">
        <v>0</v>
      </c>
      <c r="J86" s="23">
        <v>0</v>
      </c>
      <c r="K86" s="23" t="s">
        <v>24</v>
      </c>
      <c r="L86" s="23" t="s">
        <v>597</v>
      </c>
      <c r="M86" s="23" t="s">
        <v>1946</v>
      </c>
      <c r="N86" s="24">
        <v>45820</v>
      </c>
      <c r="O86" s="28">
        <v>9.8611110952333547E-3</v>
      </c>
      <c r="P86" s="3">
        <v>45817</v>
      </c>
      <c r="Q86" s="62">
        <v>45813.073472222241</v>
      </c>
      <c r="R86" s="72">
        <v>45813.083333333336</v>
      </c>
      <c r="S86" s="25">
        <v>8.3333333333333329E-2</v>
      </c>
      <c r="T86" s="63">
        <v>4</v>
      </c>
      <c r="U86" s="47">
        <f>IFERROR(INDEX(NOVO!O:O,MATCH(PRINT!E450,NOVO!C:C,0)),"")</f>
        <v>185726</v>
      </c>
      <c r="AA86" s="49">
        <v>147119</v>
      </c>
    </row>
    <row r="87" spans="1:27" s="23" customFormat="1" x14ac:dyDescent="0.35">
      <c r="A87" s="54">
        <v>0</v>
      </c>
      <c r="C87" s="23">
        <v>1021990</v>
      </c>
      <c r="D87" s="23">
        <v>1</v>
      </c>
      <c r="E87" s="23">
        <v>1021910</v>
      </c>
      <c r="F87" s="23" t="s">
        <v>1612</v>
      </c>
      <c r="G87" s="5">
        <v>20</v>
      </c>
      <c r="H87" s="23">
        <v>6</v>
      </c>
      <c r="I87" s="23">
        <v>0</v>
      </c>
      <c r="J87" s="23">
        <v>0</v>
      </c>
      <c r="K87" s="23" t="s">
        <v>24</v>
      </c>
      <c r="L87" s="23" t="s">
        <v>597</v>
      </c>
      <c r="M87" s="23" t="s">
        <v>1946</v>
      </c>
      <c r="N87" s="24">
        <v>45820</v>
      </c>
      <c r="O87" s="28">
        <v>1.3888888888888888E-2</v>
      </c>
      <c r="P87" s="3">
        <v>45817</v>
      </c>
      <c r="Q87" s="62">
        <v>45813.05958333335</v>
      </c>
      <c r="R87" s="72">
        <v>45813.073472222241</v>
      </c>
      <c r="S87" s="25">
        <v>7.2916666666666671E-2</v>
      </c>
      <c r="T87" s="63">
        <v>3.999444444423716</v>
      </c>
      <c r="U87" s="47">
        <f>IFERROR(INDEX(NOVO!O:O,MATCH(PRINT!E449,NOVO!C:C,0)),"")</f>
        <v>122098</v>
      </c>
      <c r="AA87" s="49">
        <v>148629</v>
      </c>
    </row>
    <row r="88" spans="1:27" s="23" customFormat="1" x14ac:dyDescent="0.35">
      <c r="A88" s="54">
        <v>0</v>
      </c>
      <c r="C88" s="23">
        <v>1021441</v>
      </c>
      <c r="D88" s="23">
        <v>1</v>
      </c>
      <c r="E88" s="23">
        <v>1021447</v>
      </c>
      <c r="F88" s="23" t="s">
        <v>1945</v>
      </c>
      <c r="G88" s="5">
        <v>30</v>
      </c>
      <c r="H88" s="23">
        <v>1</v>
      </c>
      <c r="I88" s="23">
        <v>0</v>
      </c>
      <c r="J88" s="23">
        <v>0</v>
      </c>
      <c r="K88" s="23" t="s">
        <v>24</v>
      </c>
      <c r="L88" s="23" t="s">
        <v>597</v>
      </c>
      <c r="M88" s="23" t="s">
        <v>1944</v>
      </c>
      <c r="N88" s="24">
        <v>45832</v>
      </c>
      <c r="O88" s="28">
        <v>2.0833333333333332E-2</v>
      </c>
      <c r="P88" s="3">
        <v>45817</v>
      </c>
      <c r="Q88" s="62">
        <v>45813.038750000014</v>
      </c>
      <c r="R88" s="72">
        <v>45813.05958333335</v>
      </c>
      <c r="S88" s="25">
        <v>5.9027777777777776E-2</v>
      </c>
      <c r="T88" s="63">
        <v>3.999444444430992</v>
      </c>
      <c r="U88" s="47" t="str">
        <f>IFERROR(INDEX(NOVO!O:O,MATCH(PRINT!E448,NOVO!C:C,0)),"")</f>
        <v/>
      </c>
      <c r="AA88" s="49">
        <v>149612</v>
      </c>
    </row>
    <row r="89" spans="1:27" s="23" customFormat="1" x14ac:dyDescent="0.35">
      <c r="A89" s="54">
        <v>0</v>
      </c>
      <c r="C89" s="23">
        <v>1021441</v>
      </c>
      <c r="D89" s="23">
        <v>1</v>
      </c>
      <c r="E89" s="23">
        <v>1021446</v>
      </c>
      <c r="F89" s="23" t="s">
        <v>1943</v>
      </c>
      <c r="G89" s="5">
        <v>30</v>
      </c>
      <c r="H89" s="23">
        <v>2</v>
      </c>
      <c r="I89" s="23">
        <v>0</v>
      </c>
      <c r="J89" s="23">
        <v>0</v>
      </c>
      <c r="K89" s="23" t="s">
        <v>24</v>
      </c>
      <c r="L89" s="23" t="s">
        <v>597</v>
      </c>
      <c r="M89" s="23" t="s">
        <v>1944</v>
      </c>
      <c r="N89" s="24">
        <v>45832</v>
      </c>
      <c r="O89" s="28">
        <v>2.0833333333333332E-2</v>
      </c>
      <c r="P89" s="3">
        <v>45817</v>
      </c>
      <c r="Q89" s="62">
        <v>45813.017916666679</v>
      </c>
      <c r="R89" s="72">
        <v>45813.038750000014</v>
      </c>
      <c r="S89" s="25">
        <v>3.8194444444444448E-2</v>
      </c>
      <c r="T89" s="63">
        <v>3.999444444430992</v>
      </c>
      <c r="U89" s="47">
        <f>IFERROR(INDEX(NOVO!O:O,MATCH(PRINT!E447,NOVO!C:C,0)),"")</f>
        <v>122098</v>
      </c>
      <c r="AA89" s="49">
        <v>150155</v>
      </c>
    </row>
    <row r="90" spans="1:27" s="23" customFormat="1" x14ac:dyDescent="0.35">
      <c r="A90" s="54">
        <v>0</v>
      </c>
      <c r="C90" s="23">
        <v>1021433</v>
      </c>
      <c r="D90" s="23">
        <v>1</v>
      </c>
      <c r="E90" s="23">
        <v>1021439</v>
      </c>
      <c r="F90" s="23" t="s">
        <v>1942</v>
      </c>
      <c r="G90" s="5">
        <v>30</v>
      </c>
      <c r="H90" s="23">
        <v>1</v>
      </c>
      <c r="I90" s="23">
        <v>0</v>
      </c>
      <c r="J90" s="23">
        <v>0</v>
      </c>
      <c r="K90" s="23" t="s">
        <v>24</v>
      </c>
      <c r="L90" s="23" t="s">
        <v>597</v>
      </c>
      <c r="M90" s="23" t="s">
        <v>1941</v>
      </c>
      <c r="N90" s="24">
        <v>45832</v>
      </c>
      <c r="O90" s="28">
        <v>2.0833333333333332E-2</v>
      </c>
      <c r="P90" s="3">
        <v>45817</v>
      </c>
      <c r="Q90" s="62">
        <v>45812.997083333343</v>
      </c>
      <c r="R90" s="72">
        <v>45813.017916666679</v>
      </c>
      <c r="S90" s="25">
        <v>1.7361111111111112E-2</v>
      </c>
      <c r="T90" s="63">
        <v>3.999444444430992</v>
      </c>
      <c r="U90" s="47">
        <f>IFERROR(INDEX(NOVO!O:O,MATCH(PRINT!E446,NOVO!C:C,0)),"")</f>
        <v>122099</v>
      </c>
      <c r="AA90" s="49">
        <v>150158</v>
      </c>
    </row>
    <row r="91" spans="1:27" s="23" customFormat="1" x14ac:dyDescent="0.35">
      <c r="A91" s="54">
        <v>0</v>
      </c>
      <c r="C91" s="23">
        <v>1021433</v>
      </c>
      <c r="D91" s="23">
        <v>1</v>
      </c>
      <c r="E91" s="23">
        <v>1021438</v>
      </c>
      <c r="F91" s="23" t="s">
        <v>1940</v>
      </c>
      <c r="G91" s="5">
        <v>30</v>
      </c>
      <c r="H91" s="23">
        <v>2</v>
      </c>
      <c r="I91" s="23">
        <v>0</v>
      </c>
      <c r="J91" s="23">
        <v>0</v>
      </c>
      <c r="K91" s="23" t="s">
        <v>24</v>
      </c>
      <c r="L91" s="23" t="s">
        <v>597</v>
      </c>
      <c r="M91" s="23" t="s">
        <v>1941</v>
      </c>
      <c r="N91" s="24">
        <v>45832</v>
      </c>
      <c r="O91" s="28">
        <v>2.0833333333333332E-2</v>
      </c>
      <c r="P91" s="3">
        <v>45817</v>
      </c>
      <c r="Q91" s="62">
        <v>45812.976250000007</v>
      </c>
      <c r="R91" s="72">
        <v>45812.997083333343</v>
      </c>
      <c r="S91" s="25">
        <v>0.99652777777777779</v>
      </c>
      <c r="T91" s="63">
        <v>4.999444444438268</v>
      </c>
      <c r="U91" s="47">
        <f>IFERROR(INDEX(NOVO!O:O,MATCH(PRINT!E445,NOVO!C:C,0)),"")</f>
        <v>182183</v>
      </c>
      <c r="AA91" s="49">
        <v>150159</v>
      </c>
    </row>
    <row r="92" spans="1:27" s="23" customFormat="1" x14ac:dyDescent="0.35">
      <c r="A92" s="54">
        <v>0</v>
      </c>
      <c r="C92" s="23">
        <v>1020412</v>
      </c>
      <c r="D92" s="23">
        <v>1</v>
      </c>
      <c r="E92" s="23">
        <v>1020457</v>
      </c>
      <c r="F92" s="23" t="s">
        <v>1767</v>
      </c>
      <c r="G92" s="5">
        <v>30</v>
      </c>
      <c r="H92" s="23">
        <v>1</v>
      </c>
      <c r="I92" s="23">
        <v>0</v>
      </c>
      <c r="J92" s="23">
        <v>0</v>
      </c>
      <c r="K92" s="23" t="s">
        <v>24</v>
      </c>
      <c r="L92" s="23" t="s">
        <v>597</v>
      </c>
      <c r="M92" s="23" t="s">
        <v>1939</v>
      </c>
      <c r="N92" s="24">
        <v>45838</v>
      </c>
      <c r="O92" s="28">
        <v>2.0833333333333332E-2</v>
      </c>
      <c r="P92" s="3">
        <v>45817</v>
      </c>
      <c r="Q92" s="62">
        <v>45812.955416666671</v>
      </c>
      <c r="R92" s="72">
        <v>45812.976250000007</v>
      </c>
      <c r="S92" s="25">
        <v>0.97569444444444442</v>
      </c>
      <c r="T92" s="63">
        <v>4.999444444438268</v>
      </c>
      <c r="U92" s="47">
        <f>IFERROR(INDEX(NOVO!O:O,MATCH(PRINT!E444,NOVO!C:C,0)),"")</f>
        <v>182184</v>
      </c>
      <c r="AA92" s="49">
        <v>150174</v>
      </c>
    </row>
    <row r="93" spans="1:27" s="23" customFormat="1" x14ac:dyDescent="0.35">
      <c r="A93" s="54">
        <v>0</v>
      </c>
      <c r="C93" s="23">
        <v>1020412</v>
      </c>
      <c r="D93" s="23">
        <v>1</v>
      </c>
      <c r="E93" s="23">
        <v>1020458</v>
      </c>
      <c r="F93" s="23" t="s">
        <v>1766</v>
      </c>
      <c r="G93" s="5">
        <v>30</v>
      </c>
      <c r="H93" s="23">
        <v>1</v>
      </c>
      <c r="I93" s="23">
        <v>0</v>
      </c>
      <c r="J93" s="23">
        <v>0</v>
      </c>
      <c r="K93" s="23" t="s">
        <v>24</v>
      </c>
      <c r="L93" s="23" t="s">
        <v>597</v>
      </c>
      <c r="M93" s="23" t="s">
        <v>1939</v>
      </c>
      <c r="N93" s="24">
        <v>45838</v>
      </c>
      <c r="O93" s="28">
        <v>2.0833333333333332E-2</v>
      </c>
      <c r="P93" s="3">
        <v>45817</v>
      </c>
      <c r="Q93" s="62">
        <v>45812.934583333335</v>
      </c>
      <c r="R93" s="72">
        <v>45812.955416666671</v>
      </c>
      <c r="S93" s="25">
        <v>0.95486111111111116</v>
      </c>
      <c r="T93" s="63">
        <v>4.999444444438268</v>
      </c>
      <c r="U93" s="47">
        <f>IFERROR(INDEX(NOVO!O:O,MATCH(PRINT!E443,NOVO!C:C,0)),"")</f>
        <v>182182</v>
      </c>
      <c r="AA93" s="49">
        <v>150175</v>
      </c>
    </row>
    <row r="94" spans="1:27" s="23" customFormat="1" x14ac:dyDescent="0.35">
      <c r="A94" s="54">
        <v>360</v>
      </c>
      <c r="C94" s="23">
        <v>1020162</v>
      </c>
      <c r="D94" s="23">
        <v>1</v>
      </c>
      <c r="E94" s="23">
        <v>1020165</v>
      </c>
      <c r="F94" s="23" t="s">
        <v>450</v>
      </c>
      <c r="G94" s="5">
        <v>235</v>
      </c>
      <c r="H94" s="23">
        <v>4</v>
      </c>
      <c r="I94" s="23">
        <v>1</v>
      </c>
      <c r="J94" s="23">
        <v>360</v>
      </c>
      <c r="K94" s="23" t="s">
        <v>24</v>
      </c>
      <c r="L94" s="23" t="s">
        <v>597</v>
      </c>
      <c r="M94" s="23" t="s">
        <v>1938</v>
      </c>
      <c r="N94" s="24">
        <v>45838</v>
      </c>
      <c r="O94" s="28">
        <v>0.16375000000000001</v>
      </c>
      <c r="P94" s="3">
        <v>45817</v>
      </c>
      <c r="Q94" s="62">
        <v>45812.770833333336</v>
      </c>
      <c r="R94" s="72">
        <v>45812.934583333335</v>
      </c>
      <c r="S94" s="25">
        <v>0.93402777777777779</v>
      </c>
      <c r="T94" s="63">
        <v>4.9994444444455439</v>
      </c>
      <c r="U94" s="47">
        <f>IFERROR(INDEX(NOVO!O:O,MATCH(PRINT!E442,NOVO!C:C,0)),"")</f>
        <v>182181</v>
      </c>
      <c r="AA94" s="49">
        <v>150279</v>
      </c>
    </row>
    <row r="95" spans="1:27" s="23" customFormat="1" x14ac:dyDescent="0.35">
      <c r="A95" s="54"/>
      <c r="G95" s="5"/>
      <c r="N95" s="24" t="s">
        <v>198</v>
      </c>
      <c r="O95" s="28">
        <v>2.0833333333333332E-2</v>
      </c>
      <c r="P95" s="3">
        <v>45817</v>
      </c>
      <c r="Q95" s="62">
        <v>45812.75</v>
      </c>
      <c r="R95" s="72">
        <v>45812.770833333336</v>
      </c>
      <c r="S95" s="25">
        <v>0.77083333333333337</v>
      </c>
      <c r="T95" s="63">
        <v>5</v>
      </c>
      <c r="U95" s="47">
        <f>IFERROR(INDEX(NOVO!O:O,MATCH(PRINT!E441,NOVO!C:C,0)),"")</f>
        <v>182176</v>
      </c>
      <c r="AA95" s="49">
        <v>150587</v>
      </c>
    </row>
    <row r="96" spans="1:27" s="23" customFormat="1" x14ac:dyDescent="0.35">
      <c r="A96" s="54">
        <v>360</v>
      </c>
      <c r="C96" s="23">
        <v>1020162</v>
      </c>
      <c r="D96" s="23">
        <v>1</v>
      </c>
      <c r="E96" s="23">
        <v>1020165</v>
      </c>
      <c r="F96" s="23" t="s">
        <v>450</v>
      </c>
      <c r="G96" s="5">
        <v>124</v>
      </c>
      <c r="H96" s="23">
        <v>4</v>
      </c>
      <c r="I96" s="23">
        <v>1</v>
      </c>
      <c r="J96" s="23">
        <v>360</v>
      </c>
      <c r="K96" s="23" t="s">
        <v>24</v>
      </c>
      <c r="L96" s="23" t="s">
        <v>597</v>
      </c>
      <c r="M96" s="23" t="s">
        <v>1938</v>
      </c>
      <c r="N96" s="24">
        <v>45838</v>
      </c>
      <c r="O96" s="28">
        <v>8.6250000000291038E-2</v>
      </c>
      <c r="P96" s="3">
        <v>45817</v>
      </c>
      <c r="Q96" s="62">
        <v>45812.66375</v>
      </c>
      <c r="R96" s="72">
        <v>45812.75</v>
      </c>
      <c r="S96" s="25">
        <v>0.75</v>
      </c>
      <c r="T96" s="63">
        <v>5</v>
      </c>
      <c r="U96" s="47">
        <f>IFERROR(INDEX(NOVO!O:O,MATCH(PRINT!E440,NOVO!C:C,0)),"")</f>
        <v>182182</v>
      </c>
      <c r="AA96" s="49">
        <v>150623</v>
      </c>
    </row>
    <row r="97" spans="1:27" s="23" customFormat="1" x14ac:dyDescent="0.35">
      <c r="A97" s="54">
        <v>0</v>
      </c>
      <c r="C97" s="23">
        <v>1020162</v>
      </c>
      <c r="D97" s="23">
        <v>1</v>
      </c>
      <c r="E97" s="23">
        <v>1020163</v>
      </c>
      <c r="F97" s="23" t="s">
        <v>1082</v>
      </c>
      <c r="G97" s="5">
        <v>75</v>
      </c>
      <c r="H97" s="23">
        <v>4</v>
      </c>
      <c r="I97" s="23">
        <v>0</v>
      </c>
      <c r="J97" s="23">
        <v>0</v>
      </c>
      <c r="K97" s="23" t="s">
        <v>24</v>
      </c>
      <c r="L97" s="23" t="s">
        <v>597</v>
      </c>
      <c r="M97" s="23" t="s">
        <v>1938</v>
      </c>
      <c r="N97" s="24">
        <v>45838</v>
      </c>
      <c r="O97" s="28">
        <v>5.2083333333333336E-2</v>
      </c>
      <c r="P97" s="3">
        <v>45817</v>
      </c>
      <c r="Q97" s="62">
        <v>45812.611666666664</v>
      </c>
      <c r="R97" s="72">
        <v>45812.66375</v>
      </c>
      <c r="S97" s="25">
        <v>0.66319444444444442</v>
      </c>
      <c r="T97" s="63">
        <v>4.9994444444455439</v>
      </c>
      <c r="U97" s="47">
        <f>IFERROR(INDEX(NOVO!O:O,MATCH(PRINT!E439,NOVO!C:C,0)),"")</f>
        <v>182183</v>
      </c>
      <c r="AA97" s="49">
        <v>150624</v>
      </c>
    </row>
    <row r="98" spans="1:27" s="23" customFormat="1" x14ac:dyDescent="0.35">
      <c r="A98" s="54">
        <v>0</v>
      </c>
      <c r="C98" s="23">
        <v>1020162</v>
      </c>
      <c r="D98" s="23">
        <v>1</v>
      </c>
      <c r="E98" s="23">
        <v>1020164</v>
      </c>
      <c r="F98" s="23" t="s">
        <v>669</v>
      </c>
      <c r="G98" s="5">
        <v>90</v>
      </c>
      <c r="H98" s="23">
        <v>4</v>
      </c>
      <c r="I98" s="23">
        <v>0</v>
      </c>
      <c r="J98" s="23">
        <v>0</v>
      </c>
      <c r="K98" s="23" t="s">
        <v>24</v>
      </c>
      <c r="L98" s="23" t="s">
        <v>597</v>
      </c>
      <c r="M98" s="23" t="s">
        <v>1938</v>
      </c>
      <c r="N98" s="24">
        <v>45838</v>
      </c>
      <c r="O98" s="28">
        <v>6.25E-2</v>
      </c>
      <c r="P98" s="3">
        <v>45817</v>
      </c>
      <c r="Q98" s="62">
        <v>45812.549166666664</v>
      </c>
      <c r="R98" s="72">
        <v>45812.611666666664</v>
      </c>
      <c r="S98" s="25">
        <v>0.61111111111111116</v>
      </c>
      <c r="T98" s="63">
        <v>4.9994444444455439</v>
      </c>
      <c r="U98" s="47">
        <f>IFERROR(INDEX(NOVO!O:O,MATCH(PRINT!E438,NOVO!C:C,0)),"")</f>
        <v>182184</v>
      </c>
      <c r="AA98" s="49">
        <v>150633</v>
      </c>
    </row>
    <row r="99" spans="1:27" s="23" customFormat="1" x14ac:dyDescent="0.35">
      <c r="A99" s="54">
        <v>360</v>
      </c>
      <c r="C99" s="23">
        <v>1020161</v>
      </c>
      <c r="D99" s="23">
        <v>1</v>
      </c>
      <c r="E99" s="23">
        <v>1020165</v>
      </c>
      <c r="F99" s="23" t="s">
        <v>450</v>
      </c>
      <c r="G99" s="5">
        <v>160</v>
      </c>
      <c r="H99" s="23">
        <v>4</v>
      </c>
      <c r="I99" s="23">
        <v>1</v>
      </c>
      <c r="J99" s="23">
        <v>360</v>
      </c>
      <c r="K99" s="23" t="s">
        <v>24</v>
      </c>
      <c r="L99" s="23" t="s">
        <v>597</v>
      </c>
      <c r="M99" s="23" t="s">
        <v>1938</v>
      </c>
      <c r="N99" s="24">
        <v>45838</v>
      </c>
      <c r="O99" s="28">
        <v>0.11166666666666666</v>
      </c>
      <c r="P99" s="3">
        <v>45817</v>
      </c>
      <c r="Q99" s="62">
        <v>45812.4375</v>
      </c>
      <c r="R99" s="72">
        <v>45812.549166666664</v>
      </c>
      <c r="S99" s="25">
        <v>0.54861111111111116</v>
      </c>
      <c r="T99" s="63">
        <v>4.9994444444455439</v>
      </c>
      <c r="U99" s="47">
        <f>IFERROR(INDEX(NOVO!O:O,MATCH(PRINT!E437,NOVO!C:C,0)),"")</f>
        <v>182176</v>
      </c>
      <c r="AA99" s="49">
        <v>150893</v>
      </c>
    </row>
    <row r="100" spans="1:27" s="23" customFormat="1" x14ac:dyDescent="0.35">
      <c r="A100" s="54"/>
      <c r="G100" s="5"/>
      <c r="N100" s="24" t="s">
        <v>198</v>
      </c>
      <c r="O100" s="28">
        <v>2.0833333333333332E-2</v>
      </c>
      <c r="P100" s="3">
        <v>45817</v>
      </c>
      <c r="Q100" s="62">
        <v>45812.416666666664</v>
      </c>
      <c r="R100" s="72">
        <v>45812.4375</v>
      </c>
      <c r="S100" s="25">
        <v>0.4375</v>
      </c>
      <c r="T100" s="63">
        <v>5</v>
      </c>
      <c r="U100" s="47">
        <f>IFERROR(INDEX(NOVO!O:O,MATCH(PRINT!E436,NOVO!C:C,0)),"")</f>
        <v>182181</v>
      </c>
      <c r="AA100" s="49">
        <v>151167</v>
      </c>
    </row>
    <row r="101" spans="1:27" s="23" customFormat="1" x14ac:dyDescent="0.35">
      <c r="A101" s="54">
        <v>360</v>
      </c>
      <c r="C101" s="23">
        <v>1020161</v>
      </c>
      <c r="D101" s="23">
        <v>1</v>
      </c>
      <c r="E101" s="23">
        <v>1020165</v>
      </c>
      <c r="F101" s="23" t="s">
        <v>450</v>
      </c>
      <c r="G101" s="5">
        <v>199</v>
      </c>
      <c r="H101" s="23">
        <v>4</v>
      </c>
      <c r="I101" s="23">
        <v>1</v>
      </c>
      <c r="J101" s="23">
        <v>360</v>
      </c>
      <c r="K101" s="23" t="s">
        <v>24</v>
      </c>
      <c r="L101" s="23" t="s">
        <v>597</v>
      </c>
      <c r="M101" s="23" t="s">
        <v>1938</v>
      </c>
      <c r="N101" s="24">
        <v>45838</v>
      </c>
      <c r="O101" s="28">
        <v>0.13833333332149778</v>
      </c>
      <c r="P101" s="3">
        <v>45817</v>
      </c>
      <c r="Q101" s="62">
        <v>45812.278333333343</v>
      </c>
      <c r="R101" s="72">
        <v>45812.416666666664</v>
      </c>
      <c r="S101" s="25">
        <v>0.41666666666666669</v>
      </c>
      <c r="T101" s="63">
        <v>5</v>
      </c>
      <c r="U101" s="47">
        <f>IFERROR(INDEX(NOVO!O:O,MATCH(PRINT!E435,NOVO!C:C,0)),"")</f>
        <v>197017</v>
      </c>
      <c r="AA101" s="49">
        <v>151168</v>
      </c>
    </row>
    <row r="102" spans="1:27" s="23" customFormat="1" x14ac:dyDescent="0.35">
      <c r="A102" s="54">
        <v>0</v>
      </c>
      <c r="C102" s="23">
        <v>1020161</v>
      </c>
      <c r="D102" s="23">
        <v>1</v>
      </c>
      <c r="E102" s="23">
        <v>1020164</v>
      </c>
      <c r="F102" s="23" t="s">
        <v>669</v>
      </c>
      <c r="G102" s="5">
        <v>90</v>
      </c>
      <c r="H102" s="23">
        <v>4</v>
      </c>
      <c r="I102" s="23">
        <v>0</v>
      </c>
      <c r="J102" s="23">
        <v>0</v>
      </c>
      <c r="K102" s="23" t="s">
        <v>24</v>
      </c>
      <c r="L102" s="23" t="s">
        <v>597</v>
      </c>
      <c r="M102" s="23" t="s">
        <v>1938</v>
      </c>
      <c r="N102" s="24">
        <v>45838</v>
      </c>
      <c r="O102" s="28">
        <v>6.25E-2</v>
      </c>
      <c r="P102" s="3">
        <v>45817</v>
      </c>
      <c r="Q102" s="62">
        <v>45812.215833333343</v>
      </c>
      <c r="R102" s="72">
        <v>45812.278333333343</v>
      </c>
      <c r="S102" s="25">
        <v>0.27777777777777779</v>
      </c>
      <c r="T102" s="63">
        <v>4.999444444438268</v>
      </c>
      <c r="U102" s="47">
        <f>IFERROR(INDEX(NOVO!O:O,MATCH(PRINT!E434,NOVO!C:C,0)),"")</f>
        <v>137928</v>
      </c>
      <c r="AA102" s="49">
        <v>151173</v>
      </c>
    </row>
    <row r="103" spans="1:27" s="23" customFormat="1" x14ac:dyDescent="0.35">
      <c r="A103" s="54">
        <v>0</v>
      </c>
      <c r="C103" s="23">
        <v>1020161</v>
      </c>
      <c r="D103" s="23">
        <v>1</v>
      </c>
      <c r="E103" s="23">
        <v>1020163</v>
      </c>
      <c r="F103" s="23" t="s">
        <v>1082</v>
      </c>
      <c r="G103" s="5">
        <v>75</v>
      </c>
      <c r="H103" s="23">
        <v>4</v>
      </c>
      <c r="I103" s="23">
        <v>0</v>
      </c>
      <c r="J103" s="23">
        <v>0</v>
      </c>
      <c r="K103" s="23" t="s">
        <v>24</v>
      </c>
      <c r="L103" s="23" t="s">
        <v>597</v>
      </c>
      <c r="M103" s="23" t="s">
        <v>1938</v>
      </c>
      <c r="N103" s="24">
        <v>45838</v>
      </c>
      <c r="O103" s="28">
        <v>5.2083333333333336E-2</v>
      </c>
      <c r="P103" s="3">
        <v>45817</v>
      </c>
      <c r="Q103" s="62">
        <v>45812.163750000007</v>
      </c>
      <c r="R103" s="72">
        <v>45812.215833333343</v>
      </c>
      <c r="S103" s="25">
        <v>0.21527777777777779</v>
      </c>
      <c r="T103" s="63">
        <v>4.999444444438268</v>
      </c>
      <c r="U103" s="47">
        <f>IFERROR(INDEX(NOVO!O:O,MATCH(PRINT!E433,NOVO!C:C,0)),"")</f>
        <v>137923</v>
      </c>
      <c r="AA103" s="49">
        <v>151177</v>
      </c>
    </row>
    <row r="104" spans="1:27" s="23" customFormat="1" x14ac:dyDescent="0.35">
      <c r="A104" s="54">
        <v>0</v>
      </c>
      <c r="C104" s="23">
        <v>1020160</v>
      </c>
      <c r="D104" s="23">
        <v>1</v>
      </c>
      <c r="E104" s="23">
        <v>1020163</v>
      </c>
      <c r="F104" s="23" t="s">
        <v>1082</v>
      </c>
      <c r="G104" s="5">
        <v>75</v>
      </c>
      <c r="H104" s="23">
        <v>4</v>
      </c>
      <c r="I104" s="23">
        <v>0</v>
      </c>
      <c r="J104" s="23">
        <v>0</v>
      </c>
      <c r="K104" s="23" t="s">
        <v>24</v>
      </c>
      <c r="L104" s="23" t="s">
        <v>597</v>
      </c>
      <c r="M104" s="23" t="s">
        <v>1938</v>
      </c>
      <c r="N104" s="24">
        <v>45838</v>
      </c>
      <c r="O104" s="28">
        <v>5.2083333333333336E-2</v>
      </c>
      <c r="P104" s="3">
        <v>45817</v>
      </c>
      <c r="Q104" s="62">
        <v>45812.111666666671</v>
      </c>
      <c r="R104" s="72">
        <v>45812.163750000007</v>
      </c>
      <c r="S104" s="25">
        <v>0.16319444444444445</v>
      </c>
      <c r="T104" s="63">
        <v>4.999444444438268</v>
      </c>
      <c r="U104" s="47">
        <f>IFERROR(INDEX(NOVO!O:O,MATCH(PRINT!E432,NOVO!C:C,0)),"")</f>
        <v>137924</v>
      </c>
      <c r="AA104" s="49">
        <v>151241</v>
      </c>
    </row>
    <row r="105" spans="1:27" s="23" customFormat="1" x14ac:dyDescent="0.35">
      <c r="A105" s="54">
        <v>0</v>
      </c>
      <c r="C105" s="23">
        <v>1020160</v>
      </c>
      <c r="D105" s="23">
        <v>1</v>
      </c>
      <c r="E105" s="23">
        <v>1020164</v>
      </c>
      <c r="F105" s="23" t="s">
        <v>669</v>
      </c>
      <c r="G105" s="5">
        <v>10</v>
      </c>
      <c r="H105" s="23">
        <v>4</v>
      </c>
      <c r="I105" s="23">
        <v>0</v>
      </c>
      <c r="J105" s="23">
        <v>0</v>
      </c>
      <c r="K105" s="23" t="s">
        <v>24</v>
      </c>
      <c r="L105" s="23" t="s">
        <v>597</v>
      </c>
      <c r="M105" s="23" t="s">
        <v>1938</v>
      </c>
      <c r="N105" s="24">
        <v>45838</v>
      </c>
      <c r="O105" s="28">
        <v>7.4999999999999997E-3</v>
      </c>
      <c r="P105" s="3">
        <v>45817</v>
      </c>
      <c r="Q105" s="62">
        <v>45812.104166666672</v>
      </c>
      <c r="R105" s="72">
        <v>45812.111666666671</v>
      </c>
      <c r="S105" s="25">
        <v>0.1111111111111111</v>
      </c>
      <c r="T105" s="63">
        <v>4.999444444438268</v>
      </c>
      <c r="U105" s="47">
        <f>IFERROR(INDEX(NOVO!O:O,MATCH(PRINT!E431,NOVO!C:C,0)),"")</f>
        <v>137925</v>
      </c>
      <c r="AA105" s="49">
        <v>151297</v>
      </c>
    </row>
    <row r="106" spans="1:27" s="23" customFormat="1" x14ac:dyDescent="0.35">
      <c r="A106" s="54"/>
      <c r="G106" s="5"/>
      <c r="N106" s="24" t="s">
        <v>198</v>
      </c>
      <c r="O106" s="28">
        <v>2.0833333333333332E-2</v>
      </c>
      <c r="P106" s="3">
        <v>45817</v>
      </c>
      <c r="Q106" s="62">
        <v>45812.083333333336</v>
      </c>
      <c r="R106" s="72">
        <v>45812.104166666672</v>
      </c>
      <c r="S106" s="25">
        <v>0.10416666666666667</v>
      </c>
      <c r="T106" s="63">
        <v>4.999999999992724</v>
      </c>
      <c r="U106" s="47">
        <f>IFERROR(INDEX(NOVO!O:O,MATCH(PRINT!E430,NOVO!C:C,0)),"")</f>
        <v>137939</v>
      </c>
      <c r="AA106" s="49">
        <v>152571</v>
      </c>
    </row>
    <row r="107" spans="1:27" s="23" customFormat="1" x14ac:dyDescent="0.35">
      <c r="A107" s="54">
        <v>0</v>
      </c>
      <c r="C107" s="23">
        <v>1020160</v>
      </c>
      <c r="D107" s="23">
        <v>1</v>
      </c>
      <c r="E107" s="23">
        <v>1020164</v>
      </c>
      <c r="F107" s="23" t="s">
        <v>669</v>
      </c>
      <c r="G107" s="5">
        <v>79</v>
      </c>
      <c r="H107" s="23">
        <v>4</v>
      </c>
      <c r="I107" s="23">
        <v>0</v>
      </c>
      <c r="J107" s="23">
        <v>0</v>
      </c>
      <c r="K107" s="23" t="s">
        <v>24</v>
      </c>
      <c r="L107" s="23" t="s">
        <v>597</v>
      </c>
      <c r="M107" s="23" t="s">
        <v>1938</v>
      </c>
      <c r="N107" s="24">
        <v>45838</v>
      </c>
      <c r="O107" s="28">
        <v>5.5000000000291038E-2</v>
      </c>
      <c r="P107" s="3">
        <v>45817</v>
      </c>
      <c r="Q107" s="62">
        <v>45812.028333333335</v>
      </c>
      <c r="R107" s="72">
        <v>45812.083333333336</v>
      </c>
      <c r="S107" s="25">
        <v>8.3333333333333329E-2</v>
      </c>
      <c r="T107" s="63">
        <v>5</v>
      </c>
      <c r="U107" s="47" t="str">
        <f>IFERROR(INDEX(NOVO!O:O,MATCH(PRINT!E429,NOVO!C:C,0)),"")</f>
        <v/>
      </c>
      <c r="AA107" s="49">
        <v>152694</v>
      </c>
    </row>
    <row r="108" spans="1:27" s="23" customFormat="1" x14ac:dyDescent="0.35">
      <c r="A108" s="54">
        <v>360</v>
      </c>
      <c r="C108" s="23">
        <v>1020160</v>
      </c>
      <c r="D108" s="23">
        <v>1</v>
      </c>
      <c r="E108" s="23">
        <v>1020165</v>
      </c>
      <c r="F108" s="23" t="s">
        <v>450</v>
      </c>
      <c r="G108" s="5">
        <v>360</v>
      </c>
      <c r="H108" s="23">
        <v>4</v>
      </c>
      <c r="I108" s="23">
        <v>1</v>
      </c>
      <c r="J108" s="23">
        <v>360</v>
      </c>
      <c r="K108" s="23" t="s">
        <v>24</v>
      </c>
      <c r="L108" s="23" t="s">
        <v>597</v>
      </c>
      <c r="M108" s="23" t="s">
        <v>1938</v>
      </c>
      <c r="N108" s="24">
        <v>45838</v>
      </c>
      <c r="O108" s="28">
        <v>0.25</v>
      </c>
      <c r="P108" s="3">
        <v>45817</v>
      </c>
      <c r="Q108" s="62">
        <v>45811.778333333335</v>
      </c>
      <c r="R108" s="72">
        <v>45812.028333333335</v>
      </c>
      <c r="S108" s="25">
        <v>2.7777777777777776E-2</v>
      </c>
      <c r="T108" s="63">
        <v>4.9994444444455439</v>
      </c>
      <c r="U108" s="47">
        <f>IFERROR(INDEX(NOVO!O:O,MATCH(PRINT!E428,NOVO!C:C,0)),"")</f>
        <v>137939</v>
      </c>
      <c r="AA108" s="49">
        <v>152924</v>
      </c>
    </row>
    <row r="109" spans="1:27" s="23" customFormat="1" x14ac:dyDescent="0.35">
      <c r="A109" s="54">
        <v>360</v>
      </c>
      <c r="C109" s="23">
        <v>1020159</v>
      </c>
      <c r="D109" s="23">
        <v>1</v>
      </c>
      <c r="E109" s="23">
        <v>1020165</v>
      </c>
      <c r="F109" s="23" t="s">
        <v>450</v>
      </c>
      <c r="G109" s="5">
        <v>10</v>
      </c>
      <c r="H109" s="23">
        <v>4</v>
      </c>
      <c r="I109" s="23">
        <v>1</v>
      </c>
      <c r="J109" s="23">
        <v>360</v>
      </c>
      <c r="K109" s="23" t="s">
        <v>24</v>
      </c>
      <c r="L109" s="23" t="s">
        <v>597</v>
      </c>
      <c r="M109" s="23" t="s">
        <v>1938</v>
      </c>
      <c r="N109" s="24">
        <v>45838</v>
      </c>
      <c r="O109" s="28">
        <v>7.4999999999999997E-3</v>
      </c>
      <c r="P109" s="3">
        <v>45817</v>
      </c>
      <c r="Q109" s="62">
        <v>45811.770833333336</v>
      </c>
      <c r="R109" s="72">
        <v>45811.778333333335</v>
      </c>
      <c r="S109" s="25">
        <v>0.77777777777777779</v>
      </c>
      <c r="T109" s="63">
        <v>5.9994444444455439</v>
      </c>
      <c r="U109" s="47">
        <f>IFERROR(INDEX(NOVO!O:O,MATCH(PRINT!E427,NOVO!C:C,0)),"")</f>
        <v>137940</v>
      </c>
      <c r="AA109" s="49">
        <v>152925</v>
      </c>
    </row>
    <row r="110" spans="1:27" s="23" customFormat="1" x14ac:dyDescent="0.35">
      <c r="A110" s="54"/>
      <c r="G110" s="5"/>
      <c r="N110" s="24" t="s">
        <v>198</v>
      </c>
      <c r="O110" s="28">
        <v>2.0833333333333332E-2</v>
      </c>
      <c r="P110" s="3">
        <v>45817</v>
      </c>
      <c r="Q110" s="62">
        <v>45811.75</v>
      </c>
      <c r="R110" s="72">
        <v>45811.770833333336</v>
      </c>
      <c r="S110" s="25">
        <v>0.77083333333333337</v>
      </c>
      <c r="T110" s="63">
        <v>6</v>
      </c>
      <c r="U110" s="47">
        <f>IFERROR(INDEX(NOVO!O:O,MATCH(PRINT!E426,NOVO!C:C,0)),"")</f>
        <v>137922</v>
      </c>
      <c r="AA110" s="49">
        <v>152930</v>
      </c>
    </row>
    <row r="111" spans="1:27" s="23" customFormat="1" x14ac:dyDescent="0.35">
      <c r="A111" s="54">
        <v>360</v>
      </c>
      <c r="C111" s="23">
        <v>1020159</v>
      </c>
      <c r="D111" s="23">
        <v>1</v>
      </c>
      <c r="E111" s="23">
        <v>1020165</v>
      </c>
      <c r="F111" s="23" t="s">
        <v>450</v>
      </c>
      <c r="G111" s="5">
        <v>349</v>
      </c>
      <c r="H111" s="23">
        <v>4</v>
      </c>
      <c r="I111" s="23">
        <v>1</v>
      </c>
      <c r="J111" s="23">
        <v>360</v>
      </c>
      <c r="K111" s="23" t="s">
        <v>24</v>
      </c>
      <c r="L111" s="23" t="s">
        <v>597</v>
      </c>
      <c r="M111" s="23" t="s">
        <v>1938</v>
      </c>
      <c r="N111" s="24">
        <v>45838</v>
      </c>
      <c r="O111" s="28">
        <v>0.24250000000029104</v>
      </c>
      <c r="P111" s="3">
        <v>45817</v>
      </c>
      <c r="Q111" s="62">
        <v>45811.5075</v>
      </c>
      <c r="R111" s="72">
        <v>45811.75</v>
      </c>
      <c r="S111" s="25">
        <v>0.75</v>
      </c>
      <c r="T111" s="63">
        <v>6</v>
      </c>
      <c r="U111" s="47">
        <f>IFERROR(INDEX(NOVO!O:O,MATCH(PRINT!E425,NOVO!C:C,0)),"")</f>
        <v>137922</v>
      </c>
      <c r="AA111" s="49">
        <v>152933</v>
      </c>
    </row>
    <row r="112" spans="1:27" s="23" customFormat="1" x14ac:dyDescent="0.35">
      <c r="A112" s="54">
        <v>0</v>
      </c>
      <c r="C112" s="23">
        <v>1020159</v>
      </c>
      <c r="D112" s="23">
        <v>1</v>
      </c>
      <c r="E112" s="23">
        <v>1020164</v>
      </c>
      <c r="F112" s="23" t="s">
        <v>669</v>
      </c>
      <c r="G112" s="5">
        <v>90</v>
      </c>
      <c r="H112" s="23">
        <v>4</v>
      </c>
      <c r="I112" s="23">
        <v>0</v>
      </c>
      <c r="J112" s="23">
        <v>0</v>
      </c>
      <c r="K112" s="23" t="s">
        <v>24</v>
      </c>
      <c r="L112" s="23" t="s">
        <v>597</v>
      </c>
      <c r="M112" s="23" t="s">
        <v>1938</v>
      </c>
      <c r="N112" s="24">
        <v>45838</v>
      </c>
      <c r="O112" s="28">
        <v>6.25E-2</v>
      </c>
      <c r="P112" s="3">
        <v>45817</v>
      </c>
      <c r="Q112" s="62">
        <v>45811.445</v>
      </c>
      <c r="R112" s="72">
        <v>45811.5075</v>
      </c>
      <c r="S112" s="25">
        <v>0.50694444444444442</v>
      </c>
      <c r="T112" s="63">
        <v>5.9994444444455439</v>
      </c>
      <c r="U112" s="47">
        <f>IFERROR(INDEX(NOVO!O:O,MATCH(PRINT!E424,NOVO!C:C,0)),"")</f>
        <v>137928</v>
      </c>
      <c r="AA112" s="49">
        <v>153086</v>
      </c>
    </row>
    <row r="113" spans="1:27" s="23" customFormat="1" x14ac:dyDescent="0.35">
      <c r="A113" s="54">
        <v>0</v>
      </c>
      <c r="C113" s="23">
        <v>1020159</v>
      </c>
      <c r="D113" s="23">
        <v>1</v>
      </c>
      <c r="E113" s="23">
        <v>1020163</v>
      </c>
      <c r="F113" s="23" t="s">
        <v>1082</v>
      </c>
      <c r="G113" s="5">
        <v>10</v>
      </c>
      <c r="H113" s="23">
        <v>4</v>
      </c>
      <c r="I113" s="23">
        <v>0</v>
      </c>
      <c r="J113" s="23">
        <v>0</v>
      </c>
      <c r="K113" s="23" t="s">
        <v>24</v>
      </c>
      <c r="L113" s="23" t="s">
        <v>597</v>
      </c>
      <c r="M113" s="23" t="s">
        <v>1938</v>
      </c>
      <c r="N113" s="24">
        <v>45838</v>
      </c>
      <c r="O113" s="28">
        <v>7.4999999999999997E-3</v>
      </c>
      <c r="P113" s="3">
        <v>45817</v>
      </c>
      <c r="Q113" s="62">
        <v>45811.4375</v>
      </c>
      <c r="R113" s="72">
        <v>45811.445</v>
      </c>
      <c r="S113" s="25">
        <v>0.44444444444444442</v>
      </c>
      <c r="T113" s="63">
        <v>5.9994444444455439</v>
      </c>
      <c r="U113" s="47">
        <f>IFERROR(INDEX(NOVO!O:O,MATCH(PRINT!E423,NOVO!C:C,0)),"")</f>
        <v>137924</v>
      </c>
      <c r="AA113" s="49">
        <v>153087</v>
      </c>
    </row>
    <row r="114" spans="1:27" s="23" customFormat="1" x14ac:dyDescent="0.35">
      <c r="A114" s="54"/>
      <c r="G114" s="5"/>
      <c r="N114" s="24" t="s">
        <v>198</v>
      </c>
      <c r="O114" s="28">
        <v>2.0833333333333332E-2</v>
      </c>
      <c r="P114" s="3">
        <v>45817</v>
      </c>
      <c r="Q114" s="62">
        <v>45811.416666666664</v>
      </c>
      <c r="R114" s="72">
        <v>45811.4375</v>
      </c>
      <c r="S114" s="25">
        <v>0.4375</v>
      </c>
      <c r="T114" s="63">
        <v>6</v>
      </c>
      <c r="U114" s="47">
        <f>IFERROR(INDEX(NOVO!O:O,MATCH(PRINT!E422,NOVO!C:C,0)),"")</f>
        <v>137925</v>
      </c>
      <c r="AA114" s="49">
        <v>153137</v>
      </c>
    </row>
    <row r="115" spans="1:27" s="23" customFormat="1" x14ac:dyDescent="0.35">
      <c r="A115" s="54">
        <v>0</v>
      </c>
      <c r="C115" s="23">
        <v>1020159</v>
      </c>
      <c r="D115" s="23">
        <v>1</v>
      </c>
      <c r="E115" s="23">
        <v>1020163</v>
      </c>
      <c r="F115" s="23" t="s">
        <v>1082</v>
      </c>
      <c r="G115" s="5">
        <v>64</v>
      </c>
      <c r="H115" s="23">
        <v>4</v>
      </c>
      <c r="I115" s="23">
        <v>0</v>
      </c>
      <c r="J115" s="23">
        <v>0</v>
      </c>
      <c r="K115" s="23" t="s">
        <v>24</v>
      </c>
      <c r="L115" s="23" t="s">
        <v>597</v>
      </c>
      <c r="M115" s="23" t="s">
        <v>1938</v>
      </c>
      <c r="N115" s="24">
        <v>45838</v>
      </c>
      <c r="O115" s="28">
        <v>4.4583333343325648E-2</v>
      </c>
      <c r="P115" s="3">
        <v>45817</v>
      </c>
      <c r="Q115" s="62">
        <v>45811.372083333321</v>
      </c>
      <c r="R115" s="72">
        <v>45811.416666666664</v>
      </c>
      <c r="S115" s="25">
        <v>0.41666666666666669</v>
      </c>
      <c r="T115" s="63">
        <v>6</v>
      </c>
      <c r="U115" s="47">
        <f>IFERROR(INDEX(NOVO!O:O,MATCH(PRINT!E421,NOVO!C:C,0)),"")</f>
        <v>137939</v>
      </c>
      <c r="AA115" s="49">
        <v>153476</v>
      </c>
    </row>
    <row r="116" spans="1:27" s="23" customFormat="1" x14ac:dyDescent="0.35">
      <c r="A116" s="54">
        <v>0</v>
      </c>
      <c r="C116" s="23">
        <v>1020127</v>
      </c>
      <c r="D116" s="23">
        <v>1</v>
      </c>
      <c r="E116" s="23">
        <v>1020136</v>
      </c>
      <c r="F116" s="23" t="s">
        <v>1764</v>
      </c>
      <c r="G116" s="5">
        <v>15</v>
      </c>
      <c r="H116" s="23">
        <v>2</v>
      </c>
      <c r="I116" s="23">
        <v>0</v>
      </c>
      <c r="J116" s="23">
        <v>0</v>
      </c>
      <c r="K116" s="23" t="s">
        <v>24</v>
      </c>
      <c r="L116" s="23" t="s">
        <v>597</v>
      </c>
      <c r="M116" s="23" t="s">
        <v>1937</v>
      </c>
      <c r="N116" s="24">
        <v>45838</v>
      </c>
      <c r="O116" s="28">
        <v>1.0416666666666666E-2</v>
      </c>
      <c r="P116" s="3">
        <v>45817</v>
      </c>
      <c r="Q116" s="62">
        <v>45811.361666666657</v>
      </c>
      <c r="R116" s="72">
        <v>45811.372083333321</v>
      </c>
      <c r="S116" s="25">
        <v>0.37152777777777779</v>
      </c>
      <c r="T116" s="63">
        <v>5.9994444444600958</v>
      </c>
      <c r="U116" s="47">
        <f>IFERROR(INDEX(NOVO!O:O,MATCH(PRINT!E420,NOVO!C:C,0)),"")</f>
        <v>137940</v>
      </c>
      <c r="AA116" s="49">
        <v>153477</v>
      </c>
    </row>
    <row r="117" spans="1:27" s="23" customFormat="1" x14ac:dyDescent="0.35">
      <c r="A117" s="54">
        <v>0</v>
      </c>
      <c r="C117" s="23">
        <v>1020127</v>
      </c>
      <c r="D117" s="23">
        <v>1</v>
      </c>
      <c r="E117" s="23">
        <v>1020135</v>
      </c>
      <c r="F117" s="23" t="s">
        <v>1765</v>
      </c>
      <c r="G117" s="5">
        <v>13</v>
      </c>
      <c r="H117" s="23">
        <v>2</v>
      </c>
      <c r="I117" s="23">
        <v>0</v>
      </c>
      <c r="J117" s="23">
        <v>0</v>
      </c>
      <c r="K117" s="23" t="s">
        <v>24</v>
      </c>
      <c r="L117" s="23" t="s">
        <v>597</v>
      </c>
      <c r="M117" s="23" t="s">
        <v>1937</v>
      </c>
      <c r="N117" s="24">
        <v>45838</v>
      </c>
      <c r="O117" s="28">
        <v>9.0277777777777769E-3</v>
      </c>
      <c r="P117" s="3">
        <v>45817</v>
      </c>
      <c r="Q117" s="62">
        <v>45811.352638888879</v>
      </c>
      <c r="R117" s="72">
        <v>45811.361666666657</v>
      </c>
      <c r="S117" s="25">
        <v>0.3611111111111111</v>
      </c>
      <c r="T117" s="63">
        <v>5.9994444444528199</v>
      </c>
      <c r="U117" s="47">
        <f>IFERROR(INDEX(NOVO!O:O,MATCH(PRINT!E419,NOVO!C:C,0)),"")</f>
        <v>137923</v>
      </c>
      <c r="AA117" s="49">
        <v>153478</v>
      </c>
    </row>
    <row r="118" spans="1:27" s="23" customFormat="1" x14ac:dyDescent="0.35">
      <c r="A118" s="54">
        <v>0</v>
      </c>
      <c r="C118" s="23">
        <v>1020127</v>
      </c>
      <c r="D118" s="23">
        <v>1</v>
      </c>
      <c r="E118" s="23">
        <v>1020134</v>
      </c>
      <c r="F118" s="23" t="s">
        <v>1763</v>
      </c>
      <c r="G118" s="5">
        <v>15</v>
      </c>
      <c r="H118" s="23">
        <v>2</v>
      </c>
      <c r="I118" s="23">
        <v>0</v>
      </c>
      <c r="J118" s="23">
        <v>0</v>
      </c>
      <c r="K118" s="23" t="s">
        <v>24</v>
      </c>
      <c r="L118" s="23" t="s">
        <v>597</v>
      </c>
      <c r="M118" s="23" t="s">
        <v>1937</v>
      </c>
      <c r="N118" s="24">
        <v>45838</v>
      </c>
      <c r="O118" s="28">
        <v>1.0416666666666666E-2</v>
      </c>
      <c r="P118" s="3">
        <v>45817</v>
      </c>
      <c r="Q118" s="62">
        <v>45811.342222222214</v>
      </c>
      <c r="R118" s="72">
        <v>45811.352638888879</v>
      </c>
      <c r="S118" s="25">
        <v>0.35208333333333336</v>
      </c>
      <c r="T118" s="63">
        <v>5.9994444444528199</v>
      </c>
      <c r="U118" s="47">
        <f>IFERROR(INDEX(NOVO!O:O,MATCH(PRINT!E418,NOVO!C:C,0)),"")</f>
        <v>137940</v>
      </c>
      <c r="AA118" s="49">
        <v>153757</v>
      </c>
    </row>
    <row r="119" spans="1:27" s="23" customFormat="1" x14ac:dyDescent="0.35">
      <c r="A119" s="54">
        <v>0</v>
      </c>
      <c r="C119" s="23">
        <v>1020127</v>
      </c>
      <c r="D119" s="23">
        <v>1</v>
      </c>
      <c r="E119" s="23">
        <v>1020133</v>
      </c>
      <c r="F119" s="23" t="s">
        <v>1762</v>
      </c>
      <c r="G119" s="5">
        <v>15</v>
      </c>
      <c r="H119" s="23">
        <v>2</v>
      </c>
      <c r="I119" s="23">
        <v>0</v>
      </c>
      <c r="J119" s="23">
        <v>0</v>
      </c>
      <c r="K119" s="23" t="s">
        <v>24</v>
      </c>
      <c r="L119" s="23" t="s">
        <v>597</v>
      </c>
      <c r="M119" s="23" t="s">
        <v>1937</v>
      </c>
      <c r="N119" s="24">
        <v>45838</v>
      </c>
      <c r="O119" s="28">
        <v>1.0416666666666666E-2</v>
      </c>
      <c r="P119" s="3">
        <v>45817</v>
      </c>
      <c r="Q119" s="62">
        <v>45811.33180555555</v>
      </c>
      <c r="R119" s="72">
        <v>45811.342222222214</v>
      </c>
      <c r="S119" s="25">
        <v>0.34166666666666667</v>
      </c>
      <c r="T119" s="63">
        <v>5.9994444444528199</v>
      </c>
      <c r="U119" s="47">
        <f>IFERROR(INDEX(NOVO!O:O,MATCH(PRINT!E417,NOVO!C:C,0)),"")</f>
        <v>137939</v>
      </c>
      <c r="AA119" s="49">
        <v>153758</v>
      </c>
    </row>
    <row r="120" spans="1:27" s="23" customFormat="1" x14ac:dyDescent="0.35">
      <c r="A120" s="54">
        <v>0</v>
      </c>
      <c r="C120" s="23">
        <v>1020127</v>
      </c>
      <c r="D120" s="23">
        <v>1</v>
      </c>
      <c r="E120" s="23">
        <v>1020128</v>
      </c>
      <c r="F120" s="23" t="s">
        <v>611</v>
      </c>
      <c r="G120" s="5">
        <v>15</v>
      </c>
      <c r="H120" s="23">
        <v>2</v>
      </c>
      <c r="I120" s="23">
        <v>0</v>
      </c>
      <c r="J120" s="23">
        <v>0</v>
      </c>
      <c r="K120" s="23" t="s">
        <v>24</v>
      </c>
      <c r="L120" s="23" t="s">
        <v>597</v>
      </c>
      <c r="M120" s="23" t="s">
        <v>1937</v>
      </c>
      <c r="N120" s="24">
        <v>45838</v>
      </c>
      <c r="O120" s="28">
        <v>1.0416666666666666E-2</v>
      </c>
      <c r="P120" s="3">
        <v>45817</v>
      </c>
      <c r="Q120" s="62">
        <v>45811.321388888886</v>
      </c>
      <c r="R120" s="72">
        <v>45811.33180555555</v>
      </c>
      <c r="S120" s="25">
        <v>0.33124999999999999</v>
      </c>
      <c r="T120" s="63">
        <v>5.9994444444528199</v>
      </c>
      <c r="U120" s="47" t="str">
        <f>IFERROR(INDEX(NOVO!O:O,MATCH(PRINT!E416,NOVO!C:C,0)),"")</f>
        <v/>
      </c>
      <c r="AA120" s="49">
        <v>153759</v>
      </c>
    </row>
    <row r="121" spans="1:27" s="23" customFormat="1" x14ac:dyDescent="0.35">
      <c r="A121" s="54">
        <v>0</v>
      </c>
      <c r="C121" s="23">
        <v>1020126</v>
      </c>
      <c r="D121" s="23">
        <v>1</v>
      </c>
      <c r="E121" s="23">
        <v>1020134</v>
      </c>
      <c r="F121" s="23" t="s">
        <v>1763</v>
      </c>
      <c r="G121" s="5">
        <v>15</v>
      </c>
      <c r="H121" s="23">
        <v>2</v>
      </c>
      <c r="I121" s="23">
        <v>0</v>
      </c>
      <c r="J121" s="23">
        <v>0</v>
      </c>
      <c r="K121" s="23" t="s">
        <v>24</v>
      </c>
      <c r="L121" s="23" t="s">
        <v>597</v>
      </c>
      <c r="M121" s="23" t="s">
        <v>1937</v>
      </c>
      <c r="N121" s="24">
        <v>45838</v>
      </c>
      <c r="O121" s="28">
        <v>1.0416666666666666E-2</v>
      </c>
      <c r="P121" s="3">
        <v>45817</v>
      </c>
      <c r="Q121" s="62">
        <v>45811.310972222222</v>
      </c>
      <c r="R121" s="72">
        <v>45811.321388888886</v>
      </c>
      <c r="S121" s="25">
        <v>0.32083333333333336</v>
      </c>
      <c r="T121" s="63">
        <v>5.9994444444455439</v>
      </c>
      <c r="U121" s="47">
        <f>IFERROR(INDEX(NOVO!O:O,MATCH(PRINT!E415,NOVO!C:C,0)),"")</f>
        <v>137939</v>
      </c>
      <c r="AA121" s="49">
        <v>153777</v>
      </c>
    </row>
    <row r="122" spans="1:27" s="23" customFormat="1" x14ac:dyDescent="0.35">
      <c r="A122" s="54">
        <v>0</v>
      </c>
      <c r="C122" s="23">
        <v>1020126</v>
      </c>
      <c r="D122" s="23">
        <v>1</v>
      </c>
      <c r="E122" s="23">
        <v>1020133</v>
      </c>
      <c r="F122" s="23" t="s">
        <v>1762</v>
      </c>
      <c r="G122" s="5">
        <v>15</v>
      </c>
      <c r="H122" s="23">
        <v>2</v>
      </c>
      <c r="I122" s="23">
        <v>0</v>
      </c>
      <c r="J122" s="23">
        <v>0</v>
      </c>
      <c r="K122" s="23" t="s">
        <v>24</v>
      </c>
      <c r="L122" s="23" t="s">
        <v>597</v>
      </c>
      <c r="M122" s="23" t="s">
        <v>1937</v>
      </c>
      <c r="N122" s="24">
        <v>45838</v>
      </c>
      <c r="O122" s="28">
        <v>1.0416666666666666E-2</v>
      </c>
      <c r="P122" s="3">
        <v>45817</v>
      </c>
      <c r="Q122" s="62">
        <v>45811.300555555557</v>
      </c>
      <c r="R122" s="72">
        <v>45811.310972222222</v>
      </c>
      <c r="S122" s="25">
        <v>0.31041666666666667</v>
      </c>
      <c r="T122" s="63">
        <v>5.9994444444455439</v>
      </c>
      <c r="U122" s="47">
        <f>IFERROR(INDEX(NOVO!O:O,MATCH(PRINT!E414,NOVO!C:C,0)),"")</f>
        <v>137928</v>
      </c>
      <c r="AA122" s="49">
        <v>153780</v>
      </c>
    </row>
    <row r="123" spans="1:27" s="23" customFormat="1" x14ac:dyDescent="0.35">
      <c r="A123" s="54">
        <v>0</v>
      </c>
      <c r="C123" s="23">
        <v>1020126</v>
      </c>
      <c r="D123" s="23">
        <v>1</v>
      </c>
      <c r="E123" s="23">
        <v>1020136</v>
      </c>
      <c r="F123" s="23" t="s">
        <v>1764</v>
      </c>
      <c r="G123" s="5">
        <v>15</v>
      </c>
      <c r="H123" s="23">
        <v>2</v>
      </c>
      <c r="I123" s="23">
        <v>0</v>
      </c>
      <c r="J123" s="23">
        <v>0</v>
      </c>
      <c r="K123" s="23" t="s">
        <v>24</v>
      </c>
      <c r="L123" s="23" t="s">
        <v>597</v>
      </c>
      <c r="M123" s="23" t="s">
        <v>1937</v>
      </c>
      <c r="N123" s="24">
        <v>45838</v>
      </c>
      <c r="O123" s="28">
        <v>1.0416666666666666E-2</v>
      </c>
      <c r="P123" s="3">
        <v>45817</v>
      </c>
      <c r="Q123" s="62">
        <v>45811.290138888893</v>
      </c>
      <c r="R123" s="72">
        <v>45811.300555555557</v>
      </c>
      <c r="S123" s="25">
        <v>0.3</v>
      </c>
      <c r="T123" s="63">
        <v>5.9994444444455439</v>
      </c>
      <c r="U123" s="47">
        <f>IFERROR(INDEX(NOVO!O:O,MATCH(PRINT!E413,NOVO!C:C,0)),"")</f>
        <v>137922</v>
      </c>
      <c r="AA123" s="49">
        <v>153783</v>
      </c>
    </row>
    <row r="124" spans="1:27" s="23" customFormat="1" x14ac:dyDescent="0.35">
      <c r="A124" s="54">
        <v>0</v>
      </c>
      <c r="C124" s="23">
        <v>1020126</v>
      </c>
      <c r="D124" s="23">
        <v>1</v>
      </c>
      <c r="E124" s="23">
        <v>1020135</v>
      </c>
      <c r="F124" s="23" t="s">
        <v>1765</v>
      </c>
      <c r="G124" s="5">
        <v>13</v>
      </c>
      <c r="H124" s="23">
        <v>2</v>
      </c>
      <c r="I124" s="23">
        <v>0</v>
      </c>
      <c r="J124" s="23">
        <v>0</v>
      </c>
      <c r="K124" s="23" t="s">
        <v>24</v>
      </c>
      <c r="L124" s="23" t="s">
        <v>597</v>
      </c>
      <c r="M124" s="23" t="s">
        <v>1937</v>
      </c>
      <c r="N124" s="24">
        <v>45838</v>
      </c>
      <c r="O124" s="28">
        <v>9.0277777777777769E-3</v>
      </c>
      <c r="P124" s="3">
        <v>45817</v>
      </c>
      <c r="Q124" s="62">
        <v>45811.281111111115</v>
      </c>
      <c r="R124" s="72">
        <v>45811.290138888893</v>
      </c>
      <c r="S124" s="25">
        <v>0.28958333333333336</v>
      </c>
      <c r="T124" s="63">
        <v>5.999444444438268</v>
      </c>
      <c r="U124" s="47">
        <f>IFERROR(INDEX(NOVO!O:O,MATCH(PRINT!E412,NOVO!C:C,0)),"")</f>
        <v>137924</v>
      </c>
      <c r="AA124" s="49">
        <v>153784</v>
      </c>
    </row>
    <row r="125" spans="1:27" s="23" customFormat="1" x14ac:dyDescent="0.35">
      <c r="A125" s="54">
        <v>0</v>
      </c>
      <c r="C125" s="23">
        <v>1020126</v>
      </c>
      <c r="D125" s="23">
        <v>1</v>
      </c>
      <c r="E125" s="23">
        <v>1020128</v>
      </c>
      <c r="F125" s="23" t="s">
        <v>611</v>
      </c>
      <c r="G125" s="5">
        <v>15</v>
      </c>
      <c r="H125" s="23">
        <v>2</v>
      </c>
      <c r="I125" s="23">
        <v>0</v>
      </c>
      <c r="J125" s="23">
        <v>0</v>
      </c>
      <c r="K125" s="23" t="s">
        <v>24</v>
      </c>
      <c r="L125" s="23" t="s">
        <v>597</v>
      </c>
      <c r="M125" s="23" t="s">
        <v>1937</v>
      </c>
      <c r="N125" s="24">
        <v>45838</v>
      </c>
      <c r="O125" s="28">
        <v>1.0416666666666666E-2</v>
      </c>
      <c r="P125" s="3">
        <v>45817</v>
      </c>
      <c r="Q125" s="62">
        <v>45811.270694444451</v>
      </c>
      <c r="R125" s="72">
        <v>45811.281111111115</v>
      </c>
      <c r="S125" s="25">
        <v>0.28055555555555556</v>
      </c>
      <c r="T125" s="63">
        <v>5.999444444438268</v>
      </c>
      <c r="U125" s="47">
        <f>IFERROR(INDEX(NOVO!O:O,MATCH(PRINT!E411,NOVO!C:C,0)),"")</f>
        <v>137923</v>
      </c>
      <c r="AA125" s="49">
        <v>154137</v>
      </c>
    </row>
    <row r="126" spans="1:27" s="23" customFormat="1" x14ac:dyDescent="0.35">
      <c r="A126" s="54">
        <v>0</v>
      </c>
      <c r="C126" s="23">
        <v>1019362</v>
      </c>
      <c r="D126" s="23">
        <v>2</v>
      </c>
      <c r="E126" s="23">
        <v>1019366</v>
      </c>
      <c r="F126" s="23" t="s">
        <v>1659</v>
      </c>
      <c r="G126" s="5">
        <v>60</v>
      </c>
      <c r="H126" s="23">
        <v>2</v>
      </c>
      <c r="I126" s="23">
        <v>0</v>
      </c>
      <c r="J126" s="23">
        <v>0</v>
      </c>
      <c r="K126" s="23" t="s">
        <v>24</v>
      </c>
      <c r="L126" s="23" t="s">
        <v>597</v>
      </c>
      <c r="M126" s="23" t="s">
        <v>1936</v>
      </c>
      <c r="N126" s="24">
        <v>45839</v>
      </c>
      <c r="O126" s="28">
        <v>4.1666666666666664E-2</v>
      </c>
      <c r="P126" s="3">
        <v>45817</v>
      </c>
      <c r="Q126" s="62">
        <v>45811.229027777787</v>
      </c>
      <c r="R126" s="72">
        <v>45811.270694444451</v>
      </c>
      <c r="S126" s="25">
        <v>0.27013888888888887</v>
      </c>
      <c r="T126" s="63">
        <v>5.999444444438268</v>
      </c>
      <c r="U126" s="47">
        <f>IFERROR(INDEX(NOVO!O:O,MATCH(PRINT!E410,NOVO!C:C,0)),"")</f>
        <v>137925</v>
      </c>
      <c r="AA126" s="49">
        <v>154382</v>
      </c>
    </row>
    <row r="127" spans="1:27" s="23" customFormat="1" x14ac:dyDescent="0.35">
      <c r="A127" s="54">
        <v>0</v>
      </c>
      <c r="C127" s="23">
        <v>1019362</v>
      </c>
      <c r="D127" s="23">
        <v>2</v>
      </c>
      <c r="E127" s="23">
        <v>1019374</v>
      </c>
      <c r="F127" s="23" t="s">
        <v>1658</v>
      </c>
      <c r="G127" s="5">
        <v>10</v>
      </c>
      <c r="H127" s="23">
        <v>2</v>
      </c>
      <c r="I127" s="23">
        <v>0</v>
      </c>
      <c r="J127" s="23">
        <v>0</v>
      </c>
      <c r="K127" s="23" t="s">
        <v>24</v>
      </c>
      <c r="L127" s="23" t="s">
        <v>597</v>
      </c>
      <c r="M127" s="23" t="s">
        <v>1936</v>
      </c>
      <c r="N127" s="24">
        <v>45839</v>
      </c>
      <c r="O127" s="28">
        <v>6.9444444444444441E-3</v>
      </c>
      <c r="P127" s="3">
        <v>45817</v>
      </c>
      <c r="Q127" s="62">
        <v>45811.222083333341</v>
      </c>
      <c r="R127" s="72">
        <v>45811.229027777787</v>
      </c>
      <c r="S127" s="25">
        <v>0.22847222222222222</v>
      </c>
      <c r="T127" s="63">
        <v>5.999444444438268</v>
      </c>
      <c r="U127" s="47">
        <f>IFERROR(INDEX(NOVO!O:O,MATCH(PRINT!E409,NOVO!C:C,0)),"")</f>
        <v>139624</v>
      </c>
      <c r="AA127" s="49">
        <v>154383</v>
      </c>
    </row>
    <row r="128" spans="1:27" s="23" customFormat="1" x14ac:dyDescent="0.35">
      <c r="A128" s="54">
        <v>0</v>
      </c>
      <c r="C128" s="23">
        <v>1019362</v>
      </c>
      <c r="D128" s="23">
        <v>2</v>
      </c>
      <c r="E128" s="23">
        <v>1019367</v>
      </c>
      <c r="F128" s="23" t="s">
        <v>1660</v>
      </c>
      <c r="G128" s="5">
        <v>30</v>
      </c>
      <c r="H128" s="23">
        <v>2</v>
      </c>
      <c r="I128" s="23">
        <v>0</v>
      </c>
      <c r="J128" s="23">
        <v>0</v>
      </c>
      <c r="K128" s="23" t="s">
        <v>24</v>
      </c>
      <c r="L128" s="23" t="s">
        <v>597</v>
      </c>
      <c r="M128" s="23" t="s">
        <v>1936</v>
      </c>
      <c r="N128" s="24">
        <v>45839</v>
      </c>
      <c r="O128" s="28">
        <v>2.0833333333333332E-2</v>
      </c>
      <c r="P128" s="3">
        <v>45817</v>
      </c>
      <c r="Q128" s="62">
        <v>45811.201250000006</v>
      </c>
      <c r="R128" s="72">
        <v>45811.222083333341</v>
      </c>
      <c r="S128" s="25">
        <v>0.22152777777777777</v>
      </c>
      <c r="T128" s="63">
        <v>5.999444444438268</v>
      </c>
      <c r="U128" s="47">
        <f>IFERROR(INDEX(NOVO!O:O,MATCH(PRINT!E408,NOVO!C:C,0)),"")</f>
        <v>139619</v>
      </c>
      <c r="AA128" s="49">
        <v>154384</v>
      </c>
    </row>
    <row r="129" spans="1:27" s="23" customFormat="1" x14ac:dyDescent="0.35">
      <c r="A129" s="54">
        <v>0</v>
      </c>
      <c r="C129" s="23">
        <v>1019337</v>
      </c>
      <c r="D129" s="23">
        <v>4</v>
      </c>
      <c r="E129" s="23">
        <v>1019356</v>
      </c>
      <c r="F129" s="23" t="s">
        <v>1935</v>
      </c>
      <c r="G129" s="5">
        <v>40</v>
      </c>
      <c r="H129" s="23">
        <v>4</v>
      </c>
      <c r="I129" s="23">
        <v>0</v>
      </c>
      <c r="J129" s="23">
        <v>0</v>
      </c>
      <c r="K129" s="23" t="s">
        <v>24</v>
      </c>
      <c r="L129" s="23" t="s">
        <v>597</v>
      </c>
      <c r="M129" s="23" t="s">
        <v>1933</v>
      </c>
      <c r="N129" s="24">
        <v>45839</v>
      </c>
      <c r="O129" s="28">
        <v>2.7777777777777776E-2</v>
      </c>
      <c r="P129" s="3">
        <v>45817</v>
      </c>
      <c r="Q129" s="62">
        <v>45811.173472222225</v>
      </c>
      <c r="R129" s="72">
        <v>45811.201250000006</v>
      </c>
      <c r="S129" s="25">
        <v>0.20069444444444445</v>
      </c>
      <c r="T129" s="63">
        <v>5.999444444438268</v>
      </c>
      <c r="U129" s="47">
        <f>IFERROR(INDEX(NOVO!O:O,MATCH(PRINT!E407,NOVO!C:C,0)),"")</f>
        <v>139618</v>
      </c>
      <c r="AA129" s="49">
        <v>154386</v>
      </c>
    </row>
    <row r="130" spans="1:27" s="23" customFormat="1" x14ac:dyDescent="0.35">
      <c r="A130" s="54">
        <v>0</v>
      </c>
      <c r="C130" s="23">
        <v>1019337</v>
      </c>
      <c r="D130" s="23">
        <v>4</v>
      </c>
      <c r="E130" s="23">
        <v>1019340</v>
      </c>
      <c r="F130" s="23" t="s">
        <v>1934</v>
      </c>
      <c r="G130" s="5">
        <v>80</v>
      </c>
      <c r="H130" s="23">
        <v>4</v>
      </c>
      <c r="I130" s="23">
        <v>0</v>
      </c>
      <c r="J130" s="23">
        <v>0</v>
      </c>
      <c r="K130" s="23" t="s">
        <v>24</v>
      </c>
      <c r="L130" s="23" t="s">
        <v>597</v>
      </c>
      <c r="M130" s="23" t="s">
        <v>1933</v>
      </c>
      <c r="N130" s="24">
        <v>45839</v>
      </c>
      <c r="O130" s="28">
        <v>5.5555555555555552E-2</v>
      </c>
      <c r="P130" s="3">
        <v>45817</v>
      </c>
      <c r="Q130" s="62">
        <v>45811.11791666667</v>
      </c>
      <c r="R130" s="72">
        <v>45811.173472222225</v>
      </c>
      <c r="S130" s="25">
        <v>0.17291666666666666</v>
      </c>
      <c r="T130" s="63">
        <v>5.9994444444455439</v>
      </c>
      <c r="U130" s="47">
        <f>IFERROR(INDEX(NOVO!O:O,MATCH(PRINT!E406,NOVO!C:C,0)),"")</f>
        <v>139615</v>
      </c>
      <c r="AA130" s="49">
        <v>154387</v>
      </c>
    </row>
    <row r="131" spans="1:27" s="23" customFormat="1" x14ac:dyDescent="0.35">
      <c r="A131" s="54">
        <v>0</v>
      </c>
      <c r="C131" s="23">
        <v>1019337</v>
      </c>
      <c r="D131" s="23">
        <v>4</v>
      </c>
      <c r="E131" s="23">
        <v>1019339</v>
      </c>
      <c r="F131" s="23" t="s">
        <v>1932</v>
      </c>
      <c r="G131" s="5">
        <v>19</v>
      </c>
      <c r="H131" s="23">
        <v>4</v>
      </c>
      <c r="I131" s="23">
        <v>0</v>
      </c>
      <c r="J131" s="23">
        <v>0</v>
      </c>
      <c r="K131" s="23" t="s">
        <v>24</v>
      </c>
      <c r="L131" s="23" t="s">
        <v>597</v>
      </c>
      <c r="M131" s="23" t="s">
        <v>1933</v>
      </c>
      <c r="N131" s="24">
        <v>45839</v>
      </c>
      <c r="O131" s="28">
        <v>1.375E-2</v>
      </c>
      <c r="P131" s="3">
        <v>45817</v>
      </c>
      <c r="Q131" s="62">
        <v>45811.104166666672</v>
      </c>
      <c r="R131" s="72">
        <v>45811.11791666667</v>
      </c>
      <c r="S131" s="25">
        <v>0.11736111111111111</v>
      </c>
      <c r="T131" s="63">
        <v>5.999444444438268</v>
      </c>
      <c r="U131" s="47">
        <f>IFERROR(INDEX(NOVO!O:O,MATCH(PRINT!E405,NOVO!C:C,0)),"")</f>
        <v>139624</v>
      </c>
      <c r="AA131" s="49">
        <v>154396</v>
      </c>
    </row>
    <row r="132" spans="1:27" s="23" customFormat="1" x14ac:dyDescent="0.35">
      <c r="A132" s="54"/>
      <c r="G132" s="5"/>
      <c r="N132" s="24" t="s">
        <v>198</v>
      </c>
      <c r="O132" s="28">
        <v>2.0833333333333332E-2</v>
      </c>
      <c r="P132" s="3">
        <v>45817</v>
      </c>
      <c r="Q132" s="62">
        <v>45811.083333333336</v>
      </c>
      <c r="R132" s="72">
        <v>45811.104166666672</v>
      </c>
      <c r="S132" s="25">
        <v>0.10416666666666667</v>
      </c>
      <c r="T132" s="63">
        <v>5.999999999992724</v>
      </c>
      <c r="U132" s="47">
        <f>IFERROR(INDEX(NOVO!O:O,MATCH(PRINT!E404,NOVO!C:C,0)),"")</f>
        <v>139619</v>
      </c>
      <c r="AA132" s="49">
        <v>154635</v>
      </c>
    </row>
    <row r="133" spans="1:27" s="23" customFormat="1" x14ac:dyDescent="0.35">
      <c r="A133" s="54">
        <v>0</v>
      </c>
      <c r="C133" s="23">
        <v>1019337</v>
      </c>
      <c r="D133" s="23">
        <v>4</v>
      </c>
      <c r="E133" s="23">
        <v>1019339</v>
      </c>
      <c r="F133" s="23" t="s">
        <v>1932</v>
      </c>
      <c r="G133" s="5">
        <v>20</v>
      </c>
      <c r="H133" s="23">
        <v>4</v>
      </c>
      <c r="I133" s="23">
        <v>0</v>
      </c>
      <c r="J133" s="23">
        <v>0</v>
      </c>
      <c r="K133" s="23" t="s">
        <v>24</v>
      </c>
      <c r="L133" s="23" t="s">
        <v>597</v>
      </c>
      <c r="M133" s="23" t="s">
        <v>1933</v>
      </c>
      <c r="N133" s="24">
        <v>45839</v>
      </c>
      <c r="O133" s="28">
        <v>1.4027777790033724E-2</v>
      </c>
      <c r="P133" s="3">
        <v>45817</v>
      </c>
      <c r="Q133" s="62">
        <v>45811.069305555546</v>
      </c>
      <c r="R133" s="72">
        <v>45811.083333333336</v>
      </c>
      <c r="S133" s="25">
        <v>8.3333333333333329E-2</v>
      </c>
      <c r="T133" s="63">
        <v>6</v>
      </c>
      <c r="U133" s="47">
        <f>IFERROR(INDEX(NOVO!O:O,MATCH(PRINT!E403,NOVO!C:C,0)),"")</f>
        <v>139618</v>
      </c>
      <c r="AA133" s="49">
        <v>154636</v>
      </c>
    </row>
    <row r="134" spans="1:27" s="23" customFormat="1" x14ac:dyDescent="0.35">
      <c r="A134" s="54">
        <v>0</v>
      </c>
      <c r="C134" s="23">
        <v>1018928</v>
      </c>
      <c r="D134" s="23">
        <v>1</v>
      </c>
      <c r="E134" s="23">
        <v>1018921</v>
      </c>
      <c r="F134" s="23" t="s">
        <v>1929</v>
      </c>
      <c r="G134" s="5">
        <v>10</v>
      </c>
      <c r="H134" s="23">
        <v>1</v>
      </c>
      <c r="I134" s="23">
        <v>0</v>
      </c>
      <c r="J134" s="23">
        <v>0</v>
      </c>
      <c r="K134" s="23" t="s">
        <v>24</v>
      </c>
      <c r="L134" s="23" t="s">
        <v>597</v>
      </c>
      <c r="M134" s="23" t="s">
        <v>1931</v>
      </c>
      <c r="N134" s="24">
        <v>45824</v>
      </c>
      <c r="O134" s="28">
        <v>6.9444444444444441E-3</v>
      </c>
      <c r="P134" s="3">
        <v>45817</v>
      </c>
      <c r="Q134" s="62">
        <v>45811.0623611111</v>
      </c>
      <c r="R134" s="72">
        <v>45811.069305555546</v>
      </c>
      <c r="S134" s="25">
        <v>6.8750000000000006E-2</v>
      </c>
      <c r="T134" s="63">
        <v>5.9994444444528199</v>
      </c>
      <c r="U134" s="47">
        <f>IFERROR(INDEX(NOVO!O:O,MATCH(PRINT!E402,NOVO!C:C,0)),"")</f>
        <v>139615</v>
      </c>
      <c r="AA134" s="49">
        <v>154763</v>
      </c>
    </row>
    <row r="135" spans="1:27" s="23" customFormat="1" x14ac:dyDescent="0.35">
      <c r="A135" s="54">
        <v>0</v>
      </c>
      <c r="C135" s="23">
        <v>1018928</v>
      </c>
      <c r="D135" s="23">
        <v>1</v>
      </c>
      <c r="E135" s="23">
        <v>1018922</v>
      </c>
      <c r="F135" s="23" t="s">
        <v>583</v>
      </c>
      <c r="G135" s="5">
        <v>10</v>
      </c>
      <c r="H135" s="23">
        <v>1</v>
      </c>
      <c r="I135" s="23">
        <v>0</v>
      </c>
      <c r="J135" s="23">
        <v>0</v>
      </c>
      <c r="K135" s="23" t="s">
        <v>24</v>
      </c>
      <c r="L135" s="23" t="s">
        <v>597</v>
      </c>
      <c r="M135" s="23" t="s">
        <v>1931</v>
      </c>
      <c r="N135" s="24">
        <v>45824</v>
      </c>
      <c r="O135" s="28">
        <v>6.9444444444444441E-3</v>
      </c>
      <c r="P135" s="3">
        <v>45817</v>
      </c>
      <c r="Q135" s="62">
        <v>45811.055416666655</v>
      </c>
      <c r="R135" s="72">
        <v>45811.0623611111</v>
      </c>
      <c r="S135" s="25">
        <v>6.1805555555555558E-2</v>
      </c>
      <c r="T135" s="63">
        <v>5.9994444444528199</v>
      </c>
      <c r="U135" s="47">
        <f>IFERROR(INDEX(NOVO!O:O,MATCH(PRINT!E401,NOVO!C:C,0)),"")</f>
        <v>139619</v>
      </c>
      <c r="AA135" s="49">
        <v>154885</v>
      </c>
    </row>
    <row r="136" spans="1:27" s="23" customFormat="1" x14ac:dyDescent="0.35">
      <c r="A136" s="54">
        <v>0</v>
      </c>
      <c r="C136" s="23">
        <v>1018899</v>
      </c>
      <c r="D136" s="23">
        <v>1</v>
      </c>
      <c r="E136" s="23">
        <v>1018893</v>
      </c>
      <c r="F136" s="23" t="s">
        <v>583</v>
      </c>
      <c r="G136" s="5">
        <v>10</v>
      </c>
      <c r="H136" s="23">
        <v>1</v>
      </c>
      <c r="I136" s="23">
        <v>0</v>
      </c>
      <c r="J136" s="23">
        <v>0</v>
      </c>
      <c r="K136" s="23" t="s">
        <v>24</v>
      </c>
      <c r="L136" s="23" t="s">
        <v>597</v>
      </c>
      <c r="M136" s="23" t="s">
        <v>1930</v>
      </c>
      <c r="N136" s="24">
        <v>45820</v>
      </c>
      <c r="O136" s="28">
        <v>6.9444444444444441E-3</v>
      </c>
      <c r="P136" s="3">
        <v>45817</v>
      </c>
      <c r="Q136" s="62">
        <v>45811.04847222221</v>
      </c>
      <c r="R136" s="72">
        <v>45811.055416666655</v>
      </c>
      <c r="S136" s="25">
        <v>5.486111111111111E-2</v>
      </c>
      <c r="T136" s="63">
        <v>5.9994444444528199</v>
      </c>
      <c r="U136" s="47">
        <f>IFERROR(INDEX(NOVO!O:O,MATCH(PRINT!E400,NOVO!C:C,0)),"")</f>
        <v>139624</v>
      </c>
      <c r="AA136" s="49">
        <v>155372</v>
      </c>
    </row>
    <row r="137" spans="1:27" s="23" customFormat="1" x14ac:dyDescent="0.35">
      <c r="A137" s="54">
        <v>0</v>
      </c>
      <c r="C137" s="23">
        <v>1018899</v>
      </c>
      <c r="D137" s="23">
        <v>1</v>
      </c>
      <c r="E137" s="23">
        <v>1018892</v>
      </c>
      <c r="F137" s="23" t="s">
        <v>1929</v>
      </c>
      <c r="G137" s="5">
        <v>10</v>
      </c>
      <c r="H137" s="23">
        <v>1</v>
      </c>
      <c r="I137" s="23">
        <v>0</v>
      </c>
      <c r="J137" s="23">
        <v>0</v>
      </c>
      <c r="K137" s="23" t="s">
        <v>24</v>
      </c>
      <c r="L137" s="23" t="s">
        <v>597</v>
      </c>
      <c r="M137" s="23" t="s">
        <v>1930</v>
      </c>
      <c r="N137" s="24">
        <v>45820</v>
      </c>
      <c r="O137" s="28">
        <v>6.9444444444444441E-3</v>
      </c>
      <c r="P137" s="3">
        <v>45817</v>
      </c>
      <c r="Q137" s="62">
        <v>45811.041527777765</v>
      </c>
      <c r="R137" s="72">
        <v>45811.04847222221</v>
      </c>
      <c r="S137" s="25">
        <v>4.791666666666667E-2</v>
      </c>
      <c r="T137" s="63">
        <v>5.9994444444600958</v>
      </c>
      <c r="U137" s="47">
        <f>IFERROR(INDEX(NOVO!O:O,MATCH(PRINT!E399,NOVO!C:C,0)),"")</f>
        <v>139615</v>
      </c>
      <c r="AA137" s="49">
        <v>155381</v>
      </c>
    </row>
    <row r="138" spans="1:27" s="23" customFormat="1" x14ac:dyDescent="0.35">
      <c r="A138" s="54">
        <v>0</v>
      </c>
      <c r="C138" s="23">
        <v>1018870</v>
      </c>
      <c r="D138" s="23">
        <v>1</v>
      </c>
      <c r="E138" s="23">
        <v>1018863</v>
      </c>
      <c r="F138" s="23" t="s">
        <v>1929</v>
      </c>
      <c r="G138" s="5">
        <v>10</v>
      </c>
      <c r="H138" s="23">
        <v>1</v>
      </c>
      <c r="I138" s="23">
        <v>0</v>
      </c>
      <c r="J138" s="23">
        <v>0</v>
      </c>
      <c r="K138" s="23" t="s">
        <v>24</v>
      </c>
      <c r="L138" s="23" t="s">
        <v>597</v>
      </c>
      <c r="M138" s="23" t="s">
        <v>1928</v>
      </c>
      <c r="N138" s="24">
        <v>45820</v>
      </c>
      <c r="O138" s="28">
        <v>6.9444444444444441E-3</v>
      </c>
      <c r="P138" s="3">
        <v>45817</v>
      </c>
      <c r="Q138" s="62">
        <v>45811.034583333319</v>
      </c>
      <c r="R138" s="72">
        <v>45811.041527777765</v>
      </c>
      <c r="S138" s="25">
        <v>4.0972222222222222E-2</v>
      </c>
      <c r="T138" s="63">
        <v>5.9994444444600958</v>
      </c>
      <c r="U138" s="47">
        <f>IFERROR(INDEX(NOVO!O:O,MATCH(PRINT!E398,NOVO!C:C,0)),"")</f>
        <v>139618</v>
      </c>
      <c r="AA138" s="49">
        <v>155384</v>
      </c>
    </row>
    <row r="139" spans="1:27" s="23" customFormat="1" x14ac:dyDescent="0.35">
      <c r="A139" s="54">
        <v>0</v>
      </c>
      <c r="C139" s="23">
        <v>1018870</v>
      </c>
      <c r="D139" s="23">
        <v>1</v>
      </c>
      <c r="E139" s="23">
        <v>1018864</v>
      </c>
      <c r="F139" s="23" t="s">
        <v>583</v>
      </c>
      <c r="G139" s="5">
        <v>10</v>
      </c>
      <c r="H139" s="23">
        <v>1</v>
      </c>
      <c r="I139" s="23">
        <v>0</v>
      </c>
      <c r="J139" s="23">
        <v>0</v>
      </c>
      <c r="K139" s="23" t="s">
        <v>24</v>
      </c>
      <c r="L139" s="23" t="s">
        <v>597</v>
      </c>
      <c r="M139" s="23" t="s">
        <v>1928</v>
      </c>
      <c r="N139" s="24">
        <v>45820</v>
      </c>
      <c r="O139" s="28">
        <v>6.9444444444444441E-3</v>
      </c>
      <c r="P139" s="3">
        <v>45817</v>
      </c>
      <c r="Q139" s="62">
        <v>45811.027638888874</v>
      </c>
      <c r="R139" s="72">
        <v>45811.034583333319</v>
      </c>
      <c r="S139" s="25">
        <v>3.4027777777777775E-2</v>
      </c>
      <c r="T139" s="63">
        <v>5.9994444444600958</v>
      </c>
      <c r="U139" s="47">
        <f>IFERROR(INDEX(NOVO!O:O,MATCH(PRINT!E397,NOVO!C:C,0)),"")</f>
        <v>139615</v>
      </c>
      <c r="AA139" s="49">
        <v>155678</v>
      </c>
    </row>
    <row r="140" spans="1:27" s="23" customFormat="1" x14ac:dyDescent="0.35">
      <c r="A140" s="54">
        <v>0</v>
      </c>
      <c r="C140" s="23">
        <v>1017950</v>
      </c>
      <c r="D140" s="23">
        <v>1</v>
      </c>
      <c r="E140" s="23">
        <v>1018046</v>
      </c>
      <c r="F140" s="23" t="s">
        <v>453</v>
      </c>
      <c r="G140" s="5">
        <v>30</v>
      </c>
      <c r="H140" s="23">
        <v>1</v>
      </c>
      <c r="I140" s="23">
        <v>0</v>
      </c>
      <c r="J140" s="23">
        <v>0</v>
      </c>
      <c r="K140" s="23" t="s">
        <v>24</v>
      </c>
      <c r="L140" s="23" t="s">
        <v>597</v>
      </c>
      <c r="M140" s="23" t="s">
        <v>1927</v>
      </c>
      <c r="N140" s="24">
        <v>45835</v>
      </c>
      <c r="O140" s="28">
        <v>2.0833333333333332E-2</v>
      </c>
      <c r="P140" s="3">
        <v>45817</v>
      </c>
      <c r="Q140" s="62">
        <v>45811.006805555538</v>
      </c>
      <c r="R140" s="72">
        <v>45811.027638888874</v>
      </c>
      <c r="S140" s="25">
        <v>2.7083333333333334E-2</v>
      </c>
      <c r="T140" s="63">
        <v>5.9994444444600958</v>
      </c>
      <c r="U140" s="47">
        <f>IFERROR(INDEX(NOVO!O:O,MATCH(PRINT!E396,NOVO!C:C,0)),"")</f>
        <v>139618</v>
      </c>
      <c r="AA140" s="49">
        <v>155680</v>
      </c>
    </row>
    <row r="141" spans="1:27" s="23" customFormat="1" x14ac:dyDescent="0.35">
      <c r="A141" s="54">
        <v>0</v>
      </c>
      <c r="C141" s="23">
        <v>1017950</v>
      </c>
      <c r="D141" s="23">
        <v>1</v>
      </c>
      <c r="E141" s="23">
        <v>1018040</v>
      </c>
      <c r="F141" s="23" t="s">
        <v>1888</v>
      </c>
      <c r="G141" s="5">
        <v>25</v>
      </c>
      <c r="H141" s="23">
        <v>1</v>
      </c>
      <c r="I141" s="23">
        <v>0</v>
      </c>
      <c r="J141" s="23">
        <v>0</v>
      </c>
      <c r="K141" s="23" t="s">
        <v>24</v>
      </c>
      <c r="L141" s="23" t="s">
        <v>597</v>
      </c>
      <c r="M141" s="23" t="s">
        <v>1927</v>
      </c>
      <c r="N141" s="24">
        <v>45835</v>
      </c>
      <c r="O141" s="28">
        <v>1.7361111111111112E-2</v>
      </c>
      <c r="P141" s="3">
        <v>45817</v>
      </c>
      <c r="Q141" s="62">
        <v>45810.989444444429</v>
      </c>
      <c r="R141" s="72">
        <v>45811.006805555538</v>
      </c>
      <c r="S141" s="25">
        <v>6.2500000000000003E-3</v>
      </c>
      <c r="T141" s="63">
        <v>5.9994444444600958</v>
      </c>
      <c r="U141" s="47">
        <f>IFERROR(INDEX(NOVO!O:O,MATCH(PRINT!E395,NOVO!C:C,0)),"")</f>
        <v>139619</v>
      </c>
      <c r="AA141" s="49">
        <v>155681</v>
      </c>
    </row>
    <row r="142" spans="1:27" s="23" customFormat="1" x14ac:dyDescent="0.35">
      <c r="A142" s="54">
        <v>0</v>
      </c>
      <c r="C142" s="23">
        <v>1017950</v>
      </c>
      <c r="D142" s="23">
        <v>1</v>
      </c>
      <c r="E142" s="23">
        <v>1017971</v>
      </c>
      <c r="F142" s="23" t="s">
        <v>451</v>
      </c>
      <c r="G142" s="5">
        <v>15</v>
      </c>
      <c r="H142" s="23">
        <v>1</v>
      </c>
      <c r="I142" s="23">
        <v>0</v>
      </c>
      <c r="J142" s="23">
        <v>0</v>
      </c>
      <c r="K142" s="23" t="s">
        <v>24</v>
      </c>
      <c r="L142" s="23" t="s">
        <v>597</v>
      </c>
      <c r="M142" s="23" t="s">
        <v>1927</v>
      </c>
      <c r="N142" s="24">
        <v>45835</v>
      </c>
      <c r="O142" s="28">
        <v>1.0416666666666666E-2</v>
      </c>
      <c r="P142" s="3">
        <v>45817</v>
      </c>
      <c r="Q142" s="62">
        <v>45810.979027777765</v>
      </c>
      <c r="R142" s="72">
        <v>45810.989444444429</v>
      </c>
      <c r="S142" s="25">
        <v>0.98888888888888893</v>
      </c>
      <c r="T142" s="63">
        <v>6.9994444444600958</v>
      </c>
      <c r="U142" s="47">
        <f>IFERROR(INDEX(NOVO!O:O,MATCH(PRINT!E394,NOVO!C:C,0)),"")</f>
        <v>139624</v>
      </c>
      <c r="AA142" s="49">
        <v>155692</v>
      </c>
    </row>
    <row r="143" spans="1:27" s="23" customFormat="1" x14ac:dyDescent="0.35">
      <c r="A143" s="54">
        <v>0</v>
      </c>
      <c r="C143" s="23">
        <v>1017815</v>
      </c>
      <c r="D143" s="23">
        <v>1</v>
      </c>
      <c r="E143" s="23">
        <v>1017908</v>
      </c>
      <c r="F143" s="23" t="s">
        <v>452</v>
      </c>
      <c r="G143" s="5">
        <v>10</v>
      </c>
      <c r="H143" s="23">
        <v>1</v>
      </c>
      <c r="I143" s="23">
        <v>0</v>
      </c>
      <c r="J143" s="23">
        <v>0</v>
      </c>
      <c r="K143" s="23" t="s">
        <v>24</v>
      </c>
      <c r="L143" s="23" t="s">
        <v>597</v>
      </c>
      <c r="M143" s="23" t="s">
        <v>1926</v>
      </c>
      <c r="N143" s="24">
        <v>45835</v>
      </c>
      <c r="O143" s="28">
        <v>6.9444444444444441E-3</v>
      </c>
      <c r="P143" s="3">
        <v>45817</v>
      </c>
      <c r="Q143" s="62">
        <v>45810.972083333319</v>
      </c>
      <c r="R143" s="72">
        <v>45810.979027777765</v>
      </c>
      <c r="S143" s="25">
        <v>0.97847222222222219</v>
      </c>
      <c r="T143" s="63">
        <v>6.9994444444600958</v>
      </c>
      <c r="U143" s="47" t="str">
        <f>IFERROR(INDEX(NOVO!O:O,MATCH(PRINT!E393,NOVO!C:C,0)),"")</f>
        <v/>
      </c>
      <c r="AA143" s="49">
        <v>156913</v>
      </c>
    </row>
    <row r="144" spans="1:27" s="23" customFormat="1" x14ac:dyDescent="0.35">
      <c r="A144" s="54">
        <v>0</v>
      </c>
      <c r="C144" s="23">
        <v>1017815</v>
      </c>
      <c r="D144" s="23">
        <v>1</v>
      </c>
      <c r="E144" s="23">
        <v>1017836</v>
      </c>
      <c r="F144" s="23" t="s">
        <v>451</v>
      </c>
      <c r="G144" s="5">
        <v>15</v>
      </c>
      <c r="H144" s="23">
        <v>1</v>
      </c>
      <c r="I144" s="23">
        <v>0</v>
      </c>
      <c r="J144" s="23">
        <v>0</v>
      </c>
      <c r="K144" s="23" t="s">
        <v>24</v>
      </c>
      <c r="L144" s="23" t="s">
        <v>597</v>
      </c>
      <c r="M144" s="23" t="s">
        <v>1926</v>
      </c>
      <c r="N144" s="24">
        <v>45835</v>
      </c>
      <c r="O144" s="28">
        <v>1.0416666666666666E-2</v>
      </c>
      <c r="P144" s="3">
        <v>45817</v>
      </c>
      <c r="Q144" s="62">
        <v>45810.961666666655</v>
      </c>
      <c r="R144" s="72">
        <v>45810.972083333319</v>
      </c>
      <c r="S144" s="25">
        <v>0.97152777777777777</v>
      </c>
      <c r="T144" s="63">
        <v>6.9994444444600958</v>
      </c>
      <c r="U144" s="47">
        <f>IFERROR(INDEX(NOVO!O:O,MATCH(PRINT!E392,NOVO!C:C,0)),"")</f>
        <v>139624</v>
      </c>
      <c r="AA144" s="49">
        <v>157680</v>
      </c>
    </row>
    <row r="145" spans="1:27" s="23" customFormat="1" x14ac:dyDescent="0.35">
      <c r="A145" s="54">
        <v>0</v>
      </c>
      <c r="C145" s="23">
        <v>1017815</v>
      </c>
      <c r="D145" s="23">
        <v>1</v>
      </c>
      <c r="E145" s="23">
        <v>1017905</v>
      </c>
      <c r="F145" s="23" t="s">
        <v>1888</v>
      </c>
      <c r="G145" s="5">
        <v>25</v>
      </c>
      <c r="H145" s="23">
        <v>1</v>
      </c>
      <c r="I145" s="23">
        <v>0</v>
      </c>
      <c r="J145" s="23">
        <v>0</v>
      </c>
      <c r="K145" s="23" t="s">
        <v>24</v>
      </c>
      <c r="L145" s="23" t="s">
        <v>597</v>
      </c>
      <c r="M145" s="23" t="s">
        <v>1926</v>
      </c>
      <c r="N145" s="24">
        <v>45835</v>
      </c>
      <c r="O145" s="28">
        <v>1.7361111111111112E-2</v>
      </c>
      <c r="P145" s="3">
        <v>45817</v>
      </c>
      <c r="Q145" s="62">
        <v>45810.944305555546</v>
      </c>
      <c r="R145" s="72">
        <v>45810.961666666655</v>
      </c>
      <c r="S145" s="25">
        <v>0.96111111111111114</v>
      </c>
      <c r="T145" s="63">
        <v>6.9994444444528199</v>
      </c>
      <c r="U145" s="47">
        <f>IFERROR(INDEX(NOVO!O:O,MATCH(PRINT!E391,NOVO!C:C,0)),"")</f>
        <v>175904</v>
      </c>
      <c r="AA145" s="49">
        <v>159010</v>
      </c>
    </row>
    <row r="146" spans="1:27" s="23" customFormat="1" x14ac:dyDescent="0.35">
      <c r="A146" s="54">
        <v>0</v>
      </c>
      <c r="C146" s="23">
        <v>1017815</v>
      </c>
      <c r="D146" s="23">
        <v>1</v>
      </c>
      <c r="E146" s="23">
        <v>1017911</v>
      </c>
      <c r="F146" s="23" t="s">
        <v>453</v>
      </c>
      <c r="G146" s="5">
        <v>30</v>
      </c>
      <c r="H146" s="23">
        <v>1</v>
      </c>
      <c r="I146" s="23">
        <v>0</v>
      </c>
      <c r="J146" s="23">
        <v>0</v>
      </c>
      <c r="K146" s="23" t="s">
        <v>24</v>
      </c>
      <c r="L146" s="23" t="s">
        <v>597</v>
      </c>
      <c r="M146" s="23" t="s">
        <v>1926</v>
      </c>
      <c r="N146" s="24">
        <v>45835</v>
      </c>
      <c r="O146" s="28">
        <v>2.0833333333333332E-2</v>
      </c>
      <c r="P146" s="3">
        <v>45817</v>
      </c>
      <c r="Q146" s="62">
        <v>45810.92347222221</v>
      </c>
      <c r="R146" s="72">
        <v>45810.944305555546</v>
      </c>
      <c r="S146" s="25">
        <v>0.94374999999999998</v>
      </c>
      <c r="T146" s="63">
        <v>6.9994444444528199</v>
      </c>
      <c r="U146" s="47">
        <f>IFERROR(INDEX(NOVO!O:O,MATCH(PRINT!E390,NOVO!C:C,0)),"")</f>
        <v>175819</v>
      </c>
      <c r="AA146" s="49">
        <v>159011</v>
      </c>
    </row>
    <row r="147" spans="1:27" s="23" customFormat="1" x14ac:dyDescent="0.35">
      <c r="A147" s="54">
        <v>0</v>
      </c>
      <c r="C147" s="23">
        <v>1013895</v>
      </c>
      <c r="D147" s="23">
        <v>1</v>
      </c>
      <c r="E147" s="23">
        <v>1013926</v>
      </c>
      <c r="F147" s="23" t="s">
        <v>1799</v>
      </c>
      <c r="G147" s="5">
        <v>15</v>
      </c>
      <c r="H147" s="23">
        <v>1</v>
      </c>
      <c r="I147" s="23">
        <v>0</v>
      </c>
      <c r="J147" s="23">
        <v>0</v>
      </c>
      <c r="K147" s="23" t="s">
        <v>24</v>
      </c>
      <c r="L147" s="23" t="s">
        <v>597</v>
      </c>
      <c r="M147" s="23" t="s">
        <v>1925</v>
      </c>
      <c r="N147" s="24">
        <v>45831</v>
      </c>
      <c r="O147" s="28">
        <v>1.0416666666666666E-2</v>
      </c>
      <c r="P147" s="3">
        <v>45817</v>
      </c>
      <c r="Q147" s="62">
        <v>45810.913055555546</v>
      </c>
      <c r="R147" s="72">
        <v>45810.92347222221</v>
      </c>
      <c r="S147" s="25">
        <v>0.92291666666666672</v>
      </c>
      <c r="T147" s="63">
        <v>6.9994444444600958</v>
      </c>
      <c r="U147" s="47">
        <f>IFERROR(INDEX(NOVO!O:O,MATCH(PRINT!E389,NOVO!C:C,0)),"")</f>
        <v>175819</v>
      </c>
      <c r="AA147" s="49">
        <v>160066</v>
      </c>
    </row>
    <row r="148" spans="1:27" s="23" customFormat="1" x14ac:dyDescent="0.35">
      <c r="A148" s="54">
        <v>0</v>
      </c>
      <c r="C148" s="23">
        <v>1013895</v>
      </c>
      <c r="D148" s="23">
        <v>1</v>
      </c>
      <c r="E148" s="23">
        <v>1022170</v>
      </c>
      <c r="F148" s="23" t="s">
        <v>1706</v>
      </c>
      <c r="G148" s="5">
        <v>25</v>
      </c>
      <c r="H148" s="23">
        <v>1</v>
      </c>
      <c r="I148" s="23">
        <v>0</v>
      </c>
      <c r="J148" s="23">
        <v>0</v>
      </c>
      <c r="K148" s="23" t="s">
        <v>24</v>
      </c>
      <c r="L148" s="23" t="s">
        <v>597</v>
      </c>
      <c r="M148" s="23" t="s">
        <v>1925</v>
      </c>
      <c r="N148" s="24">
        <v>45831</v>
      </c>
      <c r="O148" s="28">
        <v>1.7361111111111112E-2</v>
      </c>
      <c r="P148" s="3">
        <v>45817</v>
      </c>
      <c r="Q148" s="62">
        <v>45810.895694444436</v>
      </c>
      <c r="R148" s="72">
        <v>45810.913055555546</v>
      </c>
      <c r="S148" s="25">
        <v>0.91249999999999998</v>
      </c>
      <c r="T148" s="63">
        <v>6.9994444444528199</v>
      </c>
      <c r="U148" s="47">
        <f>IFERROR(INDEX(NOVO!O:O,MATCH(PRINT!E388,NOVO!C:C,0)),"")</f>
        <v>175904</v>
      </c>
      <c r="AA148" s="49">
        <v>160120</v>
      </c>
    </row>
    <row r="149" spans="1:27" s="23" customFormat="1" x14ac:dyDescent="0.35">
      <c r="A149" s="54">
        <v>0</v>
      </c>
      <c r="C149" s="23">
        <v>1013747</v>
      </c>
      <c r="D149" s="23">
        <v>1</v>
      </c>
      <c r="E149" s="23">
        <v>1022169</v>
      </c>
      <c r="F149" s="23" t="s">
        <v>1706</v>
      </c>
      <c r="G149" s="5">
        <v>25</v>
      </c>
      <c r="H149" s="23">
        <v>1</v>
      </c>
      <c r="I149" s="23">
        <v>0</v>
      </c>
      <c r="J149" s="23">
        <v>0</v>
      </c>
      <c r="K149" s="23" t="s">
        <v>24</v>
      </c>
      <c r="L149" s="23" t="s">
        <v>597</v>
      </c>
      <c r="M149" s="23" t="s">
        <v>1924</v>
      </c>
      <c r="N149" s="24">
        <v>45828</v>
      </c>
      <c r="O149" s="28">
        <v>1.7361111111111112E-2</v>
      </c>
      <c r="P149" s="3">
        <v>45817</v>
      </c>
      <c r="Q149" s="62">
        <v>45810.878333333327</v>
      </c>
      <c r="R149" s="72">
        <v>45810.895694444436</v>
      </c>
      <c r="S149" s="25">
        <v>0.89513888888888893</v>
      </c>
      <c r="T149" s="63">
        <v>6.9994444444528199</v>
      </c>
      <c r="U149" s="47">
        <f>IFERROR(INDEX(NOVO!O:O,MATCH(PRINT!E387,NOVO!C:C,0)),"")</f>
        <v>179986</v>
      </c>
      <c r="AA149" s="49">
        <v>160127</v>
      </c>
    </row>
    <row r="150" spans="1:27" s="23" customFormat="1" x14ac:dyDescent="0.35">
      <c r="A150" s="54">
        <v>0</v>
      </c>
      <c r="C150" s="23">
        <v>1013747</v>
      </c>
      <c r="D150" s="23">
        <v>1</v>
      </c>
      <c r="E150" s="23">
        <v>1013778</v>
      </c>
      <c r="F150" s="23" t="s">
        <v>1799</v>
      </c>
      <c r="G150" s="5">
        <v>15</v>
      </c>
      <c r="H150" s="23">
        <v>1</v>
      </c>
      <c r="I150" s="23">
        <v>0</v>
      </c>
      <c r="J150" s="23">
        <v>0</v>
      </c>
      <c r="K150" s="23" t="s">
        <v>24</v>
      </c>
      <c r="L150" s="23" t="s">
        <v>597</v>
      </c>
      <c r="M150" s="23" t="s">
        <v>1924</v>
      </c>
      <c r="N150" s="24">
        <v>45828</v>
      </c>
      <c r="O150" s="28">
        <v>1.0416666666666666E-2</v>
      </c>
      <c r="P150" s="3">
        <v>45817</v>
      </c>
      <c r="Q150" s="62">
        <v>45810.867916666662</v>
      </c>
      <c r="R150" s="72">
        <v>45810.878333333327</v>
      </c>
      <c r="S150" s="25">
        <v>0.87777777777777777</v>
      </c>
      <c r="T150" s="63">
        <v>6.9994444444528199</v>
      </c>
      <c r="U150" s="47">
        <f>IFERROR(INDEX(NOVO!O:O,MATCH(PRINT!E386,NOVO!C:C,0)),"")</f>
        <v>179960</v>
      </c>
      <c r="AA150" s="49">
        <v>160540</v>
      </c>
    </row>
    <row r="151" spans="1:27" s="23" customFormat="1" x14ac:dyDescent="0.35">
      <c r="A151" s="54">
        <v>0</v>
      </c>
      <c r="C151" s="23">
        <v>1004629</v>
      </c>
      <c r="D151" s="23">
        <v>1</v>
      </c>
      <c r="E151" s="23">
        <v>1004647</v>
      </c>
      <c r="F151" s="23" t="s">
        <v>1753</v>
      </c>
      <c r="G151" s="5">
        <v>15</v>
      </c>
      <c r="H151" s="23">
        <v>6</v>
      </c>
      <c r="I151" s="23">
        <v>0</v>
      </c>
      <c r="J151" s="23">
        <v>0</v>
      </c>
      <c r="K151" s="23" t="s">
        <v>24</v>
      </c>
      <c r="L151" s="23" t="s">
        <v>597</v>
      </c>
      <c r="M151" s="23" t="s">
        <v>1923</v>
      </c>
      <c r="N151" s="24">
        <v>45825</v>
      </c>
      <c r="O151" s="28">
        <v>1.0416666666666666E-2</v>
      </c>
      <c r="P151" s="3">
        <v>45817</v>
      </c>
      <c r="Q151" s="62">
        <v>45810.857499999998</v>
      </c>
      <c r="R151" s="72">
        <v>45810.867916666662</v>
      </c>
      <c r="S151" s="25">
        <v>0.86736111111111114</v>
      </c>
      <c r="T151" s="63">
        <v>6.9994444444455439</v>
      </c>
      <c r="U151" s="47">
        <f>IFERROR(INDEX(NOVO!O:O,MATCH(PRINT!E385,NOVO!C:C,0)),"")</f>
        <v>179940</v>
      </c>
      <c r="AA151" s="49">
        <v>160891</v>
      </c>
    </row>
    <row r="152" spans="1:27" s="23" customFormat="1" x14ac:dyDescent="0.35">
      <c r="A152" s="54">
        <v>0</v>
      </c>
      <c r="C152" s="23">
        <v>1004629</v>
      </c>
      <c r="D152" s="23">
        <v>1</v>
      </c>
      <c r="E152" s="23">
        <v>1004651</v>
      </c>
      <c r="F152" s="23" t="s">
        <v>1752</v>
      </c>
      <c r="G152" s="5">
        <v>15</v>
      </c>
      <c r="H152" s="23">
        <v>6</v>
      </c>
      <c r="I152" s="23">
        <v>0</v>
      </c>
      <c r="J152" s="23">
        <v>0</v>
      </c>
      <c r="K152" s="23" t="s">
        <v>24</v>
      </c>
      <c r="L152" s="23" t="s">
        <v>597</v>
      </c>
      <c r="M152" s="23" t="s">
        <v>1923</v>
      </c>
      <c r="N152" s="24">
        <v>45825</v>
      </c>
      <c r="O152" s="28">
        <v>1.0416666666666666E-2</v>
      </c>
      <c r="P152" s="3">
        <v>45817</v>
      </c>
      <c r="Q152" s="62">
        <v>45810.847083333334</v>
      </c>
      <c r="R152" s="72">
        <v>45810.857499999998</v>
      </c>
      <c r="S152" s="25">
        <v>0.8569444444444444</v>
      </c>
      <c r="T152" s="63">
        <v>6.9994444444455439</v>
      </c>
      <c r="U152" s="47">
        <f>IFERROR(INDEX(NOVO!O:O,MATCH(PRINT!E384,NOVO!C:C,0)),"")</f>
        <v>182553</v>
      </c>
      <c r="AA152" s="49">
        <v>161908</v>
      </c>
    </row>
    <row r="153" spans="1:27" s="23" customFormat="1" x14ac:dyDescent="0.35">
      <c r="A153" s="54">
        <v>0</v>
      </c>
      <c r="C153" s="23">
        <v>1004629</v>
      </c>
      <c r="D153" s="23">
        <v>1</v>
      </c>
      <c r="E153" s="23">
        <v>1004664</v>
      </c>
      <c r="F153" s="23" t="s">
        <v>1751</v>
      </c>
      <c r="G153" s="5">
        <v>20</v>
      </c>
      <c r="H153" s="23">
        <v>6</v>
      </c>
      <c r="I153" s="23">
        <v>0</v>
      </c>
      <c r="J153" s="23">
        <v>0</v>
      </c>
      <c r="K153" s="23" t="s">
        <v>24</v>
      </c>
      <c r="L153" s="23" t="s">
        <v>597</v>
      </c>
      <c r="M153" s="23" t="s">
        <v>1923</v>
      </c>
      <c r="N153" s="24">
        <v>45825</v>
      </c>
      <c r="O153" s="28">
        <v>1.3888888888888888E-2</v>
      </c>
      <c r="P153" s="3">
        <v>45817</v>
      </c>
      <c r="Q153" s="62">
        <v>45810.833194444444</v>
      </c>
      <c r="R153" s="72">
        <v>45810.847083333334</v>
      </c>
      <c r="S153" s="25">
        <v>0.84652777777777777</v>
      </c>
      <c r="T153" s="63">
        <v>6.9994444444455439</v>
      </c>
      <c r="U153" s="47">
        <f>IFERROR(INDEX(NOVO!O:O,MATCH(PRINT!E383,NOVO!C:C,0)),"")</f>
        <v>182553</v>
      </c>
      <c r="AA153" s="49">
        <v>163351</v>
      </c>
    </row>
    <row r="154" spans="1:27" s="23" customFormat="1" x14ac:dyDescent="0.35">
      <c r="A154" s="54">
        <v>0</v>
      </c>
      <c r="C154" s="23">
        <v>1004628</v>
      </c>
      <c r="D154" s="23">
        <v>1</v>
      </c>
      <c r="E154" s="23">
        <v>1004664</v>
      </c>
      <c r="F154" s="23" t="s">
        <v>1751</v>
      </c>
      <c r="G154" s="5">
        <v>20</v>
      </c>
      <c r="H154" s="23">
        <v>6</v>
      </c>
      <c r="I154" s="23">
        <v>0</v>
      </c>
      <c r="J154" s="23">
        <v>0</v>
      </c>
      <c r="K154" s="23" t="s">
        <v>24</v>
      </c>
      <c r="L154" s="23" t="s">
        <v>597</v>
      </c>
      <c r="M154" s="23" t="s">
        <v>1923</v>
      </c>
      <c r="N154" s="24">
        <v>45825</v>
      </c>
      <c r="O154" s="28">
        <v>1.3888888888888888E-2</v>
      </c>
      <c r="P154" s="3">
        <v>45817</v>
      </c>
      <c r="Q154" s="62">
        <v>45810.819305555553</v>
      </c>
      <c r="R154" s="72">
        <v>45810.833194444444</v>
      </c>
      <c r="S154" s="25">
        <v>0.83263888888888893</v>
      </c>
      <c r="T154" s="63">
        <v>6.9994444444455439</v>
      </c>
      <c r="U154" s="47">
        <f>IFERROR(INDEX(NOVO!O:O,MATCH(PRINT!E382,NOVO!C:C,0)),"")</f>
        <v>182553</v>
      </c>
      <c r="AA154" s="49">
        <v>163410</v>
      </c>
    </row>
    <row r="155" spans="1:27" s="23" customFormat="1" x14ac:dyDescent="0.35">
      <c r="A155" s="54">
        <v>0</v>
      </c>
      <c r="C155" s="23">
        <v>1004628</v>
      </c>
      <c r="D155" s="23">
        <v>1</v>
      </c>
      <c r="E155" s="23">
        <v>1004651</v>
      </c>
      <c r="F155" s="23" t="s">
        <v>1752</v>
      </c>
      <c r="G155" s="5">
        <v>15</v>
      </c>
      <c r="H155" s="23">
        <v>6</v>
      </c>
      <c r="I155" s="23">
        <v>0</v>
      </c>
      <c r="J155" s="23">
        <v>0</v>
      </c>
      <c r="K155" s="23" t="s">
        <v>24</v>
      </c>
      <c r="L155" s="23" t="s">
        <v>597</v>
      </c>
      <c r="M155" s="23" t="s">
        <v>1923</v>
      </c>
      <c r="N155" s="24">
        <v>45825</v>
      </c>
      <c r="O155" s="28">
        <v>1.0416666666666666E-2</v>
      </c>
      <c r="P155" s="3">
        <v>45817</v>
      </c>
      <c r="Q155" s="62">
        <v>45810.808888888889</v>
      </c>
      <c r="R155" s="72">
        <v>45810.819305555553</v>
      </c>
      <c r="S155" s="25">
        <v>0.81874999999999998</v>
      </c>
      <c r="T155" s="63">
        <v>6.9994444444455439</v>
      </c>
      <c r="U155" s="47">
        <f>IFERROR(INDEX(NOVO!O:O,MATCH(PRINT!E381,NOVO!C:C,0)),"")</f>
        <v>182553</v>
      </c>
      <c r="AA155" s="49">
        <v>163521</v>
      </c>
    </row>
    <row r="156" spans="1:27" s="23" customFormat="1" x14ac:dyDescent="0.35">
      <c r="A156" s="54">
        <v>0</v>
      </c>
      <c r="C156" s="23">
        <v>1004628</v>
      </c>
      <c r="D156" s="23">
        <v>1</v>
      </c>
      <c r="E156" s="23">
        <v>1004647</v>
      </c>
      <c r="F156" s="23" t="s">
        <v>1753</v>
      </c>
      <c r="G156" s="5">
        <v>15</v>
      </c>
      <c r="H156" s="23">
        <v>6</v>
      </c>
      <c r="I156" s="23">
        <v>0</v>
      </c>
      <c r="J156" s="23">
        <v>0</v>
      </c>
      <c r="K156" s="23" t="s">
        <v>24</v>
      </c>
      <c r="L156" s="23" t="s">
        <v>597</v>
      </c>
      <c r="M156" s="23" t="s">
        <v>1923</v>
      </c>
      <c r="N156" s="24">
        <v>45825</v>
      </c>
      <c r="O156" s="28">
        <v>1.0416666666666666E-2</v>
      </c>
      <c r="P156" s="3">
        <v>45817</v>
      </c>
      <c r="Q156" s="62">
        <v>45810.798472222225</v>
      </c>
      <c r="R156" s="72">
        <v>45810.808888888889</v>
      </c>
      <c r="S156" s="25">
        <v>0.80833333333333335</v>
      </c>
      <c r="T156" s="63">
        <v>6.9994444444455439</v>
      </c>
      <c r="U156" s="47">
        <f>IFERROR(INDEX(NOVO!O:O,MATCH(PRINT!E380,NOVO!C:C,0)),"")</f>
        <v>180182</v>
      </c>
      <c r="AA156" s="49">
        <v>164036</v>
      </c>
    </row>
    <row r="157" spans="1:27" s="23" customFormat="1" x14ac:dyDescent="0.35">
      <c r="A157" s="54">
        <v>0</v>
      </c>
      <c r="C157" s="23">
        <v>1004627</v>
      </c>
      <c r="D157" s="23">
        <v>1</v>
      </c>
      <c r="E157" s="23">
        <v>1004664</v>
      </c>
      <c r="F157" s="23" t="s">
        <v>1751</v>
      </c>
      <c r="G157" s="5">
        <v>20</v>
      </c>
      <c r="H157" s="23">
        <v>6</v>
      </c>
      <c r="I157" s="23">
        <v>0</v>
      </c>
      <c r="J157" s="23">
        <v>0</v>
      </c>
      <c r="K157" s="23" t="s">
        <v>24</v>
      </c>
      <c r="L157" s="23" t="s">
        <v>597</v>
      </c>
      <c r="M157" s="23" t="s">
        <v>1923</v>
      </c>
      <c r="N157" s="24">
        <v>45825</v>
      </c>
      <c r="O157" s="28">
        <v>1.3888888888888888E-2</v>
      </c>
      <c r="P157" s="3">
        <v>45817</v>
      </c>
      <c r="Q157" s="62">
        <v>45810.784583333334</v>
      </c>
      <c r="R157" s="72">
        <v>45810.798472222225</v>
      </c>
      <c r="S157" s="25">
        <v>0.79791666666666672</v>
      </c>
      <c r="T157" s="63">
        <v>6.9994444444455439</v>
      </c>
      <c r="U157" s="47">
        <f>IFERROR(INDEX(NOVO!O:O,MATCH(PRINT!E379,NOVO!C:C,0)),"")</f>
        <v>180200</v>
      </c>
      <c r="AA157" s="49">
        <v>164039</v>
      </c>
    </row>
    <row r="158" spans="1:27" s="23" customFormat="1" x14ac:dyDescent="0.35">
      <c r="A158" s="54">
        <v>0</v>
      </c>
      <c r="C158" s="23">
        <v>1004627</v>
      </c>
      <c r="D158" s="23">
        <v>1</v>
      </c>
      <c r="E158" s="23">
        <v>1004647</v>
      </c>
      <c r="F158" s="23" t="s">
        <v>1753</v>
      </c>
      <c r="G158" s="5">
        <v>15</v>
      </c>
      <c r="H158" s="23">
        <v>6</v>
      </c>
      <c r="I158" s="23">
        <v>0</v>
      </c>
      <c r="J158" s="23">
        <v>0</v>
      </c>
      <c r="K158" s="23" t="s">
        <v>24</v>
      </c>
      <c r="L158" s="23" t="s">
        <v>597</v>
      </c>
      <c r="M158" s="23" t="s">
        <v>1923</v>
      </c>
      <c r="N158" s="24">
        <v>45825</v>
      </c>
      <c r="O158" s="28">
        <v>1.0416666666666666E-2</v>
      </c>
      <c r="P158" s="3">
        <v>45817</v>
      </c>
      <c r="Q158" s="62">
        <v>45810.77416666667</v>
      </c>
      <c r="R158" s="72">
        <v>45810.784583333334</v>
      </c>
      <c r="S158" s="25">
        <v>0.78402777777777777</v>
      </c>
      <c r="T158" s="63">
        <v>6.9994444444455439</v>
      </c>
      <c r="U158" s="47">
        <f>IFERROR(INDEX(NOVO!O:O,MATCH(PRINT!E378,NOVO!C:C,0)),"")</f>
        <v>190453</v>
      </c>
      <c r="AA158" s="49">
        <v>164043</v>
      </c>
    </row>
    <row r="159" spans="1:27" s="23" customFormat="1" x14ac:dyDescent="0.35">
      <c r="A159" s="54">
        <v>0</v>
      </c>
      <c r="C159" s="23">
        <v>1004627</v>
      </c>
      <c r="D159" s="23">
        <v>1</v>
      </c>
      <c r="E159" s="23">
        <v>1004651</v>
      </c>
      <c r="F159" s="23" t="s">
        <v>1752</v>
      </c>
      <c r="G159" s="5">
        <v>4</v>
      </c>
      <c r="H159" s="23">
        <v>6</v>
      </c>
      <c r="I159" s="23">
        <v>0</v>
      </c>
      <c r="J159" s="23">
        <v>0</v>
      </c>
      <c r="K159" s="23" t="s">
        <v>24</v>
      </c>
      <c r="L159" s="23" t="s">
        <v>597</v>
      </c>
      <c r="M159" s="23" t="s">
        <v>1923</v>
      </c>
      <c r="N159" s="24">
        <v>45825</v>
      </c>
      <c r="O159" s="28">
        <v>3.3333333333333335E-3</v>
      </c>
      <c r="P159" s="3">
        <v>45817</v>
      </c>
      <c r="Q159" s="62">
        <v>45810.770833333336</v>
      </c>
      <c r="R159" s="72">
        <v>45810.77416666667</v>
      </c>
      <c r="S159" s="25">
        <v>0.77361111111111114</v>
      </c>
      <c r="T159" s="63">
        <v>6.999444444438268</v>
      </c>
      <c r="U159" s="47" t="str">
        <f>IFERROR(INDEX(NOVO!O:O,MATCH(PRINT!E377,NOVO!C:C,0)),"")</f>
        <v/>
      </c>
      <c r="AA159" s="49">
        <v>164048</v>
      </c>
    </row>
    <row r="160" spans="1:27" s="23" customFormat="1" x14ac:dyDescent="0.35">
      <c r="A160" s="54"/>
      <c r="G160" s="5"/>
      <c r="N160" s="24" t="s">
        <v>198</v>
      </c>
      <c r="O160" s="28">
        <v>2.0833333333333332E-2</v>
      </c>
      <c r="P160" s="3">
        <v>45817</v>
      </c>
      <c r="Q160" s="62">
        <v>45810.75</v>
      </c>
      <c r="R160" s="72">
        <v>45810.770833333336</v>
      </c>
      <c r="S160" s="25">
        <v>0.77083333333333337</v>
      </c>
      <c r="T160" s="63">
        <v>7</v>
      </c>
      <c r="U160" s="47">
        <f>IFERROR(INDEX(NOVO!O:O,MATCH(PRINT!E376,NOVO!C:C,0)),"")</f>
        <v>190453</v>
      </c>
      <c r="AA160" s="49">
        <v>164049</v>
      </c>
    </row>
    <row r="161" spans="1:27" s="23" customFormat="1" x14ac:dyDescent="0.35">
      <c r="A161" s="54">
        <v>0</v>
      </c>
      <c r="C161" s="23">
        <v>1004627</v>
      </c>
      <c r="D161" s="23">
        <v>1</v>
      </c>
      <c r="E161" s="23">
        <v>1004651</v>
      </c>
      <c r="F161" s="23" t="s">
        <v>1752</v>
      </c>
      <c r="G161" s="5">
        <v>10</v>
      </c>
      <c r="H161" s="23">
        <v>6</v>
      </c>
      <c r="I161" s="23">
        <v>0</v>
      </c>
      <c r="J161" s="23">
        <v>0</v>
      </c>
      <c r="K161" s="23" t="s">
        <v>24</v>
      </c>
      <c r="L161" s="23" t="s">
        <v>597</v>
      </c>
      <c r="M161" s="23" t="s">
        <v>1923</v>
      </c>
      <c r="N161" s="24">
        <v>45825</v>
      </c>
      <c r="O161" s="28">
        <v>7.0833333375048824E-3</v>
      </c>
      <c r="P161" s="3">
        <v>45817</v>
      </c>
      <c r="Q161" s="62">
        <v>45810.742916666662</v>
      </c>
      <c r="R161" s="72">
        <v>45810.75</v>
      </c>
      <c r="S161" s="25">
        <v>0.75</v>
      </c>
      <c r="T161" s="63">
        <v>7</v>
      </c>
      <c r="U161" s="47">
        <f>IFERROR(INDEX(NOVO!O:O,MATCH(PRINT!E375,NOVO!C:C,0)),"")</f>
        <v>151167</v>
      </c>
      <c r="AA161" s="49">
        <v>164096</v>
      </c>
    </row>
    <row r="162" spans="1:27" s="23" customFormat="1" x14ac:dyDescent="0.35">
      <c r="A162" s="54">
        <v>0</v>
      </c>
      <c r="C162" s="23">
        <v>1004626</v>
      </c>
      <c r="D162" s="23">
        <v>1</v>
      </c>
      <c r="E162" s="23">
        <v>1004647</v>
      </c>
      <c r="F162" s="23" t="s">
        <v>1753</v>
      </c>
      <c r="G162" s="5">
        <v>15</v>
      </c>
      <c r="H162" s="23">
        <v>6</v>
      </c>
      <c r="I162" s="23">
        <v>0</v>
      </c>
      <c r="J162" s="23">
        <v>0</v>
      </c>
      <c r="K162" s="23" t="s">
        <v>24</v>
      </c>
      <c r="L162" s="23" t="s">
        <v>597</v>
      </c>
      <c r="M162" s="23" t="s">
        <v>1923</v>
      </c>
      <c r="N162" s="24">
        <v>45825</v>
      </c>
      <c r="O162" s="28">
        <v>1.0416666666666666E-2</v>
      </c>
      <c r="P162" s="3">
        <v>45817</v>
      </c>
      <c r="Q162" s="62">
        <v>45810.732499999998</v>
      </c>
      <c r="R162" s="72">
        <v>45810.742916666662</v>
      </c>
      <c r="S162" s="25">
        <v>0.74236111111111114</v>
      </c>
      <c r="T162" s="63">
        <v>6.9994444444455439</v>
      </c>
      <c r="U162" s="47">
        <f>IFERROR(INDEX(NOVO!O:O,MATCH(PRINT!E374,NOVO!C:C,0)),"")</f>
        <v>151168</v>
      </c>
      <c r="AA162" s="49">
        <v>164099</v>
      </c>
    </row>
    <row r="163" spans="1:27" s="23" customFormat="1" x14ac:dyDescent="0.35">
      <c r="A163" s="54">
        <v>0</v>
      </c>
      <c r="C163" s="23">
        <v>1004626</v>
      </c>
      <c r="D163" s="23">
        <v>1</v>
      </c>
      <c r="E163" s="23">
        <v>1004651</v>
      </c>
      <c r="F163" s="23" t="s">
        <v>1752</v>
      </c>
      <c r="G163" s="5">
        <v>15</v>
      </c>
      <c r="H163" s="23">
        <v>6</v>
      </c>
      <c r="I163" s="23">
        <v>0</v>
      </c>
      <c r="J163" s="23">
        <v>0</v>
      </c>
      <c r="K163" s="23" t="s">
        <v>24</v>
      </c>
      <c r="L163" s="23" t="s">
        <v>597</v>
      </c>
      <c r="M163" s="23" t="s">
        <v>1923</v>
      </c>
      <c r="N163" s="24">
        <v>45825</v>
      </c>
      <c r="O163" s="28">
        <v>1.0416666666666666E-2</v>
      </c>
      <c r="P163" s="3">
        <v>45817</v>
      </c>
      <c r="Q163" s="62">
        <v>45810.722083333334</v>
      </c>
      <c r="R163" s="72">
        <v>45810.732499999998</v>
      </c>
      <c r="S163" s="25">
        <v>0.7319444444444444</v>
      </c>
      <c r="T163" s="63">
        <v>6.9994444444455439</v>
      </c>
      <c r="U163" s="47">
        <f>IFERROR(INDEX(NOVO!O:O,MATCH(PRINT!E373,NOVO!C:C,0)),"")</f>
        <v>151176</v>
      </c>
      <c r="AA163" s="49">
        <v>164360</v>
      </c>
    </row>
    <row r="164" spans="1:27" s="23" customFormat="1" x14ac:dyDescent="0.35">
      <c r="A164" s="54">
        <v>0</v>
      </c>
      <c r="C164" s="23">
        <v>1004626</v>
      </c>
      <c r="D164" s="23">
        <v>1</v>
      </c>
      <c r="E164" s="23">
        <v>1004664</v>
      </c>
      <c r="F164" s="23" t="s">
        <v>1751</v>
      </c>
      <c r="G164" s="5">
        <v>20</v>
      </c>
      <c r="H164" s="23">
        <v>6</v>
      </c>
      <c r="I164" s="23">
        <v>0</v>
      </c>
      <c r="J164" s="23">
        <v>0</v>
      </c>
      <c r="K164" s="23" t="s">
        <v>24</v>
      </c>
      <c r="L164" s="23" t="s">
        <v>597</v>
      </c>
      <c r="M164" s="23" t="s">
        <v>1923</v>
      </c>
      <c r="N164" s="24">
        <v>45825</v>
      </c>
      <c r="O164" s="28">
        <v>1.3888888888888888E-2</v>
      </c>
      <c r="P164" s="3">
        <v>45817</v>
      </c>
      <c r="Q164" s="62">
        <v>45810.708194444444</v>
      </c>
      <c r="R164" s="72">
        <v>45810.722083333334</v>
      </c>
      <c r="S164" s="25">
        <v>0.72152777777777777</v>
      </c>
      <c r="T164" s="63">
        <v>6.9994444444455439</v>
      </c>
      <c r="U164" s="47">
        <f>IFERROR(INDEX(NOVO!O:O,MATCH(PRINT!E372,NOVO!C:C,0)),"")</f>
        <v>180182</v>
      </c>
      <c r="AA164" s="49">
        <v>164667</v>
      </c>
    </row>
    <row r="165" spans="1:27" s="23" customFormat="1" x14ac:dyDescent="0.35">
      <c r="A165" s="54">
        <v>0</v>
      </c>
      <c r="C165" s="23">
        <v>1004625</v>
      </c>
      <c r="D165" s="23">
        <v>1</v>
      </c>
      <c r="E165" s="23">
        <v>1004651</v>
      </c>
      <c r="F165" s="23" t="s">
        <v>1752</v>
      </c>
      <c r="G165" s="5">
        <v>15</v>
      </c>
      <c r="H165" s="23">
        <v>6</v>
      </c>
      <c r="I165" s="23">
        <v>0</v>
      </c>
      <c r="J165" s="23">
        <v>0</v>
      </c>
      <c r="K165" s="23" t="s">
        <v>24</v>
      </c>
      <c r="L165" s="23" t="s">
        <v>597</v>
      </c>
      <c r="M165" s="23" t="s">
        <v>1923</v>
      </c>
      <c r="N165" s="24">
        <v>45825</v>
      </c>
      <c r="O165" s="28">
        <v>1.0416666666666666E-2</v>
      </c>
      <c r="P165" s="3">
        <v>45817</v>
      </c>
      <c r="Q165" s="62">
        <v>45810.697777777779</v>
      </c>
      <c r="R165" s="72">
        <v>45810.708194444444</v>
      </c>
      <c r="S165" s="25">
        <v>0.70763888888888893</v>
      </c>
      <c r="T165" s="63">
        <v>6.9994444444455439</v>
      </c>
      <c r="U165" s="47">
        <f>IFERROR(INDEX(NOVO!O:O,MATCH(PRINT!E371,NOVO!C:C,0)),"")</f>
        <v>155692</v>
      </c>
      <c r="AA165" s="49">
        <v>164711</v>
      </c>
    </row>
    <row r="166" spans="1:27" s="23" customFormat="1" x14ac:dyDescent="0.35">
      <c r="A166" s="54">
        <v>0</v>
      </c>
      <c r="C166" s="23">
        <v>1004625</v>
      </c>
      <c r="D166" s="23">
        <v>1</v>
      </c>
      <c r="E166" s="23">
        <v>1004664</v>
      </c>
      <c r="F166" s="23" t="s">
        <v>1751</v>
      </c>
      <c r="G166" s="5">
        <v>20</v>
      </c>
      <c r="H166" s="23">
        <v>6</v>
      </c>
      <c r="I166" s="23">
        <v>0</v>
      </c>
      <c r="J166" s="23">
        <v>0</v>
      </c>
      <c r="K166" s="23" t="s">
        <v>24</v>
      </c>
      <c r="L166" s="23" t="s">
        <v>597</v>
      </c>
      <c r="M166" s="23" t="s">
        <v>1923</v>
      </c>
      <c r="N166" s="24">
        <v>45825</v>
      </c>
      <c r="O166" s="28">
        <v>1.3888888888888888E-2</v>
      </c>
      <c r="P166" s="3">
        <v>45817</v>
      </c>
      <c r="Q166" s="62">
        <v>45810.683888888889</v>
      </c>
      <c r="R166" s="72">
        <v>45810.697777777779</v>
      </c>
      <c r="S166" s="25">
        <v>0.69722222222222219</v>
      </c>
      <c r="T166" s="63">
        <v>6.9994444444455439</v>
      </c>
      <c r="U166" s="47">
        <f>IFERROR(INDEX(NOVO!O:O,MATCH(PRINT!E370,NOVO!C:C,0)),"")</f>
        <v>155678</v>
      </c>
      <c r="AA166" s="49">
        <v>164712</v>
      </c>
    </row>
    <row r="167" spans="1:27" s="23" customFormat="1" x14ac:dyDescent="0.35">
      <c r="A167" s="54">
        <v>0</v>
      </c>
      <c r="C167" s="23">
        <v>1004625</v>
      </c>
      <c r="D167" s="23">
        <v>1</v>
      </c>
      <c r="E167" s="23">
        <v>1004647</v>
      </c>
      <c r="F167" s="23" t="s">
        <v>1753</v>
      </c>
      <c r="G167" s="5">
        <v>15</v>
      </c>
      <c r="H167" s="23">
        <v>6</v>
      </c>
      <c r="I167" s="23">
        <v>0</v>
      </c>
      <c r="J167" s="23">
        <v>0</v>
      </c>
      <c r="K167" s="23" t="s">
        <v>24</v>
      </c>
      <c r="L167" s="23" t="s">
        <v>597</v>
      </c>
      <c r="M167" s="23" t="s">
        <v>1923</v>
      </c>
      <c r="N167" s="24">
        <v>45825</v>
      </c>
      <c r="O167" s="28">
        <v>1.0416666666666666E-2</v>
      </c>
      <c r="P167" s="3">
        <v>45817</v>
      </c>
      <c r="Q167" s="62">
        <v>45810.673472222225</v>
      </c>
      <c r="R167" s="72">
        <v>45810.683888888889</v>
      </c>
      <c r="S167" s="25">
        <v>0.68333333333333335</v>
      </c>
      <c r="T167" s="63">
        <v>6.9994444444455439</v>
      </c>
      <c r="U167" s="47">
        <f>IFERROR(INDEX(NOVO!O:O,MATCH(PRINT!E369,NOVO!C:C,0)),"")</f>
        <v>175379</v>
      </c>
      <c r="AA167" s="49">
        <v>165175</v>
      </c>
    </row>
    <row r="168" spans="1:27" s="23" customFormat="1" x14ac:dyDescent="0.35">
      <c r="A168" s="54">
        <v>0</v>
      </c>
      <c r="C168" s="23">
        <v>1004624</v>
      </c>
      <c r="D168" s="23">
        <v>1</v>
      </c>
      <c r="E168" s="23">
        <v>1004664</v>
      </c>
      <c r="F168" s="23" t="s">
        <v>1751</v>
      </c>
      <c r="G168" s="5">
        <v>20</v>
      </c>
      <c r="H168" s="23">
        <v>6</v>
      </c>
      <c r="I168" s="23">
        <v>0</v>
      </c>
      <c r="J168" s="23">
        <v>0</v>
      </c>
      <c r="K168" s="23" t="s">
        <v>24</v>
      </c>
      <c r="L168" s="23" t="s">
        <v>597</v>
      </c>
      <c r="M168" s="23" t="s">
        <v>1923</v>
      </c>
      <c r="N168" s="24">
        <v>45825</v>
      </c>
      <c r="O168" s="28">
        <v>1.3888888888888888E-2</v>
      </c>
      <c r="P168" s="3">
        <v>45817</v>
      </c>
      <c r="Q168" s="62">
        <v>45810.659583333334</v>
      </c>
      <c r="R168" s="72">
        <v>45810.673472222225</v>
      </c>
      <c r="S168" s="25">
        <v>0.67291666666666672</v>
      </c>
      <c r="T168" s="63">
        <v>6.9994444444455439</v>
      </c>
      <c r="U168" s="47">
        <f>IFERROR(INDEX(NOVO!O:O,MATCH(PRINT!E368,NOVO!C:C,0)),"")</f>
        <v>175379</v>
      </c>
      <c r="AA168" s="49">
        <v>165248</v>
      </c>
    </row>
    <row r="169" spans="1:27" s="23" customFormat="1" x14ac:dyDescent="0.35">
      <c r="A169" s="54">
        <v>0</v>
      </c>
      <c r="C169" s="23">
        <v>1004624</v>
      </c>
      <c r="D169" s="23">
        <v>1</v>
      </c>
      <c r="E169" s="23">
        <v>1004651</v>
      </c>
      <c r="F169" s="23" t="s">
        <v>1752</v>
      </c>
      <c r="G169" s="5">
        <v>15</v>
      </c>
      <c r="H169" s="23">
        <v>6</v>
      </c>
      <c r="I169" s="23">
        <v>0</v>
      </c>
      <c r="J169" s="23">
        <v>0</v>
      </c>
      <c r="K169" s="23" t="s">
        <v>24</v>
      </c>
      <c r="L169" s="23" t="s">
        <v>597</v>
      </c>
      <c r="M169" s="23" t="s">
        <v>1923</v>
      </c>
      <c r="N169" s="24">
        <v>45825</v>
      </c>
      <c r="O169" s="28">
        <v>1.0416666666666666E-2</v>
      </c>
      <c r="P169" s="3">
        <v>45817</v>
      </c>
      <c r="Q169" s="62">
        <v>45810.64916666667</v>
      </c>
      <c r="R169" s="72">
        <v>45810.659583333334</v>
      </c>
      <c r="S169" s="25">
        <v>0.65902777777777777</v>
      </c>
      <c r="T169" s="63">
        <v>6.9994444444455439</v>
      </c>
      <c r="U169" s="47" t="str">
        <f>IFERROR(INDEX(NOVO!O:O,MATCH(PRINT!E367,NOVO!C:C,0)),"")</f>
        <v/>
      </c>
      <c r="AA169" s="49">
        <v>165258</v>
      </c>
    </row>
    <row r="170" spans="1:27" s="23" customFormat="1" x14ac:dyDescent="0.35">
      <c r="A170" s="54">
        <v>0</v>
      </c>
      <c r="C170" s="23">
        <v>1004624</v>
      </c>
      <c r="D170" s="23">
        <v>1</v>
      </c>
      <c r="E170" s="23">
        <v>1004647</v>
      </c>
      <c r="F170" s="23" t="s">
        <v>1753</v>
      </c>
      <c r="G170" s="5">
        <v>15</v>
      </c>
      <c r="H170" s="23">
        <v>6</v>
      </c>
      <c r="I170" s="23">
        <v>0</v>
      </c>
      <c r="J170" s="23">
        <v>0</v>
      </c>
      <c r="K170" s="23" t="s">
        <v>24</v>
      </c>
      <c r="L170" s="23" t="s">
        <v>597</v>
      </c>
      <c r="M170" s="23" t="s">
        <v>1923</v>
      </c>
      <c r="N170" s="24">
        <v>45825</v>
      </c>
      <c r="O170" s="28">
        <v>1.0416666666666666E-2</v>
      </c>
      <c r="P170" s="3">
        <v>45817</v>
      </c>
      <c r="Q170" s="62">
        <v>45810.638750000006</v>
      </c>
      <c r="R170" s="72">
        <v>45810.64916666667</v>
      </c>
      <c r="S170" s="25">
        <v>0.64861111111111114</v>
      </c>
      <c r="T170" s="63">
        <v>6.999444444438268</v>
      </c>
      <c r="U170" s="47">
        <f>IFERROR(INDEX(NOVO!O:O,MATCH(PRINT!E366,NOVO!C:C,0)),"")</f>
        <v>175379</v>
      </c>
      <c r="AA170" s="49">
        <v>165268</v>
      </c>
    </row>
    <row r="171" spans="1:27" s="23" customFormat="1" x14ac:dyDescent="0.35">
      <c r="A171" s="54">
        <v>0</v>
      </c>
      <c r="C171" s="23">
        <v>1003953</v>
      </c>
      <c r="D171" s="23">
        <v>1</v>
      </c>
      <c r="E171" s="23">
        <v>1003990</v>
      </c>
      <c r="F171" s="23" t="s">
        <v>1755</v>
      </c>
      <c r="G171" s="5">
        <v>55</v>
      </c>
      <c r="H171" s="23">
        <v>12</v>
      </c>
      <c r="I171" s="23">
        <v>0</v>
      </c>
      <c r="J171" s="23">
        <v>0</v>
      </c>
      <c r="K171" s="23" t="s">
        <v>24</v>
      </c>
      <c r="L171" s="23" t="s">
        <v>597</v>
      </c>
      <c r="M171" s="23" t="s">
        <v>1922</v>
      </c>
      <c r="N171" s="24">
        <v>45834</v>
      </c>
      <c r="O171" s="28">
        <v>3.8194444444444448E-2</v>
      </c>
      <c r="P171" s="3">
        <v>45817</v>
      </c>
      <c r="Q171" s="62">
        <v>45810.60055555556</v>
      </c>
      <c r="R171" s="72">
        <v>45810.638750000006</v>
      </c>
      <c r="S171" s="25">
        <v>0.6381944444444444</v>
      </c>
      <c r="T171" s="63">
        <v>6.999444444438268</v>
      </c>
      <c r="U171" s="47">
        <f>IFERROR(INDEX(NOVO!O:O,MATCH(PRINT!E365,NOVO!C:C,0)),"")</f>
        <v>190052</v>
      </c>
      <c r="AA171" s="49">
        <v>165329</v>
      </c>
    </row>
    <row r="172" spans="1:27" s="23" customFormat="1" x14ac:dyDescent="0.35">
      <c r="A172" s="54">
        <v>0</v>
      </c>
      <c r="C172" s="23">
        <v>1003953</v>
      </c>
      <c r="D172" s="23">
        <v>1</v>
      </c>
      <c r="E172" s="23">
        <v>1003974</v>
      </c>
      <c r="F172" s="23" t="s">
        <v>1754</v>
      </c>
      <c r="G172" s="5">
        <v>10</v>
      </c>
      <c r="H172" s="23">
        <v>12</v>
      </c>
      <c r="I172" s="23">
        <v>0</v>
      </c>
      <c r="J172" s="23">
        <v>0</v>
      </c>
      <c r="K172" s="23" t="s">
        <v>24</v>
      </c>
      <c r="L172" s="23" t="s">
        <v>597</v>
      </c>
      <c r="M172" s="23" t="s">
        <v>1922</v>
      </c>
      <c r="N172" s="24">
        <v>45834</v>
      </c>
      <c r="O172" s="28">
        <v>6.9444444444444441E-3</v>
      </c>
      <c r="P172" s="3">
        <v>45817</v>
      </c>
      <c r="Q172" s="62">
        <v>45810.593611111115</v>
      </c>
      <c r="R172" s="72">
        <v>45810.60055555556</v>
      </c>
      <c r="S172" s="25">
        <v>0.6</v>
      </c>
      <c r="T172" s="63">
        <v>6.999444444438268</v>
      </c>
      <c r="U172" s="47">
        <f>IFERROR(INDEX(NOVO!O:O,MATCH(PRINT!E364,NOVO!C:C,0)),"")</f>
        <v>232942</v>
      </c>
      <c r="AA172" s="49">
        <v>165748</v>
      </c>
    </row>
    <row r="173" spans="1:27" s="23" customFormat="1" x14ac:dyDescent="0.35">
      <c r="A173" s="54">
        <v>0</v>
      </c>
      <c r="C173" s="23">
        <v>1003952</v>
      </c>
      <c r="D173" s="23">
        <v>1</v>
      </c>
      <c r="E173" s="23">
        <v>1003990</v>
      </c>
      <c r="F173" s="23" t="s">
        <v>1755</v>
      </c>
      <c r="G173" s="5">
        <v>55</v>
      </c>
      <c r="H173" s="23">
        <v>12</v>
      </c>
      <c r="I173" s="23">
        <v>0</v>
      </c>
      <c r="J173" s="23">
        <v>0</v>
      </c>
      <c r="K173" s="23" t="s">
        <v>24</v>
      </c>
      <c r="L173" s="23" t="s">
        <v>597</v>
      </c>
      <c r="M173" s="23" t="s">
        <v>1922</v>
      </c>
      <c r="N173" s="24">
        <v>45834</v>
      </c>
      <c r="O173" s="28">
        <v>3.8194444444444448E-2</v>
      </c>
      <c r="P173" s="3">
        <v>45817</v>
      </c>
      <c r="Q173" s="62">
        <v>45810.55541666667</v>
      </c>
      <c r="R173" s="72">
        <v>45810.593611111115</v>
      </c>
      <c r="S173" s="25">
        <v>0.59305555555555556</v>
      </c>
      <c r="T173" s="63">
        <v>6.999444444438268</v>
      </c>
      <c r="U173" s="47">
        <f>IFERROR(INDEX(NOVO!O:O,MATCH(PRINT!E363,NOVO!C:C,0)),"")</f>
        <v>180676</v>
      </c>
      <c r="AA173" s="49">
        <v>165750</v>
      </c>
    </row>
    <row r="174" spans="1:27" s="23" customFormat="1" x14ac:dyDescent="0.35">
      <c r="A174" s="54">
        <v>0</v>
      </c>
      <c r="C174" s="23">
        <v>1003952</v>
      </c>
      <c r="D174" s="23">
        <v>1</v>
      </c>
      <c r="E174" s="23">
        <v>1003974</v>
      </c>
      <c r="F174" s="23" t="s">
        <v>1754</v>
      </c>
      <c r="G174" s="5">
        <v>10</v>
      </c>
      <c r="H174" s="23">
        <v>12</v>
      </c>
      <c r="I174" s="23">
        <v>0</v>
      </c>
      <c r="J174" s="23">
        <v>0</v>
      </c>
      <c r="K174" s="23" t="s">
        <v>24</v>
      </c>
      <c r="L174" s="23" t="s">
        <v>597</v>
      </c>
      <c r="M174" s="23" t="s">
        <v>1922</v>
      </c>
      <c r="N174" s="24">
        <v>45834</v>
      </c>
      <c r="O174" s="28">
        <v>6.9444444444444441E-3</v>
      </c>
      <c r="P174" s="3">
        <v>45817</v>
      </c>
      <c r="Q174" s="62">
        <v>45810.548472222225</v>
      </c>
      <c r="R174" s="72">
        <v>45810.55541666667</v>
      </c>
      <c r="S174" s="25">
        <v>0.55486111111111114</v>
      </c>
      <c r="T174" s="63">
        <v>6.999444444438268</v>
      </c>
      <c r="U174" s="47">
        <f>IFERROR(INDEX(NOVO!O:O,MATCH(PRINT!E362,NOVO!C:C,0)),"")</f>
        <v>180685</v>
      </c>
      <c r="AA174" s="49">
        <v>165755</v>
      </c>
    </row>
    <row r="175" spans="1:27" s="23" customFormat="1" x14ac:dyDescent="0.35">
      <c r="A175" s="54">
        <v>0</v>
      </c>
      <c r="C175" s="23">
        <v>1003951</v>
      </c>
      <c r="D175" s="23">
        <v>1</v>
      </c>
      <c r="E175" s="23">
        <v>1003974</v>
      </c>
      <c r="F175" s="23" t="s">
        <v>1754</v>
      </c>
      <c r="G175" s="5">
        <v>10</v>
      </c>
      <c r="H175" s="23">
        <v>12</v>
      </c>
      <c r="I175" s="23">
        <v>0</v>
      </c>
      <c r="J175" s="23">
        <v>0</v>
      </c>
      <c r="K175" s="23" t="s">
        <v>24</v>
      </c>
      <c r="L175" s="23" t="s">
        <v>597</v>
      </c>
      <c r="M175" s="23" t="s">
        <v>1922</v>
      </c>
      <c r="N175" s="24">
        <v>45834</v>
      </c>
      <c r="O175" s="28">
        <v>6.9444444444444441E-3</v>
      </c>
      <c r="P175" s="3">
        <v>45817</v>
      </c>
      <c r="Q175" s="62">
        <v>45810.541527777779</v>
      </c>
      <c r="R175" s="72">
        <v>45810.548472222225</v>
      </c>
      <c r="S175" s="25">
        <v>0.54791666666666672</v>
      </c>
      <c r="T175" s="63">
        <v>6.9994444444455439</v>
      </c>
      <c r="U175" s="47">
        <f>IFERROR(INDEX(NOVO!O:O,MATCH(PRINT!E361,NOVO!C:C,0)),"")</f>
        <v>227566</v>
      </c>
      <c r="AA175" s="49">
        <v>175789</v>
      </c>
    </row>
    <row r="176" spans="1:27" s="23" customFormat="1" x14ac:dyDescent="0.35">
      <c r="A176" s="54">
        <v>0</v>
      </c>
      <c r="C176" s="23">
        <v>1003951</v>
      </c>
      <c r="D176" s="23">
        <v>1</v>
      </c>
      <c r="E176" s="23">
        <v>1003990</v>
      </c>
      <c r="F176" s="23" t="s">
        <v>1755</v>
      </c>
      <c r="G176" s="5">
        <v>55</v>
      </c>
      <c r="H176" s="23">
        <v>12</v>
      </c>
      <c r="I176" s="23">
        <v>0</v>
      </c>
      <c r="J176" s="23">
        <v>0</v>
      </c>
      <c r="K176" s="23" t="s">
        <v>24</v>
      </c>
      <c r="L176" s="23" t="s">
        <v>597</v>
      </c>
      <c r="M176" s="23" t="s">
        <v>1922</v>
      </c>
      <c r="N176" s="24">
        <v>45834</v>
      </c>
      <c r="O176" s="28">
        <v>3.8194444444444448E-2</v>
      </c>
      <c r="P176" s="3">
        <v>45817</v>
      </c>
      <c r="Q176" s="62">
        <v>45810.503333333334</v>
      </c>
      <c r="R176" s="72">
        <v>45810.541527777779</v>
      </c>
      <c r="S176" s="25">
        <v>0.54097222222222219</v>
      </c>
      <c r="T176" s="63">
        <v>6.9994444444455439</v>
      </c>
      <c r="U176" s="47" t="str">
        <f>IFERROR(INDEX(NOVO!O:O,MATCH(PRINT!E360,NOVO!C:C,0)),"")</f>
        <v/>
      </c>
      <c r="AA176" s="40">
        <v>176350</v>
      </c>
    </row>
    <row r="177" spans="1:27" s="23" customFormat="1" x14ac:dyDescent="0.35">
      <c r="A177" s="54">
        <v>0</v>
      </c>
      <c r="C177" s="23">
        <v>1003950</v>
      </c>
      <c r="D177" s="23">
        <v>1</v>
      </c>
      <c r="E177" s="23">
        <v>1003974</v>
      </c>
      <c r="F177" s="23" t="s">
        <v>1754</v>
      </c>
      <c r="G177" s="5">
        <v>10</v>
      </c>
      <c r="H177" s="23">
        <v>12</v>
      </c>
      <c r="I177" s="23">
        <v>0</v>
      </c>
      <c r="J177" s="23">
        <v>0</v>
      </c>
      <c r="K177" s="23" t="s">
        <v>24</v>
      </c>
      <c r="L177" s="23" t="s">
        <v>597</v>
      </c>
      <c r="M177" s="23" t="s">
        <v>1922</v>
      </c>
      <c r="N177" s="24">
        <v>45834</v>
      </c>
      <c r="O177" s="28">
        <v>6.9444444444444441E-3</v>
      </c>
      <c r="P177" s="3">
        <v>45817</v>
      </c>
      <c r="Q177" s="62">
        <v>45810.496388888889</v>
      </c>
      <c r="R177" s="72">
        <v>45810.503333333334</v>
      </c>
      <c r="S177" s="25">
        <v>0.50277777777777777</v>
      </c>
      <c r="T177" s="63">
        <v>6.9994444444455439</v>
      </c>
      <c r="U177" s="47">
        <f>IFERROR(INDEX(NOVO!O:O,MATCH(PRINT!E359,NOVO!C:C,0)),"")</f>
        <v>227566</v>
      </c>
      <c r="AA177" s="40">
        <v>176351</v>
      </c>
    </row>
    <row r="178" spans="1:27" s="23" customFormat="1" x14ac:dyDescent="0.35">
      <c r="A178" s="54">
        <v>0</v>
      </c>
      <c r="C178" s="23">
        <v>1003950</v>
      </c>
      <c r="D178" s="23">
        <v>1</v>
      </c>
      <c r="E178" s="23">
        <v>1003990</v>
      </c>
      <c r="F178" s="23" t="s">
        <v>1755</v>
      </c>
      <c r="G178" s="5">
        <v>55</v>
      </c>
      <c r="H178" s="23">
        <v>12</v>
      </c>
      <c r="I178" s="23">
        <v>0</v>
      </c>
      <c r="J178" s="23">
        <v>0</v>
      </c>
      <c r="K178" s="23" t="s">
        <v>24</v>
      </c>
      <c r="L178" s="23" t="s">
        <v>597</v>
      </c>
      <c r="M178" s="23" t="s">
        <v>1922</v>
      </c>
      <c r="N178" s="24">
        <v>45834</v>
      </c>
      <c r="O178" s="28">
        <v>3.8194444444444448E-2</v>
      </c>
      <c r="P178" s="3">
        <v>45817</v>
      </c>
      <c r="Q178" s="62">
        <v>45810.458194444444</v>
      </c>
      <c r="R178" s="72">
        <v>45810.496388888889</v>
      </c>
      <c r="S178" s="25">
        <v>0.49583333333333335</v>
      </c>
      <c r="T178" s="63">
        <v>6.9994444444455439</v>
      </c>
      <c r="U178" s="47">
        <f>IFERROR(INDEX(NOVO!O:O,MATCH(PRINT!E358,NOVO!C:C,0)),"")</f>
        <v>227549</v>
      </c>
      <c r="AA178" s="40">
        <v>176353</v>
      </c>
    </row>
    <row r="179" spans="1:27" s="23" customFormat="1" x14ac:dyDescent="0.35">
      <c r="A179" s="54">
        <v>0</v>
      </c>
      <c r="C179" s="23">
        <v>1003949</v>
      </c>
      <c r="D179" s="23">
        <v>1</v>
      </c>
      <c r="E179" s="23">
        <v>1003974</v>
      </c>
      <c r="F179" s="23" t="s">
        <v>1754</v>
      </c>
      <c r="G179" s="5">
        <v>10</v>
      </c>
      <c r="H179" s="23">
        <v>12</v>
      </c>
      <c r="I179" s="23">
        <v>0</v>
      </c>
      <c r="J179" s="23">
        <v>0</v>
      </c>
      <c r="K179" s="23" t="s">
        <v>24</v>
      </c>
      <c r="L179" s="23" t="s">
        <v>597</v>
      </c>
      <c r="M179" s="23" t="s">
        <v>1922</v>
      </c>
      <c r="N179" s="24">
        <v>45834</v>
      </c>
      <c r="O179" s="28">
        <v>6.9444444444444441E-3</v>
      </c>
      <c r="P179" s="3">
        <v>45817</v>
      </c>
      <c r="Q179" s="62">
        <v>45810.451249999998</v>
      </c>
      <c r="R179" s="72">
        <v>45810.458194444444</v>
      </c>
      <c r="S179" s="25">
        <v>0.45763888888888887</v>
      </c>
      <c r="T179" s="63">
        <v>6.9994444444455439</v>
      </c>
      <c r="U179" s="47">
        <f>IFERROR(INDEX(NOVO!O:O,MATCH(PRINT!E357,NOVO!C:C,0)),"")</f>
        <v>227566</v>
      </c>
      <c r="AA179" s="40">
        <v>176354</v>
      </c>
    </row>
    <row r="180" spans="1:27" s="23" customFormat="1" x14ac:dyDescent="0.35">
      <c r="A180" s="54">
        <v>0</v>
      </c>
      <c r="C180" s="23">
        <v>1003949</v>
      </c>
      <c r="D180" s="23">
        <v>1</v>
      </c>
      <c r="E180" s="23">
        <v>1003990</v>
      </c>
      <c r="F180" s="23" t="s">
        <v>1755</v>
      </c>
      <c r="G180" s="5">
        <v>19</v>
      </c>
      <c r="H180" s="23">
        <v>12</v>
      </c>
      <c r="I180" s="23">
        <v>0</v>
      </c>
      <c r="J180" s="23">
        <v>0</v>
      </c>
      <c r="K180" s="23" t="s">
        <v>24</v>
      </c>
      <c r="L180" s="23" t="s">
        <v>597</v>
      </c>
      <c r="M180" s="23" t="s">
        <v>1922</v>
      </c>
      <c r="N180" s="24">
        <v>45834</v>
      </c>
      <c r="O180" s="28">
        <v>1.375E-2</v>
      </c>
      <c r="P180" s="3">
        <v>45817</v>
      </c>
      <c r="Q180" s="62">
        <v>45810.4375</v>
      </c>
      <c r="R180" s="72">
        <v>45810.451249999998</v>
      </c>
      <c r="S180" s="25">
        <v>0.45069444444444445</v>
      </c>
      <c r="T180" s="63">
        <v>6.9994444444455439</v>
      </c>
      <c r="U180" s="47">
        <f>IFERROR(INDEX(NOVO!O:O,MATCH(PRINT!E356,NOVO!C:C,0)),"")</f>
        <v>227549</v>
      </c>
      <c r="AA180" s="40">
        <v>176355</v>
      </c>
    </row>
    <row r="181" spans="1:27" s="23" customFormat="1" x14ac:dyDescent="0.35">
      <c r="A181" s="54"/>
      <c r="G181" s="5"/>
      <c r="N181" s="24" t="s">
        <v>198</v>
      </c>
      <c r="O181" s="28">
        <v>2.0833333333333332E-2</v>
      </c>
      <c r="P181" s="3">
        <v>45817</v>
      </c>
      <c r="Q181" s="62">
        <v>45810.416666666664</v>
      </c>
      <c r="R181" s="72">
        <v>45810.4375</v>
      </c>
      <c r="S181" s="25">
        <v>0.4375</v>
      </c>
      <c r="T181" s="63">
        <v>7</v>
      </c>
      <c r="U181" s="47">
        <f>IFERROR(INDEX(NOVO!O:O,MATCH(PRINT!E355,NOVO!C:C,0)),"")</f>
        <v>227566</v>
      </c>
      <c r="AA181" s="40">
        <v>176356</v>
      </c>
    </row>
    <row r="182" spans="1:27" s="23" customFormat="1" x14ac:dyDescent="0.35">
      <c r="A182" s="54">
        <v>0</v>
      </c>
      <c r="C182" s="23">
        <v>1003949</v>
      </c>
      <c r="D182" s="23">
        <v>1</v>
      </c>
      <c r="E182" s="23">
        <v>1003990</v>
      </c>
      <c r="F182" s="23" t="s">
        <v>1755</v>
      </c>
      <c r="G182" s="5">
        <v>35</v>
      </c>
      <c r="H182" s="23">
        <v>12</v>
      </c>
      <c r="I182" s="23">
        <v>0</v>
      </c>
      <c r="J182" s="23">
        <v>0</v>
      </c>
      <c r="K182" s="23" t="s">
        <v>24</v>
      </c>
      <c r="L182" s="23" t="s">
        <v>597</v>
      </c>
      <c r="M182" s="23" t="s">
        <v>1922</v>
      </c>
      <c r="N182" s="24">
        <v>45834</v>
      </c>
      <c r="O182" s="28">
        <v>2.4444444425171241E-2</v>
      </c>
      <c r="P182" s="3">
        <v>45817</v>
      </c>
      <c r="Q182" s="62">
        <v>45810.392222222239</v>
      </c>
      <c r="R182" s="72">
        <v>45810.416666666664</v>
      </c>
      <c r="S182" s="25">
        <v>0.41666666666666669</v>
      </c>
      <c r="T182" s="63">
        <v>7</v>
      </c>
      <c r="U182" s="47">
        <f>IFERROR(INDEX(NOVO!O:O,MATCH(PRINT!E354,NOVO!C:C,0)),"")</f>
        <v>227549</v>
      </c>
      <c r="AA182" s="40">
        <v>176357</v>
      </c>
    </row>
    <row r="183" spans="1:27" s="23" customFormat="1" x14ac:dyDescent="0.35">
      <c r="A183" s="54">
        <v>0</v>
      </c>
      <c r="C183" s="23">
        <v>1003948</v>
      </c>
      <c r="D183" s="23">
        <v>1</v>
      </c>
      <c r="E183" s="23">
        <v>1003990</v>
      </c>
      <c r="F183" s="23" t="s">
        <v>1755</v>
      </c>
      <c r="G183" s="5">
        <v>55</v>
      </c>
      <c r="H183" s="23">
        <v>12</v>
      </c>
      <c r="I183" s="23">
        <v>0</v>
      </c>
      <c r="J183" s="23">
        <v>0</v>
      </c>
      <c r="K183" s="23" t="s">
        <v>24</v>
      </c>
      <c r="L183" s="23" t="s">
        <v>597</v>
      </c>
      <c r="M183" s="23" t="s">
        <v>1922</v>
      </c>
      <c r="N183" s="24">
        <v>45834</v>
      </c>
      <c r="O183" s="28">
        <v>3.8194444444444448E-2</v>
      </c>
      <c r="P183" s="3">
        <v>45817</v>
      </c>
      <c r="Q183" s="62">
        <v>45810.354027777794</v>
      </c>
      <c r="R183" s="72">
        <v>45810.392222222239</v>
      </c>
      <c r="S183" s="25">
        <v>0.39166666666666666</v>
      </c>
      <c r="T183" s="63">
        <v>6.999444444430992</v>
      </c>
      <c r="U183" s="47">
        <f>IFERROR(INDEX(NOVO!O:O,MATCH(PRINT!E353,NOVO!C:C,0)),"")</f>
        <v>227566</v>
      </c>
      <c r="AA183" s="40">
        <v>176358</v>
      </c>
    </row>
    <row r="184" spans="1:27" s="23" customFormat="1" x14ac:dyDescent="0.35">
      <c r="A184" s="54">
        <v>0</v>
      </c>
      <c r="C184" s="23">
        <v>1003948</v>
      </c>
      <c r="D184" s="23">
        <v>1</v>
      </c>
      <c r="E184" s="23">
        <v>1003974</v>
      </c>
      <c r="F184" s="23" t="s">
        <v>1754</v>
      </c>
      <c r="G184" s="5">
        <v>10</v>
      </c>
      <c r="H184" s="23">
        <v>12</v>
      </c>
      <c r="I184" s="23">
        <v>0</v>
      </c>
      <c r="J184" s="23">
        <v>0</v>
      </c>
      <c r="K184" s="23" t="s">
        <v>24</v>
      </c>
      <c r="L184" s="23" t="s">
        <v>597</v>
      </c>
      <c r="M184" s="23" t="s">
        <v>1922</v>
      </c>
      <c r="N184" s="24">
        <v>45834</v>
      </c>
      <c r="O184" s="28">
        <v>6.9444444444444441E-3</v>
      </c>
      <c r="P184" s="3">
        <v>45817</v>
      </c>
      <c r="Q184" s="62">
        <v>45810.347083333349</v>
      </c>
      <c r="R184" s="72">
        <v>45810.354027777794</v>
      </c>
      <c r="S184" s="25">
        <v>0.35347222222222224</v>
      </c>
      <c r="T184" s="63">
        <v>6.999444444430992</v>
      </c>
      <c r="U184" s="47">
        <f>IFERROR(INDEX(NOVO!O:O,MATCH(PRINT!E352,NOVO!C:C,0)),"")</f>
        <v>227549</v>
      </c>
      <c r="AA184" s="40">
        <v>176359</v>
      </c>
    </row>
    <row r="185" spans="1:27" s="23" customFormat="1" x14ac:dyDescent="0.35">
      <c r="A185" s="54">
        <v>0</v>
      </c>
      <c r="C185" s="23">
        <v>1003947</v>
      </c>
      <c r="D185" s="23">
        <v>1</v>
      </c>
      <c r="E185" s="23">
        <v>1003974</v>
      </c>
      <c r="F185" s="23" t="s">
        <v>1754</v>
      </c>
      <c r="G185" s="5">
        <v>10</v>
      </c>
      <c r="H185" s="23">
        <v>12</v>
      </c>
      <c r="I185" s="23">
        <v>0</v>
      </c>
      <c r="J185" s="23">
        <v>0</v>
      </c>
      <c r="K185" s="23" t="s">
        <v>24</v>
      </c>
      <c r="L185" s="23" t="s">
        <v>597</v>
      </c>
      <c r="M185" s="23" t="s">
        <v>1922</v>
      </c>
      <c r="N185" s="24">
        <v>45834</v>
      </c>
      <c r="O185" s="28">
        <v>6.9444444444444441E-3</v>
      </c>
      <c r="P185" s="3">
        <v>45817</v>
      </c>
      <c r="Q185" s="62">
        <v>45810.340138888903</v>
      </c>
      <c r="R185" s="72">
        <v>45810.347083333349</v>
      </c>
      <c r="S185" s="25">
        <v>0.34652777777777777</v>
      </c>
      <c r="T185" s="63">
        <v>6.999444444430992</v>
      </c>
      <c r="U185" s="47">
        <f>IFERROR(INDEX(NOVO!O:O,MATCH(PRINT!E351,NOVO!C:C,0)),"")</f>
        <v>227566</v>
      </c>
      <c r="AA185" s="40">
        <v>176360</v>
      </c>
    </row>
    <row r="186" spans="1:27" s="23" customFormat="1" x14ac:dyDescent="0.35">
      <c r="A186" s="54">
        <v>0</v>
      </c>
      <c r="C186" s="23">
        <v>1003947</v>
      </c>
      <c r="D186" s="23">
        <v>1</v>
      </c>
      <c r="E186" s="23">
        <v>1003990</v>
      </c>
      <c r="F186" s="23" t="s">
        <v>1755</v>
      </c>
      <c r="G186" s="5">
        <v>55</v>
      </c>
      <c r="H186" s="23">
        <v>12</v>
      </c>
      <c r="I186" s="23">
        <v>0</v>
      </c>
      <c r="J186" s="23">
        <v>0</v>
      </c>
      <c r="K186" s="23" t="s">
        <v>24</v>
      </c>
      <c r="L186" s="23" t="s">
        <v>597</v>
      </c>
      <c r="M186" s="23" t="s">
        <v>1922</v>
      </c>
      <c r="N186" s="24">
        <v>45834</v>
      </c>
      <c r="O186" s="28">
        <v>3.8194444444444448E-2</v>
      </c>
      <c r="P186" s="3">
        <v>45817</v>
      </c>
      <c r="Q186" s="62">
        <v>45810.301944444458</v>
      </c>
      <c r="R186" s="72">
        <v>45810.340138888903</v>
      </c>
      <c r="S186" s="25">
        <v>0.33958333333333335</v>
      </c>
      <c r="T186" s="63">
        <v>6.999444444430992</v>
      </c>
      <c r="U186" s="47">
        <f>IFERROR(INDEX(NOVO!O:O,MATCH(PRINT!E350,NOVO!C:C,0)),"")</f>
        <v>227549</v>
      </c>
      <c r="AA186" s="40">
        <v>176361</v>
      </c>
    </row>
    <row r="187" spans="1:27" s="23" customFormat="1" x14ac:dyDescent="0.35">
      <c r="A187" s="54">
        <v>0</v>
      </c>
      <c r="C187" s="23">
        <v>1003946</v>
      </c>
      <c r="D187" s="23">
        <v>1</v>
      </c>
      <c r="E187" s="23">
        <v>1003974</v>
      </c>
      <c r="F187" s="23" t="s">
        <v>1754</v>
      </c>
      <c r="G187" s="5">
        <v>10</v>
      </c>
      <c r="H187" s="23">
        <v>12</v>
      </c>
      <c r="I187" s="23">
        <v>0</v>
      </c>
      <c r="J187" s="23">
        <v>0</v>
      </c>
      <c r="K187" s="23" t="s">
        <v>24</v>
      </c>
      <c r="L187" s="23" t="s">
        <v>597</v>
      </c>
      <c r="M187" s="23" t="s">
        <v>1922</v>
      </c>
      <c r="N187" s="24">
        <v>45834</v>
      </c>
      <c r="O187" s="28">
        <v>6.9444444444444441E-3</v>
      </c>
      <c r="P187" s="3">
        <v>45817</v>
      </c>
      <c r="Q187" s="62">
        <v>45810.295000000013</v>
      </c>
      <c r="R187" s="72">
        <v>45810.301944444458</v>
      </c>
      <c r="S187" s="25">
        <v>0.30138888888888887</v>
      </c>
      <c r="T187" s="63">
        <v>6.999444444430992</v>
      </c>
      <c r="U187" s="47">
        <f>IFERROR(INDEX(NOVO!O:O,MATCH(PRINT!E349,NOVO!C:C,0)),"")</f>
        <v>227549</v>
      </c>
      <c r="AA187" s="40">
        <v>176362</v>
      </c>
    </row>
    <row r="188" spans="1:27" s="23" customFormat="1" x14ac:dyDescent="0.35">
      <c r="A188" s="54">
        <v>0</v>
      </c>
      <c r="C188" s="23">
        <v>1003946</v>
      </c>
      <c r="D188" s="23">
        <v>1</v>
      </c>
      <c r="E188" s="23">
        <v>1003990</v>
      </c>
      <c r="F188" s="23" t="s">
        <v>1755</v>
      </c>
      <c r="G188" s="5">
        <v>55</v>
      </c>
      <c r="H188" s="23">
        <v>12</v>
      </c>
      <c r="I188" s="23">
        <v>0</v>
      </c>
      <c r="J188" s="23">
        <v>0</v>
      </c>
      <c r="K188" s="23" t="s">
        <v>24</v>
      </c>
      <c r="L188" s="23" t="s">
        <v>597</v>
      </c>
      <c r="M188" s="23" t="s">
        <v>1922</v>
      </c>
      <c r="N188" s="24">
        <v>45834</v>
      </c>
      <c r="O188" s="28">
        <v>3.8194444444444448E-2</v>
      </c>
      <c r="P188" s="3">
        <v>45817</v>
      </c>
      <c r="Q188" s="62">
        <v>45810.256805555568</v>
      </c>
      <c r="R188" s="72">
        <v>45810.295000000013</v>
      </c>
      <c r="S188" s="25">
        <v>0.29444444444444445</v>
      </c>
      <c r="T188" s="63">
        <v>6.999444444430992</v>
      </c>
      <c r="U188" s="47">
        <f>IFERROR(INDEX(NOVO!O:O,MATCH(PRINT!E348,NOVO!C:C,0)),"")</f>
        <v>227566</v>
      </c>
      <c r="AA188" s="40">
        <v>176363</v>
      </c>
    </row>
    <row r="189" spans="1:27" s="23" customFormat="1" x14ac:dyDescent="0.35">
      <c r="A189" s="54">
        <v>0</v>
      </c>
      <c r="C189" s="23">
        <v>1003945</v>
      </c>
      <c r="D189" s="23">
        <v>1</v>
      </c>
      <c r="E189" s="23">
        <v>1003974</v>
      </c>
      <c r="F189" s="23" t="s">
        <v>1754</v>
      </c>
      <c r="G189" s="5">
        <v>10</v>
      </c>
      <c r="H189" s="23">
        <v>12</v>
      </c>
      <c r="I189" s="23">
        <v>0</v>
      </c>
      <c r="J189" s="23">
        <v>0</v>
      </c>
      <c r="K189" s="23" t="s">
        <v>24</v>
      </c>
      <c r="L189" s="23" t="s">
        <v>597</v>
      </c>
      <c r="M189" s="23" t="s">
        <v>1922</v>
      </c>
      <c r="N189" s="24">
        <v>45834</v>
      </c>
      <c r="O189" s="28">
        <v>6.9444444444444441E-3</v>
      </c>
      <c r="P189" s="3">
        <v>45817</v>
      </c>
      <c r="Q189" s="62">
        <v>45810.249861111122</v>
      </c>
      <c r="R189" s="72">
        <v>45810.256805555568</v>
      </c>
      <c r="S189" s="25">
        <v>0.25624999999999998</v>
      </c>
      <c r="T189" s="63">
        <v>6.999444444430992</v>
      </c>
      <c r="U189" s="47">
        <f>IFERROR(INDEX(NOVO!O:O,MATCH(PRINT!E347,NOVO!C:C,0)),"")</f>
        <v>227566</v>
      </c>
      <c r="AA189" s="40">
        <v>176364</v>
      </c>
    </row>
    <row r="190" spans="1:27" s="23" customFormat="1" x14ac:dyDescent="0.35">
      <c r="A190" s="54">
        <v>0</v>
      </c>
      <c r="C190" s="23">
        <v>1003945</v>
      </c>
      <c r="D190" s="23">
        <v>1</v>
      </c>
      <c r="E190" s="23">
        <v>1003990</v>
      </c>
      <c r="F190" s="23" t="s">
        <v>1755</v>
      </c>
      <c r="G190" s="5">
        <v>55</v>
      </c>
      <c r="H190" s="23">
        <v>12</v>
      </c>
      <c r="I190" s="23">
        <v>0</v>
      </c>
      <c r="J190" s="23">
        <v>0</v>
      </c>
      <c r="K190" s="23" t="s">
        <v>24</v>
      </c>
      <c r="L190" s="23" t="s">
        <v>597</v>
      </c>
      <c r="M190" s="23" t="s">
        <v>1922</v>
      </c>
      <c r="N190" s="24">
        <v>45834</v>
      </c>
      <c r="O190" s="28">
        <v>3.8194444444444448E-2</v>
      </c>
      <c r="P190" s="3">
        <v>45817</v>
      </c>
      <c r="Q190" s="62">
        <v>45810.211666666677</v>
      </c>
      <c r="R190" s="72">
        <v>45810.249861111122</v>
      </c>
      <c r="S190" s="25">
        <v>0.24930555555555556</v>
      </c>
      <c r="T190" s="63">
        <v>6.999444444430992</v>
      </c>
      <c r="U190" s="47">
        <f>IFERROR(INDEX(NOVO!O:O,MATCH(PRINT!E346,NOVO!C:C,0)),"")</f>
        <v>227549</v>
      </c>
      <c r="AA190" s="40">
        <v>176365</v>
      </c>
    </row>
    <row r="191" spans="1:27" s="23" customFormat="1" x14ac:dyDescent="0.35">
      <c r="A191" s="54">
        <v>0</v>
      </c>
      <c r="C191" s="23">
        <v>1003944</v>
      </c>
      <c r="D191" s="23">
        <v>1</v>
      </c>
      <c r="E191" s="23">
        <v>1003990</v>
      </c>
      <c r="F191" s="23" t="s">
        <v>1755</v>
      </c>
      <c r="G191" s="5">
        <v>55</v>
      </c>
      <c r="H191" s="23">
        <v>12</v>
      </c>
      <c r="I191" s="23">
        <v>0</v>
      </c>
      <c r="J191" s="23">
        <v>0</v>
      </c>
      <c r="K191" s="23" t="s">
        <v>24</v>
      </c>
      <c r="L191" s="23" t="s">
        <v>597</v>
      </c>
      <c r="M191" s="23" t="s">
        <v>1922</v>
      </c>
      <c r="N191" s="24">
        <v>45834</v>
      </c>
      <c r="O191" s="28">
        <v>3.8194444444444448E-2</v>
      </c>
      <c r="P191" s="3">
        <v>45817</v>
      </c>
      <c r="Q191" s="62">
        <v>45810.173472222232</v>
      </c>
      <c r="R191" s="72">
        <v>45810.211666666677</v>
      </c>
      <c r="S191" s="25">
        <v>0.21111111111111111</v>
      </c>
      <c r="T191" s="63">
        <v>6.999444444430992</v>
      </c>
      <c r="U191" s="47" t="str">
        <f>IFERROR(INDEX(NOVO!O:O,MATCH(PRINT!E345,NOVO!C:C,0)),"")</f>
        <v/>
      </c>
      <c r="AA191" s="40">
        <v>176366</v>
      </c>
    </row>
    <row r="192" spans="1:27" s="23" customFormat="1" x14ac:dyDescent="0.35">
      <c r="A192" s="54">
        <v>0</v>
      </c>
      <c r="C192" s="23">
        <v>1003944</v>
      </c>
      <c r="D192" s="23">
        <v>1</v>
      </c>
      <c r="E192" s="23">
        <v>1003974</v>
      </c>
      <c r="F192" s="23" t="s">
        <v>1754</v>
      </c>
      <c r="G192" s="5">
        <v>10</v>
      </c>
      <c r="H192" s="23">
        <v>12</v>
      </c>
      <c r="I192" s="23">
        <v>0</v>
      </c>
      <c r="J192" s="23">
        <v>0</v>
      </c>
      <c r="K192" s="23" t="s">
        <v>24</v>
      </c>
      <c r="L192" s="23" t="s">
        <v>597</v>
      </c>
      <c r="M192" s="23" t="s">
        <v>1922</v>
      </c>
      <c r="N192" s="24">
        <v>45834</v>
      </c>
      <c r="O192" s="28">
        <v>6.9444444444444441E-3</v>
      </c>
      <c r="P192" s="3">
        <v>45817</v>
      </c>
      <c r="Q192" s="62">
        <v>45810.166527777787</v>
      </c>
      <c r="R192" s="72">
        <v>45810.173472222232</v>
      </c>
      <c r="S192" s="25">
        <v>0.17291666666666666</v>
      </c>
      <c r="T192" s="63">
        <v>6.999444444438268</v>
      </c>
      <c r="U192" s="47">
        <f>IFERROR(INDEX(NOVO!O:O,MATCH(PRINT!E344,NOVO!C:C,0)),"")</f>
        <v>227549</v>
      </c>
      <c r="AA192" s="40">
        <v>176367</v>
      </c>
    </row>
    <row r="193" spans="1:27" s="23" customFormat="1" x14ac:dyDescent="0.35">
      <c r="A193" s="54">
        <v>0</v>
      </c>
      <c r="C193" s="23">
        <v>1003943</v>
      </c>
      <c r="D193" s="23">
        <v>1</v>
      </c>
      <c r="E193" s="23">
        <v>1003974</v>
      </c>
      <c r="F193" s="23" t="s">
        <v>1754</v>
      </c>
      <c r="G193" s="5">
        <v>10</v>
      </c>
      <c r="H193" s="23">
        <v>12</v>
      </c>
      <c r="I193" s="23">
        <v>0</v>
      </c>
      <c r="J193" s="23">
        <v>0</v>
      </c>
      <c r="K193" s="23" t="s">
        <v>24</v>
      </c>
      <c r="L193" s="23" t="s">
        <v>597</v>
      </c>
      <c r="M193" s="23" t="s">
        <v>1922</v>
      </c>
      <c r="N193" s="24">
        <v>45834</v>
      </c>
      <c r="O193" s="28">
        <v>6.9444444444444441E-3</v>
      </c>
      <c r="P193" s="3">
        <v>45817</v>
      </c>
      <c r="Q193" s="62">
        <v>45810.159583333341</v>
      </c>
      <c r="R193" s="72">
        <v>45810.166527777787</v>
      </c>
      <c r="S193" s="25">
        <v>0.16597222222222222</v>
      </c>
      <c r="T193" s="63">
        <v>6.999444444438268</v>
      </c>
      <c r="U193" s="47">
        <f>IFERROR(INDEX(NOVO!O:O,MATCH(PRINT!E343,NOVO!C:C,0)),"")</f>
        <v>227549</v>
      </c>
      <c r="AA193" s="40">
        <v>176368</v>
      </c>
    </row>
    <row r="194" spans="1:27" s="23" customFormat="1" x14ac:dyDescent="0.35">
      <c r="A194" s="54">
        <v>0</v>
      </c>
      <c r="C194" s="23">
        <v>1003943</v>
      </c>
      <c r="D194" s="23">
        <v>1</v>
      </c>
      <c r="E194" s="23">
        <v>1003990</v>
      </c>
      <c r="F194" s="23" t="s">
        <v>1755</v>
      </c>
      <c r="G194" s="5">
        <v>55</v>
      </c>
      <c r="H194" s="23">
        <v>12</v>
      </c>
      <c r="I194" s="23">
        <v>0</v>
      </c>
      <c r="J194" s="23">
        <v>0</v>
      </c>
      <c r="K194" s="23" t="s">
        <v>24</v>
      </c>
      <c r="L194" s="23" t="s">
        <v>597</v>
      </c>
      <c r="M194" s="23" t="s">
        <v>1922</v>
      </c>
      <c r="N194" s="24">
        <v>45834</v>
      </c>
      <c r="O194" s="28">
        <v>3.8194444444444448E-2</v>
      </c>
      <c r="P194" s="3">
        <v>45817</v>
      </c>
      <c r="Q194" s="62">
        <v>45810.121388888896</v>
      </c>
      <c r="R194" s="72">
        <v>45810.159583333341</v>
      </c>
      <c r="S194" s="25">
        <v>0.15902777777777777</v>
      </c>
      <c r="T194" s="63">
        <v>6.999444444438268</v>
      </c>
      <c r="U194" s="47">
        <f>IFERROR(INDEX(NOVO!O:O,MATCH(PRINT!E342,NOVO!C:C,0)),"")</f>
        <v>227566</v>
      </c>
      <c r="AA194" s="40">
        <v>176369</v>
      </c>
    </row>
    <row r="195" spans="1:27" s="23" customFormat="1" x14ac:dyDescent="0.35">
      <c r="A195" s="54">
        <v>0</v>
      </c>
      <c r="C195" s="23">
        <v>1003942</v>
      </c>
      <c r="D195" s="23">
        <v>1</v>
      </c>
      <c r="E195" s="23">
        <v>1003990</v>
      </c>
      <c r="F195" s="23" t="s">
        <v>1755</v>
      </c>
      <c r="G195" s="5">
        <v>24</v>
      </c>
      <c r="H195" s="23">
        <v>12</v>
      </c>
      <c r="I195" s="23">
        <v>0</v>
      </c>
      <c r="J195" s="23">
        <v>0</v>
      </c>
      <c r="K195" s="23" t="s">
        <v>24</v>
      </c>
      <c r="L195" s="23" t="s">
        <v>597</v>
      </c>
      <c r="M195" s="23" t="s">
        <v>1922</v>
      </c>
      <c r="N195" s="24">
        <v>45834</v>
      </c>
      <c r="O195" s="28">
        <v>1.7222222222222222E-2</v>
      </c>
      <c r="P195" s="3">
        <v>45817</v>
      </c>
      <c r="Q195" s="62">
        <v>45810.104166666672</v>
      </c>
      <c r="R195" s="72">
        <v>45810.121388888896</v>
      </c>
      <c r="S195" s="25">
        <v>0.12083333333333333</v>
      </c>
      <c r="T195" s="63">
        <v>6.999444444438268</v>
      </c>
      <c r="U195" s="47">
        <f>IFERROR(INDEX(NOVO!O:O,MATCH(PRINT!E341,NOVO!C:C,0)),"")</f>
        <v>227566</v>
      </c>
      <c r="AA195" s="40">
        <v>176370</v>
      </c>
    </row>
    <row r="196" spans="1:27" s="23" customFormat="1" x14ac:dyDescent="0.35">
      <c r="A196" s="54"/>
      <c r="G196" s="5"/>
      <c r="N196" s="24" t="s">
        <v>198</v>
      </c>
      <c r="O196" s="28">
        <v>2.0833333333333332E-2</v>
      </c>
      <c r="P196" s="3">
        <v>45817</v>
      </c>
      <c r="Q196" s="62">
        <v>45810.083333333336</v>
      </c>
      <c r="R196" s="72">
        <v>45810.104166666672</v>
      </c>
      <c r="S196" s="25">
        <v>0.10416666666666667</v>
      </c>
      <c r="T196" s="63">
        <v>6.999999999992724</v>
      </c>
      <c r="U196" s="47">
        <f>IFERROR(INDEX(NOVO!O:O,MATCH(PRINT!E340,NOVO!C:C,0)),"")</f>
        <v>227549</v>
      </c>
      <c r="AA196" s="40">
        <v>176371</v>
      </c>
    </row>
    <row r="197" spans="1:27" s="23" customFormat="1" x14ac:dyDescent="0.35">
      <c r="A197" s="54">
        <v>0</v>
      </c>
      <c r="C197" s="23">
        <v>1003942</v>
      </c>
      <c r="D197" s="23">
        <v>1</v>
      </c>
      <c r="E197" s="23">
        <v>1003990</v>
      </c>
      <c r="F197" s="23" t="s">
        <v>1755</v>
      </c>
      <c r="G197" s="5">
        <v>30</v>
      </c>
      <c r="H197" s="23">
        <v>12</v>
      </c>
      <c r="I197" s="23">
        <v>0</v>
      </c>
      <c r="J197" s="23">
        <v>0</v>
      </c>
      <c r="K197" s="23" t="s">
        <v>24</v>
      </c>
      <c r="L197" s="23" t="s">
        <v>597</v>
      </c>
      <c r="M197" s="23" t="s">
        <v>1922</v>
      </c>
      <c r="N197" s="24">
        <v>45834</v>
      </c>
      <c r="O197" s="28">
        <v>2.0972222220734693E-2</v>
      </c>
      <c r="P197" s="3">
        <v>45817</v>
      </c>
      <c r="Q197" s="62">
        <v>45810.062361111115</v>
      </c>
      <c r="R197" s="72">
        <v>45810.083333333336</v>
      </c>
      <c r="S197" s="25">
        <v>8.3333333333333329E-2</v>
      </c>
      <c r="T197" s="63">
        <v>7</v>
      </c>
      <c r="U197" s="47">
        <f>IFERROR(INDEX(NOVO!O:O,MATCH(PRINT!E339,NOVO!C:C,0)),"")</f>
        <v>227549</v>
      </c>
      <c r="AA197" s="40">
        <v>176372</v>
      </c>
    </row>
    <row r="198" spans="1:27" s="23" customFormat="1" x14ac:dyDescent="0.35">
      <c r="A198" s="54">
        <v>0</v>
      </c>
      <c r="C198" s="23">
        <v>1003942</v>
      </c>
      <c r="D198" s="23">
        <v>1</v>
      </c>
      <c r="E198" s="23">
        <v>1003974</v>
      </c>
      <c r="F198" s="23" t="s">
        <v>1754</v>
      </c>
      <c r="G198" s="5">
        <v>10</v>
      </c>
      <c r="H198" s="23">
        <v>12</v>
      </c>
      <c r="I198" s="23">
        <v>0</v>
      </c>
      <c r="J198" s="23">
        <v>0</v>
      </c>
      <c r="K198" s="23" t="s">
        <v>24</v>
      </c>
      <c r="L198" s="23" t="s">
        <v>597</v>
      </c>
      <c r="M198" s="23" t="s">
        <v>1922</v>
      </c>
      <c r="N198" s="24">
        <v>45834</v>
      </c>
      <c r="O198" s="28">
        <v>6.9444444444444441E-3</v>
      </c>
      <c r="P198" s="3">
        <v>45817</v>
      </c>
      <c r="Q198" s="62">
        <v>45810.05541666667</v>
      </c>
      <c r="R198" s="72">
        <v>45810.062361111115</v>
      </c>
      <c r="S198" s="25">
        <v>6.1805555555555558E-2</v>
      </c>
      <c r="T198" s="63">
        <v>6.999444444438268</v>
      </c>
      <c r="U198" s="47">
        <f>IFERROR(INDEX(NOVO!O:O,MATCH(PRINT!E338,NOVO!C:C,0)),"")</f>
        <v>227566</v>
      </c>
      <c r="AA198" s="40">
        <v>176373</v>
      </c>
    </row>
    <row r="199" spans="1:27" s="23" customFormat="1" x14ac:dyDescent="0.35">
      <c r="A199" s="54">
        <v>0</v>
      </c>
      <c r="C199" s="23">
        <v>1017214</v>
      </c>
      <c r="D199" s="23">
        <v>7</v>
      </c>
      <c r="E199" s="23">
        <v>1017203</v>
      </c>
      <c r="F199" s="23" t="s">
        <v>1920</v>
      </c>
      <c r="G199" s="5">
        <v>409</v>
      </c>
      <c r="H199" s="23">
        <v>7</v>
      </c>
      <c r="I199" s="23">
        <v>0</v>
      </c>
      <c r="J199" s="23">
        <v>0</v>
      </c>
      <c r="K199" s="23" t="s">
        <v>24</v>
      </c>
      <c r="L199" s="23" t="s">
        <v>597</v>
      </c>
      <c r="M199" s="23" t="s">
        <v>1921</v>
      </c>
      <c r="N199" s="24">
        <v>45828</v>
      </c>
      <c r="O199" s="28">
        <v>0.28458333333333335</v>
      </c>
      <c r="P199" s="3">
        <v>45812</v>
      </c>
      <c r="Q199" s="62">
        <v>45809.770833333336</v>
      </c>
      <c r="R199" s="72">
        <v>45810.05541666667</v>
      </c>
      <c r="S199" s="25">
        <v>5.486111111111111E-2</v>
      </c>
      <c r="T199" s="63">
        <v>1.999444444438268</v>
      </c>
      <c r="U199" s="47">
        <f>IFERROR(INDEX(NOVO!O:O,MATCH(PRINT!E337,NOVO!C:C,0)),"")</f>
        <v>227566</v>
      </c>
      <c r="AA199" s="40">
        <v>176374</v>
      </c>
    </row>
    <row r="200" spans="1:27" s="23" customFormat="1" x14ac:dyDescent="0.35">
      <c r="A200" s="54"/>
      <c r="G200" s="5"/>
      <c r="N200" s="24" t="s">
        <v>198</v>
      </c>
      <c r="O200" s="28">
        <v>2.0833333333333332E-2</v>
      </c>
      <c r="P200" s="3">
        <v>45812</v>
      </c>
      <c r="Q200" s="62">
        <v>45809.75</v>
      </c>
      <c r="R200" s="72">
        <v>45809.770833333336</v>
      </c>
      <c r="S200" s="25">
        <v>0.77083333333333337</v>
      </c>
      <c r="T200" s="63">
        <v>3</v>
      </c>
      <c r="U200" s="47">
        <f>IFERROR(INDEX(NOVO!O:O,MATCH(PRINT!E336,NOVO!C:C,0)),"")</f>
        <v>227549</v>
      </c>
      <c r="AA200" s="40">
        <v>176375</v>
      </c>
    </row>
    <row r="201" spans="1:27" s="23" customFormat="1" x14ac:dyDescent="0.35">
      <c r="A201" s="54">
        <v>0</v>
      </c>
      <c r="C201" s="23">
        <v>1017214</v>
      </c>
      <c r="D201" s="23">
        <v>7</v>
      </c>
      <c r="E201" s="23">
        <v>1017203</v>
      </c>
      <c r="F201" s="23" t="s">
        <v>1920</v>
      </c>
      <c r="G201" s="5">
        <v>220</v>
      </c>
      <c r="H201" s="23">
        <v>7</v>
      </c>
      <c r="I201" s="23">
        <v>0</v>
      </c>
      <c r="J201" s="23">
        <v>0</v>
      </c>
      <c r="K201" s="23" t="s">
        <v>24</v>
      </c>
      <c r="L201" s="23" t="s">
        <v>597</v>
      </c>
      <c r="M201" s="23" t="s">
        <v>1921</v>
      </c>
      <c r="N201" s="24">
        <v>45828</v>
      </c>
      <c r="O201" s="28">
        <v>0.15291666667326353</v>
      </c>
      <c r="P201" s="3">
        <v>45812</v>
      </c>
      <c r="Q201" s="62">
        <v>45809.597083333327</v>
      </c>
      <c r="R201" s="72">
        <v>45809.75</v>
      </c>
      <c r="S201" s="25">
        <v>0.75</v>
      </c>
      <c r="T201" s="63">
        <v>3</v>
      </c>
      <c r="U201" s="47">
        <f>IFERROR(INDEX(NOVO!O:O,MATCH(PRINT!E335,NOVO!C:C,0)),"")</f>
        <v>227566</v>
      </c>
      <c r="AA201" s="40">
        <v>176376</v>
      </c>
    </row>
    <row r="202" spans="1:27" s="23" customFormat="1" x14ac:dyDescent="0.35">
      <c r="A202" s="54">
        <v>0</v>
      </c>
      <c r="C202" s="23">
        <v>1014275</v>
      </c>
      <c r="D202" s="23">
        <v>1</v>
      </c>
      <c r="E202" s="23">
        <v>1014277</v>
      </c>
      <c r="F202" s="23" t="s">
        <v>340</v>
      </c>
      <c r="G202" s="5">
        <v>50</v>
      </c>
      <c r="H202" s="23">
        <v>1</v>
      </c>
      <c r="I202" s="23">
        <v>0</v>
      </c>
      <c r="J202" s="23">
        <v>0</v>
      </c>
      <c r="K202" s="23" t="s">
        <v>24</v>
      </c>
      <c r="L202" s="23" t="s">
        <v>597</v>
      </c>
      <c r="M202" s="23" t="s">
        <v>1919</v>
      </c>
      <c r="N202" s="24">
        <v>45832</v>
      </c>
      <c r="O202" s="28">
        <v>3.4722222222222224E-2</v>
      </c>
      <c r="P202" s="3">
        <v>45812</v>
      </c>
      <c r="Q202" s="62">
        <v>45809.562361111108</v>
      </c>
      <c r="R202" s="72">
        <v>45809.597083333327</v>
      </c>
      <c r="S202" s="25">
        <v>0.59652777777777777</v>
      </c>
      <c r="T202" s="63">
        <v>2.9994444444528199</v>
      </c>
      <c r="U202" s="47">
        <f>IFERROR(INDEX(NOVO!O:O,MATCH(PRINT!E334,NOVO!C:C,0)),"")</f>
        <v>227549</v>
      </c>
      <c r="AA202" s="40">
        <v>176377</v>
      </c>
    </row>
    <row r="203" spans="1:27" s="23" customFormat="1" x14ac:dyDescent="0.35">
      <c r="A203" s="54">
        <v>0</v>
      </c>
      <c r="C203" s="23">
        <v>1014246</v>
      </c>
      <c r="D203" s="23">
        <v>1</v>
      </c>
      <c r="E203" s="23">
        <v>1014252</v>
      </c>
      <c r="F203" s="23" t="s">
        <v>1918</v>
      </c>
      <c r="G203" s="5">
        <v>30</v>
      </c>
      <c r="H203" s="23">
        <v>1</v>
      </c>
      <c r="I203" s="23">
        <v>0</v>
      </c>
      <c r="J203" s="23">
        <v>0</v>
      </c>
      <c r="K203" s="23" t="s">
        <v>24</v>
      </c>
      <c r="L203" s="23" t="s">
        <v>597</v>
      </c>
      <c r="M203" s="23" t="s">
        <v>1916</v>
      </c>
      <c r="N203" s="24">
        <v>45832</v>
      </c>
      <c r="O203" s="28">
        <v>2.0833333333333332E-2</v>
      </c>
      <c r="P203" s="3">
        <v>45812</v>
      </c>
      <c r="Q203" s="62">
        <v>45809.541527777772</v>
      </c>
      <c r="R203" s="72">
        <v>45809.562361111108</v>
      </c>
      <c r="S203" s="25">
        <v>0.56180555555555556</v>
      </c>
      <c r="T203" s="63">
        <v>2.9994444444455439</v>
      </c>
      <c r="U203" s="47">
        <f>IFERROR(INDEX(NOVO!O:O,MATCH(PRINT!E333,NOVO!C:C,0)),"")</f>
        <v>220643</v>
      </c>
      <c r="AA203" s="40">
        <v>176378</v>
      </c>
    </row>
    <row r="204" spans="1:27" s="23" customFormat="1" x14ac:dyDescent="0.35">
      <c r="A204" s="54">
        <v>25</v>
      </c>
      <c r="C204" s="23">
        <v>1014246</v>
      </c>
      <c r="D204" s="23">
        <v>1</v>
      </c>
      <c r="E204" s="23">
        <v>1014266</v>
      </c>
      <c r="F204" s="23" t="s">
        <v>1917</v>
      </c>
      <c r="G204" s="5">
        <v>50</v>
      </c>
      <c r="H204" s="23">
        <v>2</v>
      </c>
      <c r="I204" s="23">
        <v>1</v>
      </c>
      <c r="J204" s="23">
        <v>25</v>
      </c>
      <c r="K204" s="23" t="s">
        <v>24</v>
      </c>
      <c r="L204" s="23" t="s">
        <v>597</v>
      </c>
      <c r="M204" s="23" t="s">
        <v>1916</v>
      </c>
      <c r="N204" s="24">
        <v>45832</v>
      </c>
      <c r="O204" s="28">
        <v>3.4722222222222224E-2</v>
      </c>
      <c r="P204" s="3">
        <v>45812</v>
      </c>
      <c r="Q204" s="62">
        <v>45809.506805555553</v>
      </c>
      <c r="R204" s="72">
        <v>45809.541527777772</v>
      </c>
      <c r="S204" s="25">
        <v>0.54097222222222219</v>
      </c>
      <c r="T204" s="63">
        <v>2.9994444444528199</v>
      </c>
      <c r="U204" s="47">
        <f>IFERROR(INDEX(NOVO!O:O,MATCH(PRINT!E332,NOVO!C:C,0)),"")</f>
        <v>220642</v>
      </c>
      <c r="AA204" s="40">
        <v>176379</v>
      </c>
    </row>
    <row r="205" spans="1:27" s="23" customFormat="1" x14ac:dyDescent="0.35">
      <c r="A205" s="54">
        <v>30</v>
      </c>
      <c r="C205" s="23">
        <v>1014246</v>
      </c>
      <c r="D205" s="23">
        <v>1</v>
      </c>
      <c r="E205" s="23">
        <v>1014265</v>
      </c>
      <c r="F205" s="23" t="s">
        <v>1915</v>
      </c>
      <c r="G205" s="5">
        <v>60</v>
      </c>
      <c r="H205" s="23">
        <v>2</v>
      </c>
      <c r="I205" s="23">
        <v>1</v>
      </c>
      <c r="J205" s="23">
        <v>30</v>
      </c>
      <c r="K205" s="23" t="s">
        <v>24</v>
      </c>
      <c r="L205" s="23" t="s">
        <v>597</v>
      </c>
      <c r="M205" s="23" t="s">
        <v>1916</v>
      </c>
      <c r="N205" s="24">
        <v>45832</v>
      </c>
      <c r="O205" s="28">
        <v>4.1666666666666664E-2</v>
      </c>
      <c r="P205" s="3">
        <v>45812</v>
      </c>
      <c r="Q205" s="62">
        <v>45809.465138888889</v>
      </c>
      <c r="R205" s="72">
        <v>45809.506805555553</v>
      </c>
      <c r="S205" s="25">
        <v>0.50624999999999998</v>
      </c>
      <c r="T205" s="63">
        <v>2.9994444444455439</v>
      </c>
      <c r="U205" s="47">
        <f>IFERROR(INDEX(NOVO!O:O,MATCH(PRINT!E331,NOVO!C:C,0)),"")</f>
        <v>220642</v>
      </c>
      <c r="AA205" s="40">
        <v>176380</v>
      </c>
    </row>
    <row r="206" spans="1:27" s="23" customFormat="1" x14ac:dyDescent="0.35">
      <c r="A206" s="54">
        <v>0</v>
      </c>
      <c r="C206" s="23">
        <v>1024358</v>
      </c>
      <c r="D206" s="23">
        <v>2</v>
      </c>
      <c r="E206" s="23">
        <v>1024353</v>
      </c>
      <c r="F206" s="23" t="s">
        <v>239</v>
      </c>
      <c r="G206" s="5">
        <v>20</v>
      </c>
      <c r="H206" s="23">
        <v>2</v>
      </c>
      <c r="I206" s="23">
        <v>0</v>
      </c>
      <c r="J206" s="23">
        <v>0</v>
      </c>
      <c r="K206" s="23" t="s">
        <v>24</v>
      </c>
      <c r="L206" s="23" t="s">
        <v>597</v>
      </c>
      <c r="M206" s="23" t="s">
        <v>1914</v>
      </c>
      <c r="N206" s="24">
        <v>45814</v>
      </c>
      <c r="O206" s="28">
        <v>1.3888888888888888E-2</v>
      </c>
      <c r="P206" s="3">
        <v>45811</v>
      </c>
      <c r="Q206" s="62">
        <v>45809.451249999998</v>
      </c>
      <c r="R206" s="72">
        <v>45809.465138888889</v>
      </c>
      <c r="S206" s="25">
        <v>0.46458333333333335</v>
      </c>
      <c r="T206" s="63">
        <v>1.9994444444455439</v>
      </c>
      <c r="U206" s="47">
        <f>IFERROR(INDEX(NOVO!O:O,MATCH(PRINT!E330,NOVO!C:C,0)),"")</f>
        <v>220643</v>
      </c>
      <c r="AA206" s="40">
        <v>176381</v>
      </c>
    </row>
    <row r="207" spans="1:27" s="23" customFormat="1" x14ac:dyDescent="0.35">
      <c r="A207" s="54">
        <v>0</v>
      </c>
      <c r="C207" s="23">
        <v>1003860</v>
      </c>
      <c r="D207" s="23">
        <v>1</v>
      </c>
      <c r="E207" s="23">
        <v>1003897</v>
      </c>
      <c r="F207" s="23" t="s">
        <v>1755</v>
      </c>
      <c r="G207" s="5">
        <v>19</v>
      </c>
      <c r="H207" s="23">
        <v>12</v>
      </c>
      <c r="I207" s="23">
        <v>0</v>
      </c>
      <c r="J207" s="23">
        <v>0</v>
      </c>
      <c r="K207" s="23" t="s">
        <v>24</v>
      </c>
      <c r="L207" s="23" t="s">
        <v>597</v>
      </c>
      <c r="M207" s="23" t="s">
        <v>1913</v>
      </c>
      <c r="N207" s="24">
        <v>45826</v>
      </c>
      <c r="O207" s="28">
        <v>1.375E-2</v>
      </c>
      <c r="P207" s="3">
        <v>45811</v>
      </c>
      <c r="Q207" s="62">
        <v>45809.4375</v>
      </c>
      <c r="R207" s="72">
        <v>45809.451249999998</v>
      </c>
      <c r="S207" s="25">
        <v>0.45069444444444445</v>
      </c>
      <c r="T207" s="63">
        <v>1.9994444444455439</v>
      </c>
      <c r="U207" s="47">
        <f>IFERROR(INDEX(NOVO!O:O,MATCH(PRINT!E329,NOVO!C:C,0)),"")</f>
        <v>220642</v>
      </c>
      <c r="AA207" s="40">
        <v>176382</v>
      </c>
    </row>
    <row r="208" spans="1:27" s="23" customFormat="1" x14ac:dyDescent="0.35">
      <c r="A208" s="54"/>
      <c r="G208" s="5"/>
      <c r="N208" s="24" t="s">
        <v>198</v>
      </c>
      <c r="O208" s="28">
        <v>2.0833333333333332E-2</v>
      </c>
      <c r="P208" s="3">
        <v>45811</v>
      </c>
      <c r="Q208" s="62">
        <v>45809.416666666664</v>
      </c>
      <c r="R208" s="72">
        <v>45809.4375</v>
      </c>
      <c r="S208" s="25">
        <v>0.4375</v>
      </c>
      <c r="T208" s="63">
        <v>2</v>
      </c>
      <c r="U208" s="47">
        <f>IFERROR(INDEX(NOVO!O:O,MATCH(PRINT!E328,NOVO!C:C,0)),"")</f>
        <v>220643</v>
      </c>
      <c r="AA208" s="40">
        <v>176382</v>
      </c>
    </row>
    <row r="209" spans="1:27" s="23" customFormat="1" x14ac:dyDescent="0.35">
      <c r="A209" s="54">
        <v>0</v>
      </c>
      <c r="C209" s="23">
        <v>1003860</v>
      </c>
      <c r="D209" s="23">
        <v>1</v>
      </c>
      <c r="E209" s="23">
        <v>1003897</v>
      </c>
      <c r="F209" s="23" t="s">
        <v>1755</v>
      </c>
      <c r="G209" s="5">
        <v>35</v>
      </c>
      <c r="H209" s="23">
        <v>12</v>
      </c>
      <c r="I209" s="23">
        <v>0</v>
      </c>
      <c r="J209" s="23">
        <v>0</v>
      </c>
      <c r="K209" s="23" t="s">
        <v>24</v>
      </c>
      <c r="L209" s="23" t="s">
        <v>597</v>
      </c>
      <c r="M209" s="23" t="s">
        <v>1913</v>
      </c>
      <c r="N209" s="24">
        <v>45826</v>
      </c>
      <c r="O209" s="28">
        <v>2.4444444425171241E-2</v>
      </c>
      <c r="P209" s="3">
        <v>45811</v>
      </c>
      <c r="Q209" s="62">
        <v>45809.392222222239</v>
      </c>
      <c r="R209" s="72">
        <v>45809.416666666664</v>
      </c>
      <c r="S209" s="25">
        <v>0.41666666666666669</v>
      </c>
      <c r="T209" s="63">
        <v>2</v>
      </c>
      <c r="U209" s="47" t="str">
        <f>IFERROR(INDEX(NOVO!O:O,MATCH(PRINT!E327,NOVO!C:C,0)),"")</f>
        <v/>
      </c>
      <c r="AA209" s="40">
        <v>176383</v>
      </c>
    </row>
    <row r="210" spans="1:27" s="23" customFormat="1" x14ac:dyDescent="0.35">
      <c r="A210" s="54">
        <v>0</v>
      </c>
      <c r="C210" s="23">
        <v>1003860</v>
      </c>
      <c r="D210" s="23">
        <v>1</v>
      </c>
      <c r="E210" s="23">
        <v>1003881</v>
      </c>
      <c r="F210" s="23" t="s">
        <v>1754</v>
      </c>
      <c r="G210" s="5">
        <v>10</v>
      </c>
      <c r="H210" s="23">
        <v>12</v>
      </c>
      <c r="I210" s="23">
        <v>0</v>
      </c>
      <c r="J210" s="23">
        <v>0</v>
      </c>
      <c r="K210" s="23" t="s">
        <v>24</v>
      </c>
      <c r="L210" s="23" t="s">
        <v>597</v>
      </c>
      <c r="M210" s="23" t="s">
        <v>1913</v>
      </c>
      <c r="N210" s="24">
        <v>45826</v>
      </c>
      <c r="O210" s="28">
        <v>6.9444444444444441E-3</v>
      </c>
      <c r="P210" s="3">
        <v>45811</v>
      </c>
      <c r="Q210" s="62">
        <v>45809.385277777794</v>
      </c>
      <c r="R210" s="72">
        <v>45809.392222222239</v>
      </c>
      <c r="S210" s="25">
        <v>0.39166666666666666</v>
      </c>
      <c r="T210" s="63">
        <v>1.999444444430992</v>
      </c>
      <c r="U210" s="47">
        <f>IFERROR(INDEX(NOVO!O:O,MATCH(PRINT!E326,NOVO!C:C,0)),"")</f>
        <v>220643</v>
      </c>
      <c r="AA210" s="40">
        <v>176384</v>
      </c>
    </row>
    <row r="211" spans="1:27" s="23" customFormat="1" x14ac:dyDescent="0.35">
      <c r="A211" s="54">
        <v>0</v>
      </c>
      <c r="C211" s="23">
        <v>1003859</v>
      </c>
      <c r="D211" s="23">
        <v>1</v>
      </c>
      <c r="E211" s="23">
        <v>1003897</v>
      </c>
      <c r="F211" s="23" t="s">
        <v>1755</v>
      </c>
      <c r="G211" s="5">
        <v>55</v>
      </c>
      <c r="H211" s="23">
        <v>12</v>
      </c>
      <c r="I211" s="23">
        <v>0</v>
      </c>
      <c r="J211" s="23">
        <v>0</v>
      </c>
      <c r="K211" s="23" t="s">
        <v>24</v>
      </c>
      <c r="L211" s="23" t="s">
        <v>597</v>
      </c>
      <c r="M211" s="23" t="s">
        <v>1913</v>
      </c>
      <c r="N211" s="24">
        <v>45826</v>
      </c>
      <c r="O211" s="28">
        <v>3.8194444444444448E-2</v>
      </c>
      <c r="P211" s="3">
        <v>45811</v>
      </c>
      <c r="Q211" s="62">
        <v>45809.347083333349</v>
      </c>
      <c r="R211" s="72">
        <v>45809.385277777794</v>
      </c>
      <c r="S211" s="25">
        <v>0.38472222222222224</v>
      </c>
      <c r="T211" s="63">
        <v>1.999444444430992</v>
      </c>
      <c r="U211" s="47">
        <f>IFERROR(INDEX(NOVO!O:O,MATCH(PRINT!E325,NOVO!C:C,0)),"")</f>
        <v>220643</v>
      </c>
      <c r="AA211" s="40">
        <v>176385</v>
      </c>
    </row>
    <row r="212" spans="1:27" s="23" customFormat="1" x14ac:dyDescent="0.35">
      <c r="A212" s="54">
        <v>0</v>
      </c>
      <c r="C212" s="23">
        <v>1003859</v>
      </c>
      <c r="D212" s="23">
        <v>1</v>
      </c>
      <c r="E212" s="23">
        <v>1003881</v>
      </c>
      <c r="F212" s="23" t="s">
        <v>1754</v>
      </c>
      <c r="G212" s="5">
        <v>10</v>
      </c>
      <c r="H212" s="23">
        <v>12</v>
      </c>
      <c r="I212" s="23">
        <v>0</v>
      </c>
      <c r="J212" s="23">
        <v>0</v>
      </c>
      <c r="K212" s="23" t="s">
        <v>24</v>
      </c>
      <c r="L212" s="23" t="s">
        <v>597</v>
      </c>
      <c r="M212" s="23" t="s">
        <v>1913</v>
      </c>
      <c r="N212" s="24">
        <v>45826</v>
      </c>
      <c r="O212" s="28">
        <v>6.9444444444444441E-3</v>
      </c>
      <c r="P212" s="3">
        <v>45811</v>
      </c>
      <c r="Q212" s="62">
        <v>45809.340138888903</v>
      </c>
      <c r="R212" s="72">
        <v>45809.347083333349</v>
      </c>
      <c r="S212" s="25">
        <v>0.34652777777777777</v>
      </c>
      <c r="T212" s="63">
        <v>1.999444444430992</v>
      </c>
      <c r="U212" s="47">
        <f>IFERROR(INDEX(NOVO!O:O,MATCH(PRINT!E324,NOVO!C:C,0)),"")</f>
        <v>220642</v>
      </c>
      <c r="AA212" s="40">
        <v>176386</v>
      </c>
    </row>
    <row r="213" spans="1:27" s="23" customFormat="1" x14ac:dyDescent="0.35">
      <c r="A213" s="54">
        <v>0</v>
      </c>
      <c r="C213" s="23">
        <v>1003858</v>
      </c>
      <c r="D213" s="23">
        <v>1</v>
      </c>
      <c r="E213" s="23">
        <v>1003897</v>
      </c>
      <c r="F213" s="23" t="s">
        <v>1755</v>
      </c>
      <c r="G213" s="5">
        <v>55</v>
      </c>
      <c r="H213" s="23">
        <v>12</v>
      </c>
      <c r="I213" s="23">
        <v>0</v>
      </c>
      <c r="J213" s="23">
        <v>0</v>
      </c>
      <c r="K213" s="23" t="s">
        <v>24</v>
      </c>
      <c r="L213" s="23" t="s">
        <v>597</v>
      </c>
      <c r="M213" s="23" t="s">
        <v>1913</v>
      </c>
      <c r="N213" s="24">
        <v>45826</v>
      </c>
      <c r="O213" s="28">
        <v>3.8194444444444448E-2</v>
      </c>
      <c r="P213" s="3">
        <v>45811</v>
      </c>
      <c r="Q213" s="62">
        <v>45809.301944444458</v>
      </c>
      <c r="R213" s="72">
        <v>45809.340138888903</v>
      </c>
      <c r="S213" s="25">
        <v>0.33958333333333335</v>
      </c>
      <c r="T213" s="63">
        <v>1.999444444430992</v>
      </c>
      <c r="U213" s="47">
        <f>IFERROR(INDEX(NOVO!O:O,MATCH(PRINT!E323,NOVO!C:C,0)),"")</f>
        <v>220643</v>
      </c>
      <c r="AA213" s="40">
        <v>176387</v>
      </c>
    </row>
    <row r="214" spans="1:27" s="23" customFormat="1" x14ac:dyDescent="0.35">
      <c r="A214" s="54">
        <v>0</v>
      </c>
      <c r="C214" s="23">
        <v>1003858</v>
      </c>
      <c r="D214" s="23">
        <v>1</v>
      </c>
      <c r="E214" s="23">
        <v>1003881</v>
      </c>
      <c r="F214" s="23" t="s">
        <v>1754</v>
      </c>
      <c r="G214" s="5">
        <v>10</v>
      </c>
      <c r="H214" s="23">
        <v>12</v>
      </c>
      <c r="I214" s="23">
        <v>0</v>
      </c>
      <c r="J214" s="23">
        <v>0</v>
      </c>
      <c r="K214" s="23" t="s">
        <v>24</v>
      </c>
      <c r="L214" s="23" t="s">
        <v>597</v>
      </c>
      <c r="M214" s="23" t="s">
        <v>1913</v>
      </c>
      <c r="N214" s="24">
        <v>45826</v>
      </c>
      <c r="O214" s="28">
        <v>6.9444444444444441E-3</v>
      </c>
      <c r="P214" s="3">
        <v>45811</v>
      </c>
      <c r="Q214" s="62">
        <v>45809.295000000013</v>
      </c>
      <c r="R214" s="72">
        <v>45809.301944444458</v>
      </c>
      <c r="S214" s="25">
        <v>0.30138888888888887</v>
      </c>
      <c r="T214" s="63">
        <v>1.999444444430992</v>
      </c>
      <c r="U214" s="47">
        <f>IFERROR(INDEX(NOVO!O:O,MATCH(PRINT!E322,NOVO!C:C,0)),"")</f>
        <v>220642</v>
      </c>
      <c r="AA214" s="40">
        <v>176388</v>
      </c>
    </row>
    <row r="215" spans="1:27" s="23" customFormat="1" x14ac:dyDescent="0.35">
      <c r="A215" s="54">
        <v>0</v>
      </c>
      <c r="C215" s="23">
        <v>1003857</v>
      </c>
      <c r="D215" s="23">
        <v>1</v>
      </c>
      <c r="E215" s="23">
        <v>1003881</v>
      </c>
      <c r="F215" s="23" t="s">
        <v>1754</v>
      </c>
      <c r="G215" s="5">
        <v>10</v>
      </c>
      <c r="H215" s="23">
        <v>12</v>
      </c>
      <c r="I215" s="23">
        <v>0</v>
      </c>
      <c r="J215" s="23">
        <v>0</v>
      </c>
      <c r="K215" s="23" t="s">
        <v>24</v>
      </c>
      <c r="L215" s="23" t="s">
        <v>597</v>
      </c>
      <c r="M215" s="23" t="s">
        <v>1913</v>
      </c>
      <c r="N215" s="24">
        <v>45826</v>
      </c>
      <c r="O215" s="28">
        <v>6.9444444444444441E-3</v>
      </c>
      <c r="P215" s="3">
        <v>45811</v>
      </c>
      <c r="Q215" s="62">
        <v>45809.288055555568</v>
      </c>
      <c r="R215" s="72">
        <v>45809.295000000013</v>
      </c>
      <c r="S215" s="25">
        <v>0.29444444444444445</v>
      </c>
      <c r="T215" s="63">
        <v>1.999444444430992</v>
      </c>
      <c r="U215" s="47">
        <f>IFERROR(INDEX(NOVO!O:O,MATCH(PRINT!E321,NOVO!C:C,0)),"")</f>
        <v>220643</v>
      </c>
      <c r="AA215" s="40">
        <v>176389</v>
      </c>
    </row>
    <row r="216" spans="1:27" s="23" customFormat="1" x14ac:dyDescent="0.35">
      <c r="A216" s="54">
        <v>0</v>
      </c>
      <c r="C216" s="23">
        <v>1003857</v>
      </c>
      <c r="D216" s="23">
        <v>1</v>
      </c>
      <c r="E216" s="23">
        <v>1003897</v>
      </c>
      <c r="F216" s="23" t="s">
        <v>1755</v>
      </c>
      <c r="G216" s="5">
        <v>55</v>
      </c>
      <c r="H216" s="23">
        <v>12</v>
      </c>
      <c r="I216" s="23">
        <v>0</v>
      </c>
      <c r="J216" s="23">
        <v>0</v>
      </c>
      <c r="K216" s="23" t="s">
        <v>24</v>
      </c>
      <c r="L216" s="23" t="s">
        <v>597</v>
      </c>
      <c r="M216" s="23" t="s">
        <v>1913</v>
      </c>
      <c r="N216" s="24">
        <v>45826</v>
      </c>
      <c r="O216" s="28">
        <v>3.8194444444444448E-2</v>
      </c>
      <c r="P216" s="3">
        <v>45811</v>
      </c>
      <c r="Q216" s="62">
        <v>45809.249861111122</v>
      </c>
      <c r="R216" s="72">
        <v>45809.288055555568</v>
      </c>
      <c r="S216" s="25">
        <v>0.28749999999999998</v>
      </c>
      <c r="T216" s="63">
        <v>1.999444444430992</v>
      </c>
      <c r="U216" s="47">
        <f>IFERROR(INDEX(NOVO!O:O,MATCH(PRINT!E320,NOVO!C:C,0)),"")</f>
        <v>220642</v>
      </c>
      <c r="AA216" s="40">
        <v>176475</v>
      </c>
    </row>
    <row r="217" spans="1:27" s="23" customFormat="1" x14ac:dyDescent="0.35">
      <c r="A217" s="54">
        <v>0</v>
      </c>
      <c r="C217" s="23">
        <v>1003856</v>
      </c>
      <c r="D217" s="23">
        <v>1</v>
      </c>
      <c r="E217" s="23">
        <v>1003897</v>
      </c>
      <c r="F217" s="23" t="s">
        <v>1755</v>
      </c>
      <c r="G217" s="5">
        <v>55</v>
      </c>
      <c r="H217" s="23">
        <v>12</v>
      </c>
      <c r="I217" s="23">
        <v>0</v>
      </c>
      <c r="J217" s="23">
        <v>0</v>
      </c>
      <c r="K217" s="23" t="s">
        <v>24</v>
      </c>
      <c r="L217" s="23" t="s">
        <v>597</v>
      </c>
      <c r="M217" s="23" t="s">
        <v>1913</v>
      </c>
      <c r="N217" s="24">
        <v>45826</v>
      </c>
      <c r="O217" s="28">
        <v>3.8194444444444448E-2</v>
      </c>
      <c r="P217" s="3">
        <v>45811</v>
      </c>
      <c r="Q217" s="62">
        <v>45809.211666666677</v>
      </c>
      <c r="R217" s="72">
        <v>45809.249861111122</v>
      </c>
      <c r="S217" s="25">
        <v>0.24930555555555556</v>
      </c>
      <c r="T217" s="63">
        <v>1.999444444430992</v>
      </c>
      <c r="U217" s="47">
        <f>IFERROR(INDEX(NOVO!O:O,MATCH(PRINT!E319,NOVO!C:C,0)),"")</f>
        <v>220642</v>
      </c>
      <c r="AA217" s="40">
        <v>176484</v>
      </c>
    </row>
    <row r="218" spans="1:27" s="23" customFormat="1" x14ac:dyDescent="0.35">
      <c r="A218" s="54">
        <v>0</v>
      </c>
      <c r="C218" s="23">
        <v>1003856</v>
      </c>
      <c r="D218" s="23">
        <v>1</v>
      </c>
      <c r="E218" s="23">
        <v>1003881</v>
      </c>
      <c r="F218" s="23" t="s">
        <v>1754</v>
      </c>
      <c r="G218" s="5">
        <v>10</v>
      </c>
      <c r="H218" s="23">
        <v>12</v>
      </c>
      <c r="I218" s="23">
        <v>0</v>
      </c>
      <c r="J218" s="23">
        <v>0</v>
      </c>
      <c r="K218" s="23" t="s">
        <v>24</v>
      </c>
      <c r="L218" s="23" t="s">
        <v>597</v>
      </c>
      <c r="M218" s="23" t="s">
        <v>1913</v>
      </c>
      <c r="N218" s="24">
        <v>45826</v>
      </c>
      <c r="O218" s="28">
        <v>6.9444444444444441E-3</v>
      </c>
      <c r="P218" s="3">
        <v>45811</v>
      </c>
      <c r="Q218" s="62">
        <v>45809.204722222232</v>
      </c>
      <c r="R218" s="72">
        <v>45809.211666666677</v>
      </c>
      <c r="S218" s="25">
        <v>0.21111111111111111</v>
      </c>
      <c r="T218" s="63">
        <v>1.999444444430992</v>
      </c>
      <c r="U218" s="47">
        <f>IFERROR(INDEX(NOVO!O:O,MATCH(PRINT!E318,NOVO!C:C,0)),"")</f>
        <v>220643</v>
      </c>
      <c r="AA218" s="40">
        <v>176496</v>
      </c>
    </row>
    <row r="219" spans="1:27" s="23" customFormat="1" x14ac:dyDescent="0.35">
      <c r="A219" s="54">
        <v>0</v>
      </c>
      <c r="C219" s="23">
        <v>1003855</v>
      </c>
      <c r="D219" s="23">
        <v>1</v>
      </c>
      <c r="E219" s="23">
        <v>1003897</v>
      </c>
      <c r="F219" s="23" t="s">
        <v>1755</v>
      </c>
      <c r="G219" s="5">
        <v>55</v>
      </c>
      <c r="H219" s="23">
        <v>12</v>
      </c>
      <c r="I219" s="23">
        <v>0</v>
      </c>
      <c r="J219" s="23">
        <v>0</v>
      </c>
      <c r="K219" s="23" t="s">
        <v>24</v>
      </c>
      <c r="L219" s="23" t="s">
        <v>597</v>
      </c>
      <c r="M219" s="23" t="s">
        <v>1913</v>
      </c>
      <c r="N219" s="24">
        <v>45826</v>
      </c>
      <c r="O219" s="28">
        <v>3.8194444444444448E-2</v>
      </c>
      <c r="P219" s="3">
        <v>45811</v>
      </c>
      <c r="Q219" s="62">
        <v>45809.166527777787</v>
      </c>
      <c r="R219" s="72">
        <v>45809.204722222232</v>
      </c>
      <c r="S219" s="25">
        <v>0.20416666666666666</v>
      </c>
      <c r="T219" s="63">
        <v>1.999444444438268</v>
      </c>
      <c r="U219" s="47">
        <f>IFERROR(INDEX(NOVO!O:O,MATCH(PRINT!E317,NOVO!C:C,0)),"")</f>
        <v>220642</v>
      </c>
      <c r="AA219" s="40">
        <v>176505</v>
      </c>
    </row>
    <row r="220" spans="1:27" s="23" customFormat="1" x14ac:dyDescent="0.35">
      <c r="A220" s="54">
        <v>0</v>
      </c>
      <c r="C220" s="23">
        <v>1003855</v>
      </c>
      <c r="D220" s="23">
        <v>1</v>
      </c>
      <c r="E220" s="23">
        <v>1003881</v>
      </c>
      <c r="F220" s="23" t="s">
        <v>1754</v>
      </c>
      <c r="G220" s="5">
        <v>10</v>
      </c>
      <c r="H220" s="23">
        <v>12</v>
      </c>
      <c r="I220" s="23">
        <v>0</v>
      </c>
      <c r="J220" s="23">
        <v>0</v>
      </c>
      <c r="K220" s="23" t="s">
        <v>24</v>
      </c>
      <c r="L220" s="23" t="s">
        <v>597</v>
      </c>
      <c r="M220" s="23" t="s">
        <v>1913</v>
      </c>
      <c r="N220" s="24">
        <v>45826</v>
      </c>
      <c r="O220" s="28">
        <v>6.9444444444444441E-3</v>
      </c>
      <c r="P220" s="3">
        <v>45811</v>
      </c>
      <c r="Q220" s="62">
        <v>45809.159583333341</v>
      </c>
      <c r="R220" s="72">
        <v>45809.166527777787</v>
      </c>
      <c r="S220" s="25">
        <v>0.16597222222222222</v>
      </c>
      <c r="T220" s="63">
        <v>1.999444444438268</v>
      </c>
      <c r="U220" s="47">
        <f>IFERROR(INDEX(NOVO!O:O,MATCH(PRINT!E316,NOVO!C:C,0)),"")</f>
        <v>220643</v>
      </c>
      <c r="AA220" s="40">
        <v>176518</v>
      </c>
    </row>
    <row r="221" spans="1:27" s="23" customFormat="1" x14ac:dyDescent="0.35">
      <c r="A221" s="54">
        <v>0</v>
      </c>
      <c r="C221" s="23">
        <v>1003854</v>
      </c>
      <c r="D221" s="23">
        <v>1</v>
      </c>
      <c r="E221" s="23">
        <v>1003897</v>
      </c>
      <c r="F221" s="23" t="s">
        <v>1755</v>
      </c>
      <c r="G221" s="5">
        <v>55</v>
      </c>
      <c r="H221" s="23">
        <v>12</v>
      </c>
      <c r="I221" s="23">
        <v>0</v>
      </c>
      <c r="J221" s="23">
        <v>0</v>
      </c>
      <c r="K221" s="23" t="s">
        <v>24</v>
      </c>
      <c r="L221" s="23" t="s">
        <v>597</v>
      </c>
      <c r="M221" s="23" t="s">
        <v>1913</v>
      </c>
      <c r="N221" s="24">
        <v>45826</v>
      </c>
      <c r="O221" s="28">
        <v>3.8194444444444448E-2</v>
      </c>
      <c r="P221" s="3">
        <v>45811</v>
      </c>
      <c r="Q221" s="62">
        <v>45809.121388888896</v>
      </c>
      <c r="R221" s="72">
        <v>45809.159583333341</v>
      </c>
      <c r="S221" s="25">
        <v>0.15902777777777777</v>
      </c>
      <c r="T221" s="63">
        <v>1.999444444438268</v>
      </c>
      <c r="U221" s="47">
        <f>IFERROR(INDEX(NOVO!O:O,MATCH(PRINT!E315,NOVO!C:C,0)),"")</f>
        <v>220642</v>
      </c>
      <c r="AA221" s="40">
        <v>176519</v>
      </c>
    </row>
    <row r="222" spans="1:27" s="23" customFormat="1" x14ac:dyDescent="0.35">
      <c r="A222" s="54">
        <v>0</v>
      </c>
      <c r="C222" s="23">
        <v>1003854</v>
      </c>
      <c r="D222" s="23">
        <v>1</v>
      </c>
      <c r="E222" s="23">
        <v>1003881</v>
      </c>
      <c r="F222" s="23" t="s">
        <v>1754</v>
      </c>
      <c r="G222" s="5">
        <v>10</v>
      </c>
      <c r="H222" s="23">
        <v>12</v>
      </c>
      <c r="I222" s="23">
        <v>0</v>
      </c>
      <c r="J222" s="23">
        <v>0</v>
      </c>
      <c r="K222" s="23" t="s">
        <v>24</v>
      </c>
      <c r="L222" s="23" t="s">
        <v>597</v>
      </c>
      <c r="M222" s="23" t="s">
        <v>1913</v>
      </c>
      <c r="N222" s="24">
        <v>45826</v>
      </c>
      <c r="O222" s="28">
        <v>6.9444444444444441E-3</v>
      </c>
      <c r="P222" s="3">
        <v>45811</v>
      </c>
      <c r="Q222" s="62">
        <v>45809.114444444451</v>
      </c>
      <c r="R222" s="72">
        <v>45809.121388888896</v>
      </c>
      <c r="S222" s="25">
        <v>0.12083333333333333</v>
      </c>
      <c r="T222" s="63">
        <v>1.999444444438268</v>
      </c>
      <c r="U222" s="47">
        <f>IFERROR(INDEX(NOVO!O:O,MATCH(PRINT!E314,NOVO!C:C,0)),"")</f>
        <v>220643</v>
      </c>
      <c r="AA222" s="40" t="s">
        <v>356</v>
      </c>
    </row>
    <row r="223" spans="1:27" s="23" customFormat="1" x14ac:dyDescent="0.35">
      <c r="A223" s="54">
        <v>0</v>
      </c>
      <c r="C223" s="23">
        <v>1003853</v>
      </c>
      <c r="D223" s="23">
        <v>1</v>
      </c>
      <c r="E223" s="23">
        <v>1003881</v>
      </c>
      <c r="F223" s="23" t="s">
        <v>1754</v>
      </c>
      <c r="G223" s="5">
        <v>10</v>
      </c>
      <c r="H223" s="23">
        <v>12</v>
      </c>
      <c r="I223" s="23">
        <v>0</v>
      </c>
      <c r="J223" s="23">
        <v>0</v>
      </c>
      <c r="K223" s="23" t="s">
        <v>24</v>
      </c>
      <c r="L223" s="23" t="s">
        <v>597</v>
      </c>
      <c r="M223" s="23" t="s">
        <v>1913</v>
      </c>
      <c r="N223" s="24">
        <v>45826</v>
      </c>
      <c r="O223" s="28">
        <v>6.9444444444444441E-3</v>
      </c>
      <c r="P223" s="3">
        <v>45811</v>
      </c>
      <c r="Q223" s="62">
        <v>45809.107500000006</v>
      </c>
      <c r="R223" s="72">
        <v>45809.114444444451</v>
      </c>
      <c r="S223" s="25">
        <v>0.11388888888888889</v>
      </c>
      <c r="T223" s="63">
        <v>1.999444444438268</v>
      </c>
      <c r="U223" s="47">
        <f>IFERROR(INDEX(NOVO!O:O,MATCH(PRINT!E313,NOVO!C:C,0)),"")</f>
        <v>220642</v>
      </c>
      <c r="AA223" s="26"/>
    </row>
    <row r="224" spans="1:27" s="23" customFormat="1" x14ac:dyDescent="0.35">
      <c r="A224" s="54">
        <v>0</v>
      </c>
      <c r="C224" s="23">
        <v>1003853</v>
      </c>
      <c r="D224" s="23">
        <v>1</v>
      </c>
      <c r="E224" s="23">
        <v>1003897</v>
      </c>
      <c r="F224" s="23" t="s">
        <v>1755</v>
      </c>
      <c r="G224" s="5">
        <v>4</v>
      </c>
      <c r="H224" s="23">
        <v>12</v>
      </c>
      <c r="I224" s="23">
        <v>0</v>
      </c>
      <c r="J224" s="23">
        <v>0</v>
      </c>
      <c r="K224" s="23" t="s">
        <v>24</v>
      </c>
      <c r="L224" s="23" t="s">
        <v>597</v>
      </c>
      <c r="M224" s="23" t="s">
        <v>1913</v>
      </c>
      <c r="N224" s="24">
        <v>45826</v>
      </c>
      <c r="O224" s="28">
        <v>3.3333333333333335E-3</v>
      </c>
      <c r="P224" s="3">
        <v>45811</v>
      </c>
      <c r="Q224" s="62">
        <v>45809.104166666672</v>
      </c>
      <c r="R224" s="72">
        <v>45809.107500000006</v>
      </c>
      <c r="S224" s="25">
        <v>0.10694444444444444</v>
      </c>
      <c r="T224" s="63">
        <v>1.999444444438268</v>
      </c>
      <c r="U224" s="47">
        <f>IFERROR(INDEX(NOVO!O:O,MATCH(PRINT!E312,NOVO!C:C,0)),"")</f>
        <v>220643</v>
      </c>
      <c r="AA224" s="26"/>
    </row>
    <row r="225" spans="1:21" s="23" customFormat="1" x14ac:dyDescent="0.35">
      <c r="A225" s="54"/>
      <c r="G225" s="5"/>
      <c r="N225" s="24" t="s">
        <v>198</v>
      </c>
      <c r="O225" s="28">
        <v>2.0833333333333332E-2</v>
      </c>
      <c r="P225" s="3">
        <v>45811</v>
      </c>
      <c r="Q225" s="62">
        <v>45809.083333333336</v>
      </c>
      <c r="R225" s="72">
        <v>45809.104166666672</v>
      </c>
      <c r="S225" s="25">
        <v>0.10416666666666667</v>
      </c>
      <c r="T225" s="63">
        <v>1.999999999992724</v>
      </c>
      <c r="U225" s="47">
        <f>IFERROR(INDEX(NOVO!O:O,MATCH(PRINT!E311,NOVO!C:C,0)),"")</f>
        <v>220642</v>
      </c>
    </row>
    <row r="226" spans="1:21" s="23" customFormat="1" x14ac:dyDescent="0.35">
      <c r="A226" s="54">
        <v>0</v>
      </c>
      <c r="C226" s="23">
        <v>1003853</v>
      </c>
      <c r="D226" s="23">
        <v>1</v>
      </c>
      <c r="E226" s="23">
        <v>1003897</v>
      </c>
      <c r="F226" s="23" t="s">
        <v>1755</v>
      </c>
      <c r="G226" s="5">
        <v>50</v>
      </c>
      <c r="H226" s="23">
        <v>12</v>
      </c>
      <c r="I226" s="23">
        <v>0</v>
      </c>
      <c r="J226" s="23">
        <v>0</v>
      </c>
      <c r="K226" s="23" t="s">
        <v>24</v>
      </c>
      <c r="L226" s="23" t="s">
        <v>597</v>
      </c>
      <c r="M226" s="23" t="s">
        <v>1913</v>
      </c>
      <c r="N226" s="24">
        <v>45826</v>
      </c>
      <c r="O226" s="28">
        <v>3.4861111111240461E-2</v>
      </c>
      <c r="P226" s="3">
        <v>45811</v>
      </c>
      <c r="Q226" s="62">
        <v>45809.048472222225</v>
      </c>
      <c r="R226" s="72">
        <v>45809.083333333336</v>
      </c>
      <c r="S226" s="25">
        <v>8.3333333333333329E-2</v>
      </c>
      <c r="T226" s="63">
        <v>2</v>
      </c>
      <c r="U226" s="47">
        <f>IFERROR(INDEX(NOVO!O:O,MATCH(PRINT!E310,NOVO!C:C,0)),"")</f>
        <v>220643</v>
      </c>
    </row>
    <row r="227" spans="1:21" s="23" customFormat="1" x14ac:dyDescent="0.35">
      <c r="A227" s="54">
        <v>0</v>
      </c>
      <c r="C227" s="23">
        <v>1003852</v>
      </c>
      <c r="D227" s="23">
        <v>1</v>
      </c>
      <c r="E227" s="23">
        <v>1003897</v>
      </c>
      <c r="F227" s="23" t="s">
        <v>1755</v>
      </c>
      <c r="G227" s="5">
        <v>55</v>
      </c>
      <c r="H227" s="23">
        <v>12</v>
      </c>
      <c r="I227" s="23">
        <v>0</v>
      </c>
      <c r="J227" s="23">
        <v>0</v>
      </c>
      <c r="K227" s="23" t="s">
        <v>24</v>
      </c>
      <c r="L227" s="23" t="s">
        <v>597</v>
      </c>
      <c r="M227" s="23" t="s">
        <v>1913</v>
      </c>
      <c r="N227" s="24">
        <v>45826</v>
      </c>
      <c r="O227" s="28">
        <v>3.8194444444444448E-2</v>
      </c>
      <c r="P227" s="3">
        <v>45811</v>
      </c>
      <c r="Q227" s="62">
        <v>45809.010277777779</v>
      </c>
      <c r="R227" s="72">
        <v>45809.048472222225</v>
      </c>
      <c r="S227" s="25">
        <v>4.791666666666667E-2</v>
      </c>
      <c r="T227" s="63">
        <v>1.9994444444455439</v>
      </c>
      <c r="U227" s="47">
        <f>IFERROR(INDEX(NOVO!O:O,MATCH(PRINT!E309,NOVO!C:C,0)),"")</f>
        <v>216056</v>
      </c>
    </row>
    <row r="228" spans="1:21" s="23" customFormat="1" x14ac:dyDescent="0.35">
      <c r="A228" s="54">
        <v>0</v>
      </c>
      <c r="C228" s="23">
        <v>1003852</v>
      </c>
      <c r="D228" s="23">
        <v>1</v>
      </c>
      <c r="E228" s="23">
        <v>1003881</v>
      </c>
      <c r="F228" s="23" t="s">
        <v>1754</v>
      </c>
      <c r="G228" s="5">
        <v>10</v>
      </c>
      <c r="H228" s="23">
        <v>12</v>
      </c>
      <c r="I228" s="23">
        <v>0</v>
      </c>
      <c r="J228" s="23">
        <v>0</v>
      </c>
      <c r="K228" s="23" t="s">
        <v>24</v>
      </c>
      <c r="L228" s="23" t="s">
        <v>597</v>
      </c>
      <c r="M228" s="23" t="s">
        <v>1913</v>
      </c>
      <c r="N228" s="24">
        <v>45826</v>
      </c>
      <c r="O228" s="28">
        <v>6.9444444444444441E-3</v>
      </c>
      <c r="P228" s="3">
        <v>45811</v>
      </c>
      <c r="Q228" s="62">
        <v>45809.003333333334</v>
      </c>
      <c r="R228" s="72">
        <v>45809.010277777779</v>
      </c>
      <c r="S228" s="25">
        <v>9.7222222222222224E-3</v>
      </c>
      <c r="T228" s="63">
        <v>1.9994444444455439</v>
      </c>
      <c r="U228" s="47" t="str">
        <f>IFERROR(INDEX(NOVO!O:O,MATCH(PRINT!E308,NOVO!C:C,0)),"")</f>
        <v/>
      </c>
    </row>
    <row r="229" spans="1:21" s="23" customFormat="1" x14ac:dyDescent="0.35">
      <c r="A229" s="54">
        <v>0</v>
      </c>
      <c r="C229" s="23">
        <v>1003851</v>
      </c>
      <c r="D229" s="23">
        <v>1</v>
      </c>
      <c r="E229" s="23">
        <v>1003897</v>
      </c>
      <c r="F229" s="23" t="s">
        <v>1755</v>
      </c>
      <c r="G229" s="5">
        <v>55</v>
      </c>
      <c r="H229" s="23">
        <v>12</v>
      </c>
      <c r="I229" s="23">
        <v>0</v>
      </c>
      <c r="J229" s="23">
        <v>0</v>
      </c>
      <c r="K229" s="23" t="s">
        <v>24</v>
      </c>
      <c r="L229" s="23" t="s">
        <v>597</v>
      </c>
      <c r="M229" s="23" t="s">
        <v>1913</v>
      </c>
      <c r="N229" s="24">
        <v>45826</v>
      </c>
      <c r="O229" s="28">
        <v>3.8194444444444448E-2</v>
      </c>
      <c r="P229" s="3">
        <v>45811</v>
      </c>
      <c r="Q229" s="62">
        <v>45808.965138888889</v>
      </c>
      <c r="R229" s="72">
        <v>45809.003333333334</v>
      </c>
      <c r="S229" s="25">
        <v>2.7777777777777779E-3</v>
      </c>
      <c r="T229" s="63">
        <v>1.9994444444455439</v>
      </c>
      <c r="U229" s="47">
        <f>IFERROR(INDEX(NOVO!O:O,MATCH(PRINT!E307,NOVO!C:C,0)),"")</f>
        <v>216056</v>
      </c>
    </row>
    <row r="230" spans="1:21" s="23" customFormat="1" x14ac:dyDescent="0.35">
      <c r="A230" s="54">
        <v>0</v>
      </c>
      <c r="C230" s="23">
        <v>1003851</v>
      </c>
      <c r="D230" s="23">
        <v>1</v>
      </c>
      <c r="E230" s="23">
        <v>1003881</v>
      </c>
      <c r="F230" s="23" t="s">
        <v>1754</v>
      </c>
      <c r="G230" s="5">
        <v>10</v>
      </c>
      <c r="H230" s="23">
        <v>12</v>
      </c>
      <c r="I230" s="23">
        <v>0</v>
      </c>
      <c r="J230" s="23">
        <v>0</v>
      </c>
      <c r="K230" s="23" t="s">
        <v>24</v>
      </c>
      <c r="L230" s="23" t="s">
        <v>597</v>
      </c>
      <c r="M230" s="23" t="s">
        <v>1913</v>
      </c>
      <c r="N230" s="24">
        <v>45826</v>
      </c>
      <c r="O230" s="28">
        <v>6.9444444444444441E-3</v>
      </c>
      <c r="P230" s="3">
        <v>45811</v>
      </c>
      <c r="Q230" s="62">
        <v>45808.958194444444</v>
      </c>
      <c r="R230" s="72">
        <v>45808.965138888889</v>
      </c>
      <c r="S230" s="25">
        <v>0.96458333333333335</v>
      </c>
      <c r="T230" s="63">
        <v>2.9994444444455439</v>
      </c>
      <c r="U230" s="47">
        <f>IFERROR(INDEX(NOVO!O:O,MATCH(PRINT!E306,NOVO!C:C,0)),"")</f>
        <v>217587</v>
      </c>
    </row>
    <row r="231" spans="1:21" s="23" customFormat="1" x14ac:dyDescent="0.35">
      <c r="A231" s="54">
        <v>0</v>
      </c>
      <c r="C231" s="23">
        <v>1003850</v>
      </c>
      <c r="D231" s="23">
        <v>1</v>
      </c>
      <c r="E231" s="23">
        <v>1003881</v>
      </c>
      <c r="F231" s="23" t="s">
        <v>1754</v>
      </c>
      <c r="G231" s="5">
        <v>10</v>
      </c>
      <c r="H231" s="23">
        <v>12</v>
      </c>
      <c r="I231" s="23">
        <v>0</v>
      </c>
      <c r="J231" s="23">
        <v>0</v>
      </c>
      <c r="K231" s="23" t="s">
        <v>24</v>
      </c>
      <c r="L231" s="23" t="s">
        <v>597</v>
      </c>
      <c r="M231" s="23" t="s">
        <v>1913</v>
      </c>
      <c r="N231" s="24">
        <v>45826</v>
      </c>
      <c r="O231" s="28">
        <v>6.9444444444444441E-3</v>
      </c>
      <c r="P231" s="3">
        <v>45811</v>
      </c>
      <c r="Q231" s="62">
        <v>45808.951249999998</v>
      </c>
      <c r="R231" s="72">
        <v>45808.958194444444</v>
      </c>
      <c r="S231" s="25">
        <v>0.95763888888888893</v>
      </c>
      <c r="T231" s="63">
        <v>2.9994444444455439</v>
      </c>
      <c r="U231" s="47">
        <f>IFERROR(INDEX(NOVO!O:O,MATCH(PRINT!E305,NOVO!C:C,0)),"")</f>
        <v>217588</v>
      </c>
    </row>
    <row r="232" spans="1:21" s="23" customFormat="1" x14ac:dyDescent="0.35">
      <c r="A232" s="54">
        <v>0</v>
      </c>
      <c r="C232" s="23">
        <v>1003850</v>
      </c>
      <c r="D232" s="23">
        <v>1</v>
      </c>
      <c r="E232" s="23">
        <v>1003897</v>
      </c>
      <c r="F232" s="23" t="s">
        <v>1755</v>
      </c>
      <c r="G232" s="5">
        <v>55</v>
      </c>
      <c r="H232" s="23">
        <v>12</v>
      </c>
      <c r="I232" s="23">
        <v>0</v>
      </c>
      <c r="J232" s="23">
        <v>0</v>
      </c>
      <c r="K232" s="23" t="s">
        <v>24</v>
      </c>
      <c r="L232" s="23" t="s">
        <v>597</v>
      </c>
      <c r="M232" s="23" t="s">
        <v>1913</v>
      </c>
      <c r="N232" s="24">
        <v>45826</v>
      </c>
      <c r="O232" s="28">
        <v>3.8194444444444448E-2</v>
      </c>
      <c r="P232" s="3">
        <v>45811</v>
      </c>
      <c r="Q232" s="62">
        <v>45808.913055555553</v>
      </c>
      <c r="R232" s="72">
        <v>45808.951249999998</v>
      </c>
      <c r="S232" s="25">
        <v>0.9506944444444444</v>
      </c>
      <c r="T232" s="63">
        <v>2.9994444444455439</v>
      </c>
      <c r="U232" s="47">
        <f>IFERROR(INDEX(NOVO!O:O,MATCH(PRINT!E304,NOVO!C:C,0)),"")</f>
        <v>217657</v>
      </c>
    </row>
    <row r="233" spans="1:21" s="23" customFormat="1" x14ac:dyDescent="0.35">
      <c r="A233" s="54">
        <v>0</v>
      </c>
      <c r="C233" s="23">
        <v>1003849</v>
      </c>
      <c r="D233" s="23">
        <v>1</v>
      </c>
      <c r="E233" s="23">
        <v>1003897</v>
      </c>
      <c r="F233" s="23" t="s">
        <v>1755</v>
      </c>
      <c r="G233" s="5">
        <v>55</v>
      </c>
      <c r="H233" s="23">
        <v>12</v>
      </c>
      <c r="I233" s="23">
        <v>0</v>
      </c>
      <c r="J233" s="23">
        <v>0</v>
      </c>
      <c r="K233" s="23" t="s">
        <v>24</v>
      </c>
      <c r="L233" s="23" t="s">
        <v>597</v>
      </c>
      <c r="M233" s="23" t="s">
        <v>1913</v>
      </c>
      <c r="N233" s="24">
        <v>45826</v>
      </c>
      <c r="O233" s="28">
        <v>3.8194444444444448E-2</v>
      </c>
      <c r="P233" s="3">
        <v>45811</v>
      </c>
      <c r="Q233" s="62">
        <v>45808.874861111108</v>
      </c>
      <c r="R233" s="72">
        <v>45808.913055555553</v>
      </c>
      <c r="S233" s="25">
        <v>0.91249999999999998</v>
      </c>
      <c r="T233" s="63">
        <v>2.9994444444455439</v>
      </c>
      <c r="U233" s="47">
        <f>IFERROR(INDEX(NOVO!O:O,MATCH(PRINT!E303,NOVO!C:C,0)),"")</f>
        <v>217656</v>
      </c>
    </row>
    <row r="234" spans="1:21" s="23" customFormat="1" x14ac:dyDescent="0.35">
      <c r="A234" s="54">
        <v>0</v>
      </c>
      <c r="C234" s="23">
        <v>1003849</v>
      </c>
      <c r="D234" s="23">
        <v>1</v>
      </c>
      <c r="E234" s="23">
        <v>1003881</v>
      </c>
      <c r="F234" s="23" t="s">
        <v>1754</v>
      </c>
      <c r="G234" s="5">
        <v>10</v>
      </c>
      <c r="H234" s="23">
        <v>12</v>
      </c>
      <c r="I234" s="23">
        <v>0</v>
      </c>
      <c r="J234" s="23">
        <v>0</v>
      </c>
      <c r="K234" s="23" t="s">
        <v>24</v>
      </c>
      <c r="L234" s="23" t="s">
        <v>597</v>
      </c>
      <c r="M234" s="23" t="s">
        <v>1913</v>
      </c>
      <c r="N234" s="24">
        <v>45826</v>
      </c>
      <c r="O234" s="28">
        <v>6.9444444444444441E-3</v>
      </c>
      <c r="P234" s="3">
        <v>45811</v>
      </c>
      <c r="Q234" s="62">
        <v>45808.867916666662</v>
      </c>
      <c r="R234" s="72">
        <v>45808.874861111108</v>
      </c>
      <c r="S234" s="25">
        <v>0.87430555555555556</v>
      </c>
      <c r="T234" s="63">
        <v>2.9994444444455439</v>
      </c>
      <c r="U234" s="47">
        <f>IFERROR(INDEX(NOVO!O:O,MATCH(PRINT!E302,NOVO!C:C,0)),"")</f>
        <v>175904</v>
      </c>
    </row>
    <row r="235" spans="1:21" s="23" customFormat="1" x14ac:dyDescent="0.35">
      <c r="A235" s="54">
        <v>0</v>
      </c>
      <c r="C235" s="23">
        <v>1029402</v>
      </c>
      <c r="D235" s="23">
        <v>1</v>
      </c>
      <c r="E235" s="23">
        <v>1029403</v>
      </c>
      <c r="F235" s="23" t="s">
        <v>1908</v>
      </c>
      <c r="G235" s="5">
        <v>60</v>
      </c>
      <c r="H235" s="23">
        <v>2</v>
      </c>
      <c r="I235" s="23">
        <v>0</v>
      </c>
      <c r="J235" s="23">
        <v>0</v>
      </c>
      <c r="K235" s="23" t="s">
        <v>24</v>
      </c>
      <c r="L235" s="23" t="s">
        <v>597</v>
      </c>
      <c r="M235" s="23" t="s">
        <v>1912</v>
      </c>
      <c r="N235" s="24">
        <v>45835</v>
      </c>
      <c r="O235" s="28">
        <v>4.1666666666666664E-2</v>
      </c>
      <c r="P235" s="3">
        <v>45810</v>
      </c>
      <c r="Q235" s="62">
        <v>45808.826249999998</v>
      </c>
      <c r="R235" s="72">
        <v>45808.867916666662</v>
      </c>
      <c r="S235" s="25">
        <v>0.86736111111111114</v>
      </c>
      <c r="T235" s="63">
        <v>1.9994444444455439</v>
      </c>
      <c r="U235" s="47">
        <f>IFERROR(INDEX(NOVO!O:O,MATCH(PRINT!E301,NOVO!C:C,0)),"")</f>
        <v>175898</v>
      </c>
    </row>
    <row r="236" spans="1:21" s="23" customFormat="1" x14ac:dyDescent="0.35">
      <c r="A236" s="54">
        <v>0</v>
      </c>
      <c r="C236" s="23">
        <v>1029382</v>
      </c>
      <c r="D236" s="23">
        <v>1</v>
      </c>
      <c r="E236" s="23">
        <v>1029383</v>
      </c>
      <c r="F236" s="23" t="s">
        <v>1908</v>
      </c>
      <c r="G236" s="5">
        <v>60</v>
      </c>
      <c r="H236" s="23">
        <v>2</v>
      </c>
      <c r="I236" s="23">
        <v>0</v>
      </c>
      <c r="J236" s="23">
        <v>0</v>
      </c>
      <c r="K236" s="23" t="s">
        <v>24</v>
      </c>
      <c r="L236" s="23" t="s">
        <v>597</v>
      </c>
      <c r="M236" s="23" t="s">
        <v>1911</v>
      </c>
      <c r="N236" s="24">
        <v>45835</v>
      </c>
      <c r="O236" s="28">
        <v>4.1666666666666664E-2</v>
      </c>
      <c r="P236" s="3">
        <v>45810</v>
      </c>
      <c r="Q236" s="62">
        <v>45808.784583333334</v>
      </c>
      <c r="R236" s="72">
        <v>45808.826249999998</v>
      </c>
      <c r="S236" s="25">
        <v>0.8256944444444444</v>
      </c>
      <c r="T236" s="63">
        <v>1.9994444444455439</v>
      </c>
      <c r="U236" s="47">
        <f>IFERROR(INDEX(NOVO!O:O,MATCH(PRINT!E300,NOVO!C:C,0)),"")</f>
        <v>179986</v>
      </c>
    </row>
    <row r="237" spans="1:21" s="23" customFormat="1" x14ac:dyDescent="0.35">
      <c r="A237" s="54">
        <v>0</v>
      </c>
      <c r="C237" s="23">
        <v>1029359</v>
      </c>
      <c r="D237" s="23">
        <v>1</v>
      </c>
      <c r="E237" s="23">
        <v>1029360</v>
      </c>
      <c r="F237" s="23" t="s">
        <v>1908</v>
      </c>
      <c r="G237" s="5">
        <v>19</v>
      </c>
      <c r="H237" s="23">
        <v>2</v>
      </c>
      <c r="I237" s="23">
        <v>0</v>
      </c>
      <c r="J237" s="23">
        <v>0</v>
      </c>
      <c r="K237" s="23" t="s">
        <v>24</v>
      </c>
      <c r="L237" s="23" t="s">
        <v>597</v>
      </c>
      <c r="M237" s="23" t="s">
        <v>1910</v>
      </c>
      <c r="N237" s="24">
        <v>45835</v>
      </c>
      <c r="O237" s="28">
        <v>1.375E-2</v>
      </c>
      <c r="P237" s="3">
        <v>45810</v>
      </c>
      <c r="Q237" s="62">
        <v>45808.770833333336</v>
      </c>
      <c r="R237" s="72">
        <v>45808.784583333334</v>
      </c>
      <c r="S237" s="25">
        <v>0.78402777777777777</v>
      </c>
      <c r="T237" s="63">
        <v>1.9994444444455439</v>
      </c>
      <c r="U237" s="47">
        <f>IFERROR(INDEX(NOVO!O:O,MATCH(PRINT!E299,NOVO!C:C,0)),"")</f>
        <v>179960</v>
      </c>
    </row>
    <row r="238" spans="1:21" s="23" customFormat="1" x14ac:dyDescent="0.35">
      <c r="A238" s="54"/>
      <c r="G238" s="5"/>
      <c r="N238" s="24" t="s">
        <v>198</v>
      </c>
      <c r="O238" s="28">
        <v>2.0833333333333332E-2</v>
      </c>
      <c r="P238" s="3">
        <v>45810</v>
      </c>
      <c r="Q238" s="62">
        <v>45808.75</v>
      </c>
      <c r="R238" s="72">
        <v>45808.770833333336</v>
      </c>
      <c r="S238" s="25">
        <v>0.77083333333333337</v>
      </c>
      <c r="T238" s="63">
        <v>2</v>
      </c>
      <c r="U238" s="47">
        <f>IFERROR(INDEX(NOVO!O:O,MATCH(PRINT!E298,NOVO!C:C,0)),"")</f>
        <v>179940</v>
      </c>
    </row>
    <row r="239" spans="1:21" s="23" customFormat="1" x14ac:dyDescent="0.35">
      <c r="A239" s="54">
        <v>0</v>
      </c>
      <c r="C239" s="23">
        <v>1029359</v>
      </c>
      <c r="D239" s="23">
        <v>1</v>
      </c>
      <c r="E239" s="23">
        <v>1029360</v>
      </c>
      <c r="F239" s="23" t="s">
        <v>1908</v>
      </c>
      <c r="G239" s="5">
        <v>40</v>
      </c>
      <c r="H239" s="23">
        <v>2</v>
      </c>
      <c r="I239" s="23">
        <v>0</v>
      </c>
      <c r="J239" s="23">
        <v>0</v>
      </c>
      <c r="K239" s="23" t="s">
        <v>24</v>
      </c>
      <c r="L239" s="23" t="s">
        <v>597</v>
      </c>
      <c r="M239" s="23" t="s">
        <v>1910</v>
      </c>
      <c r="N239" s="24">
        <v>45835</v>
      </c>
      <c r="O239" s="28">
        <v>2.7916666680539493E-2</v>
      </c>
      <c r="P239" s="3">
        <v>45810</v>
      </c>
      <c r="Q239" s="62">
        <v>45808.722083333319</v>
      </c>
      <c r="R239" s="72">
        <v>45808.75</v>
      </c>
      <c r="S239" s="25">
        <v>0.75</v>
      </c>
      <c r="T239" s="63">
        <v>2</v>
      </c>
      <c r="U239" s="47">
        <f>IFERROR(INDEX(NOVO!O:O,MATCH(PRINT!E297,NOVO!C:C,0)),"")</f>
        <v>138053</v>
      </c>
    </row>
    <row r="240" spans="1:21" s="23" customFormat="1" x14ac:dyDescent="0.35">
      <c r="A240" s="54">
        <v>0</v>
      </c>
      <c r="C240" s="23">
        <v>1029336</v>
      </c>
      <c r="D240" s="23">
        <v>1</v>
      </c>
      <c r="E240" s="23">
        <v>1029337</v>
      </c>
      <c r="F240" s="23" t="s">
        <v>1908</v>
      </c>
      <c r="G240" s="5">
        <v>60</v>
      </c>
      <c r="H240" s="23">
        <v>2</v>
      </c>
      <c r="I240" s="23">
        <v>0</v>
      </c>
      <c r="J240" s="23">
        <v>0</v>
      </c>
      <c r="K240" s="23" t="s">
        <v>24</v>
      </c>
      <c r="L240" s="23" t="s">
        <v>597</v>
      </c>
      <c r="M240" s="23" t="s">
        <v>1909</v>
      </c>
      <c r="N240" s="24">
        <v>45835</v>
      </c>
      <c r="O240" s="28">
        <v>4.1666666666666664E-2</v>
      </c>
      <c r="P240" s="3">
        <v>45810</v>
      </c>
      <c r="Q240" s="62">
        <v>45808.680416666655</v>
      </c>
      <c r="R240" s="72">
        <v>45808.722083333319</v>
      </c>
      <c r="S240" s="25">
        <v>0.72152777777777777</v>
      </c>
      <c r="T240" s="63">
        <v>1.9994444444600958</v>
      </c>
      <c r="U240" s="47" t="str">
        <f>IFERROR(INDEX(NOVO!O:O,MATCH(PRINT!E296,NOVO!C:C,0)),"")</f>
        <v/>
      </c>
    </row>
    <row r="241" spans="1:21" s="23" customFormat="1" x14ac:dyDescent="0.35">
      <c r="A241" s="54">
        <v>0</v>
      </c>
      <c r="C241" s="23">
        <v>1028669</v>
      </c>
      <c r="D241" s="23">
        <v>6</v>
      </c>
      <c r="E241" s="23">
        <v>1028671</v>
      </c>
      <c r="F241" s="23" t="s">
        <v>1906</v>
      </c>
      <c r="G241" s="5">
        <v>150</v>
      </c>
      <c r="H241" s="23">
        <v>6</v>
      </c>
      <c r="I241" s="23">
        <v>0</v>
      </c>
      <c r="J241" s="23">
        <v>0</v>
      </c>
      <c r="K241" s="23" t="s">
        <v>24</v>
      </c>
      <c r="L241" s="23" t="s">
        <v>597</v>
      </c>
      <c r="M241" s="23" t="s">
        <v>1907</v>
      </c>
      <c r="N241" s="24">
        <v>45838</v>
      </c>
      <c r="O241" s="28">
        <v>0.10416666666666667</v>
      </c>
      <c r="P241" s="3">
        <v>45810</v>
      </c>
      <c r="Q241" s="62">
        <v>45808.576249999991</v>
      </c>
      <c r="R241" s="72">
        <v>45808.680416666655</v>
      </c>
      <c r="S241" s="25">
        <v>0.67986111111111114</v>
      </c>
      <c r="T241" s="63">
        <v>1.9994444444528199</v>
      </c>
      <c r="U241" s="47">
        <f>IFERROR(INDEX(NOVO!O:O,MATCH(PRINT!E295,NOVO!C:C,0)),"")</f>
        <v>138053</v>
      </c>
    </row>
    <row r="242" spans="1:21" s="23" customFormat="1" x14ac:dyDescent="0.35">
      <c r="A242" s="54">
        <v>0</v>
      </c>
      <c r="C242" s="23">
        <v>1028203</v>
      </c>
      <c r="D242" s="23">
        <v>1</v>
      </c>
      <c r="E242" s="23">
        <v>1028204</v>
      </c>
      <c r="F242" s="23" t="s">
        <v>1905</v>
      </c>
      <c r="G242" s="5">
        <v>15</v>
      </c>
      <c r="H242" s="23">
        <v>1</v>
      </c>
      <c r="I242" s="23">
        <v>0</v>
      </c>
      <c r="J242" s="23">
        <v>0</v>
      </c>
      <c r="K242" s="23" t="s">
        <v>24</v>
      </c>
      <c r="L242" s="23" t="s">
        <v>597</v>
      </c>
      <c r="M242" s="23" t="s">
        <v>1903</v>
      </c>
      <c r="N242" s="24">
        <v>45834</v>
      </c>
      <c r="O242" s="28">
        <v>1.0416666666666666E-2</v>
      </c>
      <c r="P242" s="3">
        <v>45810</v>
      </c>
      <c r="Q242" s="62">
        <v>45808.565833333327</v>
      </c>
      <c r="R242" s="72">
        <v>45808.576249999991</v>
      </c>
      <c r="S242" s="25">
        <v>0.5756944444444444</v>
      </c>
      <c r="T242" s="63">
        <v>1.9994444444528199</v>
      </c>
      <c r="U242" s="47">
        <f>IFERROR(INDEX(NOVO!O:O,MATCH(PRINT!E294,NOVO!C:C,0)),"")</f>
        <v>180182</v>
      </c>
    </row>
    <row r="243" spans="1:21" s="23" customFormat="1" x14ac:dyDescent="0.35">
      <c r="A243" s="54">
        <v>0</v>
      </c>
      <c r="C243" s="23">
        <v>1028203</v>
      </c>
      <c r="D243" s="23">
        <v>1</v>
      </c>
      <c r="E243" s="23">
        <v>1028205</v>
      </c>
      <c r="F243" s="23" t="s">
        <v>1904</v>
      </c>
      <c r="G243" s="5">
        <v>15</v>
      </c>
      <c r="H243" s="23">
        <v>1</v>
      </c>
      <c r="I243" s="23">
        <v>0</v>
      </c>
      <c r="J243" s="23">
        <v>0</v>
      </c>
      <c r="K243" s="23" t="s">
        <v>24</v>
      </c>
      <c r="L243" s="23" t="s">
        <v>597</v>
      </c>
      <c r="M243" s="23" t="s">
        <v>1903</v>
      </c>
      <c r="N243" s="24">
        <v>45834</v>
      </c>
      <c r="O243" s="28">
        <v>1.0416666666666666E-2</v>
      </c>
      <c r="P243" s="3">
        <v>45810</v>
      </c>
      <c r="Q243" s="62">
        <v>45808.555416666662</v>
      </c>
      <c r="R243" s="72">
        <v>45808.565833333327</v>
      </c>
      <c r="S243" s="25">
        <v>0.56527777777777777</v>
      </c>
      <c r="T243" s="63">
        <v>1.9994444444528199</v>
      </c>
      <c r="U243" s="47">
        <f>IFERROR(INDEX(NOVO!O:O,MATCH(PRINT!E293,NOVO!C:C,0)),"")</f>
        <v>179960</v>
      </c>
    </row>
    <row r="244" spans="1:21" s="23" customFormat="1" x14ac:dyDescent="0.35">
      <c r="A244" s="54">
        <v>0</v>
      </c>
      <c r="C244" s="23">
        <v>1028203</v>
      </c>
      <c r="D244" s="23">
        <v>1</v>
      </c>
      <c r="E244" s="23">
        <v>1028231</v>
      </c>
      <c r="F244" s="23" t="s">
        <v>1902</v>
      </c>
      <c r="G244" s="5">
        <v>15</v>
      </c>
      <c r="H244" s="23">
        <v>1</v>
      </c>
      <c r="I244" s="23">
        <v>0</v>
      </c>
      <c r="J244" s="23">
        <v>0</v>
      </c>
      <c r="K244" s="23" t="s">
        <v>24</v>
      </c>
      <c r="L244" s="23" t="s">
        <v>597</v>
      </c>
      <c r="M244" s="23" t="s">
        <v>1903</v>
      </c>
      <c r="N244" s="24">
        <v>45834</v>
      </c>
      <c r="O244" s="28">
        <v>1.0416666666666666E-2</v>
      </c>
      <c r="P244" s="3">
        <v>45810</v>
      </c>
      <c r="Q244" s="62">
        <v>45808.544999999998</v>
      </c>
      <c r="R244" s="72">
        <v>45808.555416666662</v>
      </c>
      <c r="S244" s="25">
        <v>0.55486111111111114</v>
      </c>
      <c r="T244" s="63">
        <v>1.9994444444455439</v>
      </c>
      <c r="U244" s="47">
        <f>IFERROR(INDEX(NOVO!O:O,MATCH(PRINT!E292,NOVO!C:C,0)),"")</f>
        <v>179940</v>
      </c>
    </row>
    <row r="245" spans="1:21" s="23" customFormat="1" x14ac:dyDescent="0.35">
      <c r="A245" s="54">
        <v>0</v>
      </c>
      <c r="C245" s="23">
        <v>1027372</v>
      </c>
      <c r="D245" s="23">
        <v>2</v>
      </c>
      <c r="E245" s="23">
        <v>1027380</v>
      </c>
      <c r="F245" s="23" t="s">
        <v>1312</v>
      </c>
      <c r="G245" s="5">
        <v>24</v>
      </c>
      <c r="H245" s="23">
        <v>2</v>
      </c>
      <c r="I245" s="23">
        <v>0</v>
      </c>
      <c r="J245" s="23">
        <v>0</v>
      </c>
      <c r="K245" s="23" t="s">
        <v>24</v>
      </c>
      <c r="L245" s="23" t="s">
        <v>597</v>
      </c>
      <c r="M245" s="23" t="s">
        <v>1901</v>
      </c>
      <c r="N245" s="24">
        <v>45835</v>
      </c>
      <c r="O245" s="28">
        <v>1.6666666666666666E-2</v>
      </c>
      <c r="P245" s="3">
        <v>45810</v>
      </c>
      <c r="Q245" s="62">
        <v>45808.528333333328</v>
      </c>
      <c r="R245" s="72">
        <v>45808.544999999998</v>
      </c>
      <c r="S245" s="25">
        <v>0.5444444444444444</v>
      </c>
      <c r="T245" s="63">
        <v>1.9994444444455439</v>
      </c>
      <c r="U245" s="47">
        <f>IFERROR(INDEX(NOVO!O:O,MATCH(PRINT!E291,NOVO!C:C,0)),"")</f>
        <v>179986</v>
      </c>
    </row>
    <row r="246" spans="1:21" s="23" customFormat="1" x14ac:dyDescent="0.35">
      <c r="A246" s="54">
        <v>0</v>
      </c>
      <c r="C246" s="23">
        <v>1027372</v>
      </c>
      <c r="D246" s="23">
        <v>2</v>
      </c>
      <c r="E246" s="23">
        <v>1027378</v>
      </c>
      <c r="F246" s="23" t="s">
        <v>1618</v>
      </c>
      <c r="G246" s="5">
        <v>50</v>
      </c>
      <c r="H246" s="23">
        <v>2</v>
      </c>
      <c r="I246" s="23">
        <v>0</v>
      </c>
      <c r="J246" s="23">
        <v>0</v>
      </c>
      <c r="K246" s="23" t="s">
        <v>24</v>
      </c>
      <c r="L246" s="23" t="s">
        <v>597</v>
      </c>
      <c r="M246" s="23" t="s">
        <v>1901</v>
      </c>
      <c r="N246" s="24">
        <v>45835</v>
      </c>
      <c r="O246" s="28">
        <v>3.4722222222222224E-2</v>
      </c>
      <c r="P246" s="3">
        <v>45810</v>
      </c>
      <c r="Q246" s="62">
        <v>45808.493611111109</v>
      </c>
      <c r="R246" s="72">
        <v>45808.528333333328</v>
      </c>
      <c r="S246" s="25">
        <v>0.52777777777777779</v>
      </c>
      <c r="T246" s="63">
        <v>1.9994444444528199</v>
      </c>
      <c r="U246" s="47">
        <f>IFERROR(INDEX(NOVO!O:O,MATCH(PRINT!E290,NOVO!C:C,0)),"")</f>
        <v>190462</v>
      </c>
    </row>
    <row r="247" spans="1:21" s="23" customFormat="1" x14ac:dyDescent="0.35">
      <c r="A247" s="54">
        <v>0</v>
      </c>
      <c r="C247" s="23">
        <v>1027372</v>
      </c>
      <c r="D247" s="23">
        <v>2</v>
      </c>
      <c r="E247" s="23">
        <v>1027376</v>
      </c>
      <c r="F247" s="23" t="s">
        <v>1792</v>
      </c>
      <c r="G247" s="5">
        <v>80</v>
      </c>
      <c r="H247" s="23">
        <v>2</v>
      </c>
      <c r="I247" s="23">
        <v>0</v>
      </c>
      <c r="J247" s="23">
        <v>0</v>
      </c>
      <c r="K247" s="23" t="s">
        <v>24</v>
      </c>
      <c r="L247" s="23" t="s">
        <v>597</v>
      </c>
      <c r="M247" s="23" t="s">
        <v>1901</v>
      </c>
      <c r="N247" s="24">
        <v>45835</v>
      </c>
      <c r="O247" s="28">
        <v>5.6111111111111112E-2</v>
      </c>
      <c r="P247" s="3">
        <v>45810</v>
      </c>
      <c r="Q247" s="62">
        <v>45808.4375</v>
      </c>
      <c r="R247" s="72">
        <v>45808.493611111109</v>
      </c>
      <c r="S247" s="25">
        <v>0.49305555555555558</v>
      </c>
      <c r="T247" s="63">
        <v>1.9994444444455439</v>
      </c>
      <c r="U247" s="47">
        <f>IFERROR(INDEX(NOVO!O:O,MATCH(PRINT!E289,NOVO!C:C,0)),"")</f>
        <v>190453</v>
      </c>
    </row>
    <row r="248" spans="1:21" s="23" customFormat="1" x14ac:dyDescent="0.35">
      <c r="A248" s="54"/>
      <c r="G248" s="5"/>
      <c r="N248" s="24" t="s">
        <v>198</v>
      </c>
      <c r="O248" s="28">
        <v>2.0833333333333332E-2</v>
      </c>
      <c r="P248" s="3">
        <v>45810</v>
      </c>
      <c r="Q248" s="62">
        <v>45808.416666666664</v>
      </c>
      <c r="R248" s="72">
        <v>45808.4375</v>
      </c>
      <c r="S248" s="25">
        <v>0.4375</v>
      </c>
      <c r="T248" s="63">
        <v>2</v>
      </c>
      <c r="U248" s="47">
        <f>IFERROR(INDEX(NOVO!O:O,MATCH(PRINT!E288,NOVO!C:C,0)),"")</f>
        <v>175594</v>
      </c>
    </row>
    <row r="249" spans="1:21" s="23" customFormat="1" x14ac:dyDescent="0.35">
      <c r="A249" s="54">
        <v>0</v>
      </c>
      <c r="C249" s="23">
        <v>1027372</v>
      </c>
      <c r="D249" s="23">
        <v>2</v>
      </c>
      <c r="E249" s="23">
        <v>1027376</v>
      </c>
      <c r="F249" s="23" t="s">
        <v>1792</v>
      </c>
      <c r="G249" s="5">
        <v>9</v>
      </c>
      <c r="H249" s="23">
        <v>2</v>
      </c>
      <c r="I249" s="23">
        <v>0</v>
      </c>
      <c r="J249" s="23">
        <v>0</v>
      </c>
      <c r="K249" s="23" t="s">
        <v>24</v>
      </c>
      <c r="L249" s="23" t="s">
        <v>597</v>
      </c>
      <c r="M249" s="23" t="s">
        <v>1901</v>
      </c>
      <c r="N249" s="24">
        <v>45835</v>
      </c>
      <c r="O249" s="28">
        <v>6.388888883520849E-3</v>
      </c>
      <c r="P249" s="3">
        <v>45810</v>
      </c>
      <c r="Q249" s="62">
        <v>45808.410277777781</v>
      </c>
      <c r="R249" s="72">
        <v>45808.416666666664</v>
      </c>
      <c r="S249" s="25">
        <v>0.41666666666666669</v>
      </c>
      <c r="T249" s="63">
        <v>2</v>
      </c>
      <c r="U249" s="47">
        <f>IFERROR(INDEX(NOVO!O:O,MATCH(PRINT!E287,NOVO!C:C,0)),"")</f>
        <v>175634</v>
      </c>
    </row>
    <row r="250" spans="1:21" s="23" customFormat="1" x14ac:dyDescent="0.35">
      <c r="A250" s="54">
        <v>0</v>
      </c>
      <c r="C250" s="23">
        <v>1027372</v>
      </c>
      <c r="D250" s="23">
        <v>2</v>
      </c>
      <c r="E250" s="23">
        <v>1027375</v>
      </c>
      <c r="F250" s="23" t="s">
        <v>1793</v>
      </c>
      <c r="G250" s="5">
        <v>70</v>
      </c>
      <c r="H250" s="23">
        <v>2</v>
      </c>
      <c r="I250" s="23">
        <v>0</v>
      </c>
      <c r="J250" s="23">
        <v>0</v>
      </c>
      <c r="K250" s="23" t="s">
        <v>24</v>
      </c>
      <c r="L250" s="23" t="s">
        <v>597</v>
      </c>
      <c r="M250" s="23" t="s">
        <v>1901</v>
      </c>
      <c r="N250" s="24">
        <v>45835</v>
      </c>
      <c r="O250" s="28">
        <v>4.8611111111111112E-2</v>
      </c>
      <c r="P250" s="3">
        <v>45810</v>
      </c>
      <c r="Q250" s="62">
        <v>45808.361666666671</v>
      </c>
      <c r="R250" s="72">
        <v>45808.410277777781</v>
      </c>
      <c r="S250" s="25">
        <v>0.40972222222222221</v>
      </c>
      <c r="T250" s="63">
        <v>1.999444444438268</v>
      </c>
      <c r="U250" s="47">
        <f>IFERROR(INDEX(NOVO!O:O,MATCH(PRINT!E286,NOVO!C:C,0)),"")</f>
        <v>175631</v>
      </c>
    </row>
    <row r="251" spans="1:21" s="23" customFormat="1" x14ac:dyDescent="0.35">
      <c r="A251" s="54">
        <v>0</v>
      </c>
      <c r="C251" s="23">
        <v>1027372</v>
      </c>
      <c r="D251" s="23">
        <v>2</v>
      </c>
      <c r="E251" s="23">
        <v>1027374</v>
      </c>
      <c r="F251" s="23" t="s">
        <v>1617</v>
      </c>
      <c r="G251" s="5">
        <v>40</v>
      </c>
      <c r="H251" s="23">
        <v>2</v>
      </c>
      <c r="I251" s="23">
        <v>0</v>
      </c>
      <c r="J251" s="23">
        <v>0</v>
      </c>
      <c r="K251" s="23" t="s">
        <v>24</v>
      </c>
      <c r="L251" s="23" t="s">
        <v>597</v>
      </c>
      <c r="M251" s="23" t="s">
        <v>1901</v>
      </c>
      <c r="N251" s="24">
        <v>45835</v>
      </c>
      <c r="O251" s="28">
        <v>2.7777777777777776E-2</v>
      </c>
      <c r="P251" s="3">
        <v>45810</v>
      </c>
      <c r="Q251" s="62">
        <v>45808.33388888889</v>
      </c>
      <c r="R251" s="72">
        <v>45808.361666666671</v>
      </c>
      <c r="S251" s="25">
        <v>0.3611111111111111</v>
      </c>
      <c r="T251" s="63">
        <v>1.999444444438268</v>
      </c>
      <c r="U251" s="47">
        <f>IFERROR(INDEX(NOVO!O:O,MATCH(PRINT!E285,NOVO!C:C,0)),"")</f>
        <v>175627</v>
      </c>
    </row>
    <row r="252" spans="1:21" s="23" customFormat="1" x14ac:dyDescent="0.35">
      <c r="A252" s="54">
        <v>0</v>
      </c>
      <c r="C252" s="23">
        <v>1027372</v>
      </c>
      <c r="D252" s="23">
        <v>2</v>
      </c>
      <c r="E252" s="23">
        <v>1027377</v>
      </c>
      <c r="F252" s="23" t="s">
        <v>1791</v>
      </c>
      <c r="G252" s="5">
        <v>70</v>
      </c>
      <c r="H252" s="23">
        <v>2</v>
      </c>
      <c r="I252" s="23">
        <v>0</v>
      </c>
      <c r="J252" s="23">
        <v>0</v>
      </c>
      <c r="K252" s="23" t="s">
        <v>24</v>
      </c>
      <c r="L252" s="23" t="s">
        <v>597</v>
      </c>
      <c r="M252" s="23" t="s">
        <v>1901</v>
      </c>
      <c r="N252" s="24">
        <v>45835</v>
      </c>
      <c r="O252" s="28">
        <v>4.8611111111111112E-2</v>
      </c>
      <c r="P252" s="3">
        <v>45810</v>
      </c>
      <c r="Q252" s="62">
        <v>45808.285277777781</v>
      </c>
      <c r="R252" s="72">
        <v>45808.33388888889</v>
      </c>
      <c r="S252" s="25">
        <v>0.33333333333333331</v>
      </c>
      <c r="T252" s="63">
        <v>1.9994444444455439</v>
      </c>
      <c r="U252" s="47">
        <f>IFERROR(INDEX(NOVO!O:O,MATCH(PRINT!E284,NOVO!C:C,0)),"")</f>
        <v>175630</v>
      </c>
    </row>
    <row r="253" spans="1:21" s="23" customFormat="1" x14ac:dyDescent="0.35">
      <c r="A253" s="54">
        <v>0</v>
      </c>
      <c r="C253" s="23">
        <v>1027157</v>
      </c>
      <c r="D253" s="23">
        <v>1</v>
      </c>
      <c r="E253" s="23">
        <v>1027143</v>
      </c>
      <c r="F253" s="23" t="s">
        <v>450</v>
      </c>
      <c r="G253" s="5">
        <v>260</v>
      </c>
      <c r="H253" s="23">
        <v>2</v>
      </c>
      <c r="I253" s="23">
        <v>0</v>
      </c>
      <c r="J253" s="23">
        <v>0</v>
      </c>
      <c r="K253" s="23" t="s">
        <v>24</v>
      </c>
      <c r="L253" s="23" t="s">
        <v>597</v>
      </c>
      <c r="M253" s="23" t="s">
        <v>1900</v>
      </c>
      <c r="N253" s="24">
        <v>45838</v>
      </c>
      <c r="O253" s="28">
        <v>0.18111111111111111</v>
      </c>
      <c r="P253" s="3">
        <v>45810</v>
      </c>
      <c r="Q253" s="62">
        <v>45808.104166666672</v>
      </c>
      <c r="R253" s="72">
        <v>45808.285277777781</v>
      </c>
      <c r="S253" s="25">
        <v>0.28472222222222221</v>
      </c>
      <c r="T253" s="63">
        <v>1.999444444438268</v>
      </c>
      <c r="U253" s="47" t="str">
        <f>IFERROR(INDEX(NOVO!O:O,MATCH(PRINT!E283,NOVO!C:C,0)),"")</f>
        <v/>
      </c>
    </row>
    <row r="254" spans="1:21" s="23" customFormat="1" x14ac:dyDescent="0.35">
      <c r="A254" s="54"/>
      <c r="G254" s="5"/>
      <c r="N254" s="24" t="s">
        <v>198</v>
      </c>
      <c r="O254" s="28">
        <v>2.0833333333333332E-2</v>
      </c>
      <c r="P254" s="3">
        <v>45810</v>
      </c>
      <c r="Q254" s="62">
        <v>45808.083333333336</v>
      </c>
      <c r="R254" s="72">
        <v>45808.104166666672</v>
      </c>
      <c r="S254" s="25">
        <v>0.10416666666666667</v>
      </c>
      <c r="T254" s="63">
        <v>1.999999999992724</v>
      </c>
      <c r="U254" s="47">
        <f>IFERROR(INDEX(NOVO!O:O,MATCH(PRINT!E282,NOVO!C:C,0)),"")</f>
        <v>175630</v>
      </c>
    </row>
    <row r="255" spans="1:21" s="23" customFormat="1" x14ac:dyDescent="0.35">
      <c r="A255" s="54">
        <v>0</v>
      </c>
      <c r="C255" s="23">
        <v>1027157</v>
      </c>
      <c r="D255" s="23">
        <v>1</v>
      </c>
      <c r="E255" s="23">
        <v>1027143</v>
      </c>
      <c r="F255" s="23" t="s">
        <v>450</v>
      </c>
      <c r="G255" s="5">
        <v>99</v>
      </c>
      <c r="H255" s="23">
        <v>2</v>
      </c>
      <c r="I255" s="23">
        <v>0</v>
      </c>
      <c r="J255" s="23">
        <v>0</v>
      </c>
      <c r="K255" s="23" t="s">
        <v>24</v>
      </c>
      <c r="L255" s="23" t="s">
        <v>597</v>
      </c>
      <c r="M255" s="23" t="s">
        <v>1900</v>
      </c>
      <c r="N255" s="24">
        <v>45838</v>
      </c>
      <c r="O255" s="28">
        <v>6.8888888883520849E-2</v>
      </c>
      <c r="P255" s="3">
        <v>45810</v>
      </c>
      <c r="Q255" s="62">
        <v>45808.014444444452</v>
      </c>
      <c r="R255" s="72">
        <v>45808.083333333336</v>
      </c>
      <c r="S255" s="25">
        <v>8.3333333333333329E-2</v>
      </c>
      <c r="T255" s="63">
        <v>2</v>
      </c>
      <c r="U255" s="47">
        <f>IFERROR(INDEX(NOVO!O:O,MATCH(PRINT!E281,NOVO!C:C,0)),"")</f>
        <v>175600</v>
      </c>
    </row>
    <row r="256" spans="1:21" s="23" customFormat="1" x14ac:dyDescent="0.35">
      <c r="A256" s="54">
        <v>0</v>
      </c>
      <c r="C256" s="23">
        <v>1027157</v>
      </c>
      <c r="D256" s="23">
        <v>1</v>
      </c>
      <c r="E256" s="23">
        <v>1027142</v>
      </c>
      <c r="F256" s="23" t="s">
        <v>669</v>
      </c>
      <c r="G256" s="5">
        <v>90</v>
      </c>
      <c r="H256" s="23">
        <v>2</v>
      </c>
      <c r="I256" s="23">
        <v>0</v>
      </c>
      <c r="J256" s="23">
        <v>0</v>
      </c>
      <c r="K256" s="23" t="s">
        <v>24</v>
      </c>
      <c r="L256" s="23" t="s">
        <v>597</v>
      </c>
      <c r="M256" s="23" t="s">
        <v>1900</v>
      </c>
      <c r="N256" s="24">
        <v>45838</v>
      </c>
      <c r="O256" s="28">
        <v>6.25E-2</v>
      </c>
      <c r="P256" s="3">
        <v>45810</v>
      </c>
      <c r="Q256" s="62">
        <v>45807.951944444452</v>
      </c>
      <c r="R256" s="72">
        <v>45808.014444444452</v>
      </c>
      <c r="S256" s="25">
        <v>1.3888888888888888E-2</v>
      </c>
      <c r="T256" s="63">
        <v>1.999444444438268</v>
      </c>
      <c r="U256" s="47">
        <f>IFERROR(INDEX(NOVO!O:O,MATCH(PRINT!E280,NOVO!C:C,0)),"")</f>
        <v>175600</v>
      </c>
    </row>
    <row r="257" spans="1:21" s="23" customFormat="1" x14ac:dyDescent="0.35">
      <c r="A257" s="54">
        <v>0</v>
      </c>
      <c r="C257" s="23">
        <v>1027157</v>
      </c>
      <c r="D257" s="23">
        <v>1</v>
      </c>
      <c r="E257" s="23">
        <v>1027141</v>
      </c>
      <c r="F257" s="23" t="s">
        <v>1082</v>
      </c>
      <c r="G257" s="5">
        <v>75</v>
      </c>
      <c r="H257" s="23">
        <v>2</v>
      </c>
      <c r="I257" s="23">
        <v>0</v>
      </c>
      <c r="J257" s="23">
        <v>0</v>
      </c>
      <c r="K257" s="23" t="s">
        <v>24</v>
      </c>
      <c r="L257" s="23" t="s">
        <v>597</v>
      </c>
      <c r="M257" s="23" t="s">
        <v>1900</v>
      </c>
      <c r="N257" s="24">
        <v>45838</v>
      </c>
      <c r="O257" s="28">
        <v>5.2083333333333336E-2</v>
      </c>
      <c r="P257" s="3">
        <v>45810</v>
      </c>
      <c r="Q257" s="62">
        <v>45807.899861111116</v>
      </c>
      <c r="R257" s="72">
        <v>45807.951944444452</v>
      </c>
      <c r="S257" s="25">
        <v>0.95138888888888884</v>
      </c>
      <c r="T257" s="63">
        <v>2.999444444438268</v>
      </c>
      <c r="U257" s="47">
        <f>IFERROR(INDEX(NOVO!O:O,MATCH(PRINT!E279,NOVO!C:C,0)),"")</f>
        <v>175634</v>
      </c>
    </row>
    <row r="258" spans="1:21" s="23" customFormat="1" x14ac:dyDescent="0.35">
      <c r="A258" s="54">
        <v>0</v>
      </c>
      <c r="C258" s="23">
        <v>1027156</v>
      </c>
      <c r="D258" s="23">
        <v>1</v>
      </c>
      <c r="E258" s="23">
        <v>1027143</v>
      </c>
      <c r="F258" s="23" t="s">
        <v>450</v>
      </c>
      <c r="G258" s="5">
        <v>185</v>
      </c>
      <c r="H258" s="23">
        <v>2</v>
      </c>
      <c r="I258" s="23">
        <v>0</v>
      </c>
      <c r="J258" s="23">
        <v>0</v>
      </c>
      <c r="K258" s="23" t="s">
        <v>24</v>
      </c>
      <c r="L258" s="23" t="s">
        <v>597</v>
      </c>
      <c r="M258" s="23" t="s">
        <v>1900</v>
      </c>
      <c r="N258" s="24">
        <v>45838</v>
      </c>
      <c r="O258" s="28">
        <v>0.12902777777777777</v>
      </c>
      <c r="P258" s="3">
        <v>45810</v>
      </c>
      <c r="Q258" s="62">
        <v>45807.770833333336</v>
      </c>
      <c r="R258" s="72">
        <v>45807.899861111116</v>
      </c>
      <c r="S258" s="25">
        <v>0.89930555555555558</v>
      </c>
      <c r="T258" s="63">
        <v>2.999444444438268</v>
      </c>
      <c r="U258" s="47">
        <f>IFERROR(INDEX(NOVO!O:O,MATCH(PRINT!E278,NOVO!C:C,0)),"")</f>
        <v>175630</v>
      </c>
    </row>
    <row r="259" spans="1:21" s="23" customFormat="1" x14ac:dyDescent="0.35">
      <c r="A259" s="54"/>
      <c r="G259" s="5"/>
      <c r="N259" s="24" t="s">
        <v>198</v>
      </c>
      <c r="O259" s="28">
        <v>2.0833333333333332E-2</v>
      </c>
      <c r="P259" s="3">
        <v>45810</v>
      </c>
      <c r="Q259" s="62">
        <v>45807.75</v>
      </c>
      <c r="R259" s="72">
        <v>45807.770833333336</v>
      </c>
      <c r="S259" s="25">
        <v>0.77083333333333337</v>
      </c>
      <c r="T259" s="63">
        <v>3</v>
      </c>
      <c r="U259" s="47">
        <f>IFERROR(INDEX(NOVO!O:O,MATCH(PRINT!E277,NOVO!C:C,0)),"")</f>
        <v>175627</v>
      </c>
    </row>
    <row r="260" spans="1:21" s="23" customFormat="1" x14ac:dyDescent="0.35">
      <c r="A260" s="54">
        <v>0</v>
      </c>
      <c r="C260" s="23">
        <v>1027156</v>
      </c>
      <c r="D260" s="23">
        <v>1</v>
      </c>
      <c r="E260" s="23">
        <v>1027143</v>
      </c>
      <c r="F260" s="23" t="s">
        <v>450</v>
      </c>
      <c r="G260" s="5">
        <v>174</v>
      </c>
      <c r="H260" s="23">
        <v>2</v>
      </c>
      <c r="I260" s="23">
        <v>0</v>
      </c>
      <c r="J260" s="23">
        <v>0</v>
      </c>
      <c r="K260" s="23" t="s">
        <v>24</v>
      </c>
      <c r="L260" s="23" t="s">
        <v>597</v>
      </c>
      <c r="M260" s="23" t="s">
        <v>1900</v>
      </c>
      <c r="N260" s="24">
        <v>45838</v>
      </c>
      <c r="O260" s="28">
        <v>0.12097222223383142</v>
      </c>
      <c r="P260" s="3">
        <v>45810</v>
      </c>
      <c r="Q260" s="62">
        <v>45807.629027777766</v>
      </c>
      <c r="R260" s="72">
        <v>45807.75</v>
      </c>
      <c r="S260" s="25">
        <v>0.75</v>
      </c>
      <c r="T260" s="63">
        <v>3</v>
      </c>
      <c r="U260" s="47">
        <f>IFERROR(INDEX(NOVO!O:O,MATCH(PRINT!E276,NOVO!C:C,0)),"")</f>
        <v>175631</v>
      </c>
    </row>
    <row r="261" spans="1:21" s="23" customFormat="1" x14ac:dyDescent="0.35">
      <c r="A261" s="54">
        <v>0</v>
      </c>
      <c r="C261" s="23">
        <v>1027156</v>
      </c>
      <c r="D261" s="23">
        <v>1</v>
      </c>
      <c r="E261" s="23">
        <v>1027141</v>
      </c>
      <c r="F261" s="23" t="s">
        <v>1082</v>
      </c>
      <c r="G261" s="5">
        <v>75</v>
      </c>
      <c r="H261" s="23">
        <v>2</v>
      </c>
      <c r="I261" s="23">
        <v>0</v>
      </c>
      <c r="J261" s="23">
        <v>0</v>
      </c>
      <c r="K261" s="23" t="s">
        <v>24</v>
      </c>
      <c r="L261" s="23" t="s">
        <v>597</v>
      </c>
      <c r="M261" s="23" t="s">
        <v>1900</v>
      </c>
      <c r="N261" s="24">
        <v>45838</v>
      </c>
      <c r="O261" s="28">
        <v>5.2083333333333336E-2</v>
      </c>
      <c r="P261" s="3">
        <v>45810</v>
      </c>
      <c r="Q261" s="62">
        <v>45807.57694444443</v>
      </c>
      <c r="R261" s="72">
        <v>45807.629027777766</v>
      </c>
      <c r="S261" s="25">
        <v>0.62847222222222221</v>
      </c>
      <c r="T261" s="63">
        <v>2.9994444444528199</v>
      </c>
      <c r="U261" s="47">
        <f>IFERROR(INDEX(NOVO!O:O,MATCH(PRINT!E275,NOVO!C:C,0)),"")</f>
        <v>175594</v>
      </c>
    </row>
    <row r="262" spans="1:21" s="23" customFormat="1" x14ac:dyDescent="0.35">
      <c r="A262" s="54">
        <v>0</v>
      </c>
      <c r="C262" s="23">
        <v>1027156</v>
      </c>
      <c r="D262" s="23">
        <v>1</v>
      </c>
      <c r="E262" s="23">
        <v>1027142</v>
      </c>
      <c r="F262" s="23" t="s">
        <v>669</v>
      </c>
      <c r="G262" s="5">
        <v>90</v>
      </c>
      <c r="H262" s="23">
        <v>2</v>
      </c>
      <c r="I262" s="23">
        <v>0</v>
      </c>
      <c r="J262" s="23">
        <v>0</v>
      </c>
      <c r="K262" s="23" t="s">
        <v>24</v>
      </c>
      <c r="L262" s="23" t="s">
        <v>597</v>
      </c>
      <c r="M262" s="23" t="s">
        <v>1900</v>
      </c>
      <c r="N262" s="24">
        <v>45838</v>
      </c>
      <c r="O262" s="28">
        <v>6.25E-2</v>
      </c>
      <c r="P262" s="3">
        <v>45810</v>
      </c>
      <c r="Q262" s="62">
        <v>45807.51444444443</v>
      </c>
      <c r="R262" s="72">
        <v>45807.57694444443</v>
      </c>
      <c r="S262" s="25">
        <v>0.57638888888888884</v>
      </c>
      <c r="T262" s="63">
        <v>2.9994444444600958</v>
      </c>
      <c r="U262" s="47">
        <f>IFERROR(INDEX(NOVO!O:O,MATCH(PRINT!E274,NOVO!C:C,0)),"")</f>
        <v>175634</v>
      </c>
    </row>
    <row r="263" spans="1:21" s="23" customFormat="1" x14ac:dyDescent="0.35">
      <c r="A263" s="54">
        <v>0</v>
      </c>
      <c r="C263" s="23">
        <v>1024488</v>
      </c>
      <c r="D263" s="23">
        <v>1</v>
      </c>
      <c r="E263" s="23">
        <v>1024498</v>
      </c>
      <c r="F263" s="23" t="s">
        <v>1256</v>
      </c>
      <c r="G263" s="5">
        <v>60</v>
      </c>
      <c r="H263" s="23">
        <v>2</v>
      </c>
      <c r="I263" s="23">
        <v>0</v>
      </c>
      <c r="J263" s="23">
        <v>0</v>
      </c>
      <c r="K263" s="23" t="s">
        <v>24</v>
      </c>
      <c r="L263" s="23" t="s">
        <v>597</v>
      </c>
      <c r="M263" s="23" t="s">
        <v>1899</v>
      </c>
      <c r="N263" s="24">
        <v>45833</v>
      </c>
      <c r="O263" s="28">
        <v>4.1666666666666664E-2</v>
      </c>
      <c r="P263" s="3">
        <v>45810</v>
      </c>
      <c r="Q263" s="62">
        <v>45807.472777777766</v>
      </c>
      <c r="R263" s="72">
        <v>45807.51444444443</v>
      </c>
      <c r="S263" s="25">
        <v>0.51388888888888884</v>
      </c>
      <c r="T263" s="63">
        <v>2.9994444444600958</v>
      </c>
      <c r="U263" s="47">
        <f>IFERROR(INDEX(NOVO!O:O,MATCH(PRINT!E273,NOVO!C:C,0)),"")</f>
        <v>175631</v>
      </c>
    </row>
    <row r="264" spans="1:21" s="23" customFormat="1" x14ac:dyDescent="0.35">
      <c r="A264" s="54">
        <v>0</v>
      </c>
      <c r="C264" s="23">
        <v>1024093</v>
      </c>
      <c r="D264" s="23">
        <v>1</v>
      </c>
      <c r="E264" s="23">
        <v>1024117</v>
      </c>
      <c r="F264" s="23" t="s">
        <v>1898</v>
      </c>
      <c r="G264" s="5">
        <v>15</v>
      </c>
      <c r="H264" s="23">
        <v>1</v>
      </c>
      <c r="I264" s="23">
        <v>0</v>
      </c>
      <c r="J264" s="23">
        <v>0</v>
      </c>
      <c r="K264" s="23" t="s">
        <v>24</v>
      </c>
      <c r="L264" s="23" t="s">
        <v>597</v>
      </c>
      <c r="M264" s="23" t="s">
        <v>1896</v>
      </c>
      <c r="N264" s="24">
        <v>45825</v>
      </c>
      <c r="O264" s="28">
        <v>1.0416666666666666E-2</v>
      </c>
      <c r="P264" s="3">
        <v>45810</v>
      </c>
      <c r="Q264" s="62">
        <v>45807.462361111102</v>
      </c>
      <c r="R264" s="72">
        <v>45807.472777777766</v>
      </c>
      <c r="S264" s="25">
        <v>0.47222222222222221</v>
      </c>
      <c r="T264" s="63">
        <v>2.9994444444528199</v>
      </c>
      <c r="U264" s="47">
        <f>IFERROR(INDEX(NOVO!O:O,MATCH(PRINT!E272,NOVO!C:C,0)),"")</f>
        <v>175630</v>
      </c>
    </row>
    <row r="265" spans="1:21" s="23" customFormat="1" x14ac:dyDescent="0.35">
      <c r="A265" s="54">
        <v>0</v>
      </c>
      <c r="C265" s="23">
        <v>1024093</v>
      </c>
      <c r="D265" s="23">
        <v>1</v>
      </c>
      <c r="E265" s="23">
        <v>1024120</v>
      </c>
      <c r="F265" s="23" t="s">
        <v>1897</v>
      </c>
      <c r="G265" s="5">
        <v>5</v>
      </c>
      <c r="H265" s="23">
        <v>1</v>
      </c>
      <c r="I265" s="23">
        <v>0</v>
      </c>
      <c r="J265" s="23">
        <v>0</v>
      </c>
      <c r="K265" s="23" t="s">
        <v>24</v>
      </c>
      <c r="L265" s="23" t="s">
        <v>597</v>
      </c>
      <c r="M265" s="23" t="s">
        <v>1896</v>
      </c>
      <c r="N265" s="24">
        <v>45825</v>
      </c>
      <c r="O265" s="28">
        <v>3.472222222222222E-3</v>
      </c>
      <c r="P265" s="3">
        <v>45810</v>
      </c>
      <c r="Q265" s="62">
        <v>45807.458888888883</v>
      </c>
      <c r="R265" s="72">
        <v>45807.462361111102</v>
      </c>
      <c r="S265" s="25">
        <v>0.46180555555555558</v>
      </c>
      <c r="T265" s="63">
        <v>2.9994444444528199</v>
      </c>
      <c r="U265" s="47">
        <f>IFERROR(INDEX(NOVO!O:O,MATCH(PRINT!E271,NOVO!C:C,0)),"")</f>
        <v>175627</v>
      </c>
    </row>
    <row r="266" spans="1:21" s="23" customFormat="1" x14ac:dyDescent="0.35">
      <c r="A266" s="54">
        <v>0</v>
      </c>
      <c r="C266" s="23">
        <v>1024093</v>
      </c>
      <c r="D266" s="23">
        <v>1</v>
      </c>
      <c r="E266" s="23">
        <v>1024119</v>
      </c>
      <c r="F266" s="23" t="s">
        <v>1895</v>
      </c>
      <c r="G266" s="5">
        <v>15</v>
      </c>
      <c r="H266" s="23">
        <v>1</v>
      </c>
      <c r="I266" s="23">
        <v>0</v>
      </c>
      <c r="J266" s="23">
        <v>0</v>
      </c>
      <c r="K266" s="23" t="s">
        <v>24</v>
      </c>
      <c r="L266" s="23" t="s">
        <v>597</v>
      </c>
      <c r="M266" s="23" t="s">
        <v>1896</v>
      </c>
      <c r="N266" s="24">
        <v>45825</v>
      </c>
      <c r="O266" s="28">
        <v>1.0416666666666666E-2</v>
      </c>
      <c r="P266" s="3">
        <v>45810</v>
      </c>
      <c r="Q266" s="62">
        <v>45807.448472222219</v>
      </c>
      <c r="R266" s="72">
        <v>45807.458888888883</v>
      </c>
      <c r="S266" s="25">
        <v>0.45833333333333331</v>
      </c>
      <c r="T266" s="63">
        <v>2.9994444444528199</v>
      </c>
      <c r="U266" s="47">
        <f>IFERROR(INDEX(NOVO!O:O,MATCH(PRINT!E270,NOVO!C:C,0)),"")</f>
        <v>175600</v>
      </c>
    </row>
    <row r="267" spans="1:21" s="23" customFormat="1" x14ac:dyDescent="0.35">
      <c r="A267" s="54">
        <v>0</v>
      </c>
      <c r="C267" s="23">
        <v>1022659</v>
      </c>
      <c r="D267" s="23">
        <v>1</v>
      </c>
      <c r="E267" s="23">
        <v>1022670</v>
      </c>
      <c r="F267" s="23" t="s">
        <v>1794</v>
      </c>
      <c r="G267" s="5">
        <v>15</v>
      </c>
      <c r="H267" s="23">
        <v>3</v>
      </c>
      <c r="I267" s="23">
        <v>0</v>
      </c>
      <c r="J267" s="23">
        <v>0</v>
      </c>
      <c r="K267" s="23" t="s">
        <v>24</v>
      </c>
      <c r="L267" s="23" t="s">
        <v>597</v>
      </c>
      <c r="M267" s="23" t="s">
        <v>1894</v>
      </c>
      <c r="N267" s="24">
        <v>45840</v>
      </c>
      <c r="O267" s="28">
        <v>1.0972222222222222E-2</v>
      </c>
      <c r="P267" s="3">
        <v>45810</v>
      </c>
      <c r="Q267" s="62">
        <v>45807.4375</v>
      </c>
      <c r="R267" s="72">
        <v>45807.448472222219</v>
      </c>
      <c r="S267" s="25">
        <v>0.44791666666666669</v>
      </c>
      <c r="T267" s="63">
        <v>2.9994444444455439</v>
      </c>
      <c r="U267" s="47">
        <f>IFERROR(INDEX(NOVO!O:O,MATCH(PRINT!E269,NOVO!C:C,0)),"")</f>
        <v>175594</v>
      </c>
    </row>
    <row r="268" spans="1:21" s="23" customFormat="1" x14ac:dyDescent="0.35">
      <c r="A268" s="54"/>
      <c r="G268" s="5"/>
      <c r="N268" s="24" t="s">
        <v>198</v>
      </c>
      <c r="O268" s="28">
        <v>2.0833333333333332E-2</v>
      </c>
      <c r="P268" s="3">
        <v>45810</v>
      </c>
      <c r="Q268" s="62">
        <v>45807.416666666664</v>
      </c>
      <c r="R268" s="72">
        <v>45807.4375</v>
      </c>
      <c r="S268" s="25">
        <v>0.4375</v>
      </c>
      <c r="T268" s="63">
        <v>3</v>
      </c>
      <c r="U268" s="47" t="str">
        <f>IFERROR(INDEX(NOVO!O:O,MATCH(PRINT!E268,NOVO!C:C,0)),"")</f>
        <v/>
      </c>
    </row>
    <row r="269" spans="1:21" s="23" customFormat="1" x14ac:dyDescent="0.35">
      <c r="A269" s="54">
        <v>0</v>
      </c>
      <c r="C269" s="23">
        <v>1022659</v>
      </c>
      <c r="D269" s="23">
        <v>1</v>
      </c>
      <c r="E269" s="23">
        <v>1022670</v>
      </c>
      <c r="F269" s="23" t="s">
        <v>1794</v>
      </c>
      <c r="G269" s="5">
        <v>4</v>
      </c>
      <c r="H269" s="23">
        <v>3</v>
      </c>
      <c r="I269" s="23">
        <v>0</v>
      </c>
      <c r="J269" s="23">
        <v>0</v>
      </c>
      <c r="K269" s="23" t="s">
        <v>24</v>
      </c>
      <c r="L269" s="23" t="s">
        <v>597</v>
      </c>
      <c r="M269" s="23" t="s">
        <v>1894</v>
      </c>
      <c r="N269" s="24">
        <v>45840</v>
      </c>
      <c r="O269" s="28">
        <v>2.9166666645323858E-3</v>
      </c>
      <c r="P269" s="3">
        <v>45810</v>
      </c>
      <c r="Q269" s="62">
        <v>45807.41375</v>
      </c>
      <c r="R269" s="72">
        <v>45807.416666666664</v>
      </c>
      <c r="S269" s="25">
        <v>0.41666666666666669</v>
      </c>
      <c r="T269" s="63">
        <v>3</v>
      </c>
      <c r="U269" s="47">
        <f>IFERROR(INDEX(NOVO!O:O,MATCH(PRINT!E267,NOVO!C:C,0)),"")</f>
        <v>175594</v>
      </c>
    </row>
    <row r="270" spans="1:21" s="23" customFormat="1" x14ac:dyDescent="0.35">
      <c r="A270" s="54">
        <v>0</v>
      </c>
      <c r="C270" s="23">
        <v>1022659</v>
      </c>
      <c r="D270" s="23">
        <v>1</v>
      </c>
      <c r="E270" s="23">
        <v>1022676</v>
      </c>
      <c r="F270" s="23" t="s">
        <v>1795</v>
      </c>
      <c r="G270" s="5">
        <v>25</v>
      </c>
      <c r="H270" s="23">
        <v>3</v>
      </c>
      <c r="I270" s="23">
        <v>0</v>
      </c>
      <c r="J270" s="23">
        <v>0</v>
      </c>
      <c r="K270" s="23" t="s">
        <v>24</v>
      </c>
      <c r="L270" s="23" t="s">
        <v>597</v>
      </c>
      <c r="M270" s="23" t="s">
        <v>1894</v>
      </c>
      <c r="N270" s="24">
        <v>45840</v>
      </c>
      <c r="O270" s="28">
        <v>1.7361111111111112E-2</v>
      </c>
      <c r="P270" s="3">
        <v>45810</v>
      </c>
      <c r="Q270" s="62">
        <v>45807.39638888889</v>
      </c>
      <c r="R270" s="72">
        <v>45807.41375</v>
      </c>
      <c r="S270" s="25">
        <v>0.41319444444444442</v>
      </c>
      <c r="T270" s="63">
        <v>2.9994444444455439</v>
      </c>
      <c r="U270" s="47">
        <f>IFERROR(INDEX(NOVO!O:O,MATCH(PRINT!E266,NOVO!C:C,0)),"")</f>
        <v>177508</v>
      </c>
    </row>
    <row r="271" spans="1:21" s="23" customFormat="1" x14ac:dyDescent="0.35">
      <c r="A271" s="54">
        <v>0</v>
      </c>
      <c r="C271" s="23">
        <v>1022659</v>
      </c>
      <c r="D271" s="23">
        <v>1</v>
      </c>
      <c r="E271" s="23">
        <v>1022703</v>
      </c>
      <c r="F271" s="23" t="s">
        <v>1796</v>
      </c>
      <c r="G271" s="5">
        <v>35</v>
      </c>
      <c r="H271" s="23">
        <v>3</v>
      </c>
      <c r="I271" s="23">
        <v>0</v>
      </c>
      <c r="J271" s="23">
        <v>0</v>
      </c>
      <c r="K271" s="23" t="s">
        <v>24</v>
      </c>
      <c r="L271" s="23" t="s">
        <v>597</v>
      </c>
      <c r="M271" s="23" t="s">
        <v>1894</v>
      </c>
      <c r="N271" s="24">
        <v>45840</v>
      </c>
      <c r="O271" s="28">
        <v>2.4305555555555556E-2</v>
      </c>
      <c r="P271" s="3">
        <v>45810</v>
      </c>
      <c r="Q271" s="62">
        <v>45807.372083333335</v>
      </c>
      <c r="R271" s="72">
        <v>45807.39638888889</v>
      </c>
      <c r="S271" s="25">
        <v>0.39583333333333331</v>
      </c>
      <c r="T271" s="63">
        <v>2.9994444444455439</v>
      </c>
      <c r="U271" s="47">
        <f>IFERROR(INDEX(NOVO!O:O,MATCH(PRINT!E265,NOVO!C:C,0)),"")</f>
        <v>177509</v>
      </c>
    </row>
    <row r="272" spans="1:21" s="23" customFormat="1" x14ac:dyDescent="0.35">
      <c r="A272" s="54">
        <v>0</v>
      </c>
      <c r="C272" s="23">
        <v>1022659</v>
      </c>
      <c r="D272" s="23">
        <v>1</v>
      </c>
      <c r="E272" s="23">
        <v>1022706</v>
      </c>
      <c r="F272" s="23" t="s">
        <v>1797</v>
      </c>
      <c r="G272" s="5">
        <v>90</v>
      </c>
      <c r="H272" s="23">
        <v>6</v>
      </c>
      <c r="I272" s="23">
        <v>0</v>
      </c>
      <c r="J272" s="23">
        <v>0</v>
      </c>
      <c r="K272" s="23" t="s">
        <v>24</v>
      </c>
      <c r="L272" s="23" t="s">
        <v>597</v>
      </c>
      <c r="M272" s="23" t="s">
        <v>1894</v>
      </c>
      <c r="N272" s="24">
        <v>45840</v>
      </c>
      <c r="O272" s="28">
        <v>6.25E-2</v>
      </c>
      <c r="P272" s="3">
        <v>45810</v>
      </c>
      <c r="Q272" s="62">
        <v>45807.309583333335</v>
      </c>
      <c r="R272" s="72">
        <v>45807.372083333335</v>
      </c>
      <c r="S272" s="25">
        <v>0.37152777777777779</v>
      </c>
      <c r="T272" s="63">
        <v>2.9994444444455439</v>
      </c>
      <c r="U272" s="47">
        <f>IFERROR(INDEX(NOVO!O:O,MATCH(PRINT!E264,NOVO!C:C,0)),"")</f>
        <v>177506</v>
      </c>
    </row>
    <row r="273" spans="1:21" s="23" customFormat="1" x14ac:dyDescent="0.35">
      <c r="A273" s="54">
        <v>0</v>
      </c>
      <c r="C273" s="23">
        <v>1022659</v>
      </c>
      <c r="D273" s="23">
        <v>1</v>
      </c>
      <c r="E273" s="23">
        <v>1022707</v>
      </c>
      <c r="F273" s="23" t="s">
        <v>1309</v>
      </c>
      <c r="G273" s="5">
        <v>15</v>
      </c>
      <c r="H273" s="23">
        <v>3</v>
      </c>
      <c r="I273" s="23">
        <v>0</v>
      </c>
      <c r="J273" s="23">
        <v>0</v>
      </c>
      <c r="K273" s="23" t="s">
        <v>24</v>
      </c>
      <c r="L273" s="23" t="s">
        <v>597</v>
      </c>
      <c r="M273" s="23" t="s">
        <v>1894</v>
      </c>
      <c r="N273" s="24">
        <v>45840</v>
      </c>
      <c r="O273" s="28">
        <v>1.0416666666666666E-2</v>
      </c>
      <c r="P273" s="3">
        <v>45810</v>
      </c>
      <c r="Q273" s="62">
        <v>45807.299166666671</v>
      </c>
      <c r="R273" s="72">
        <v>45807.309583333335</v>
      </c>
      <c r="S273" s="25">
        <v>0.30902777777777779</v>
      </c>
      <c r="T273" s="63">
        <v>2.9994444444455439</v>
      </c>
      <c r="U273" s="47">
        <f>IFERROR(INDEX(NOVO!O:O,MATCH(PRINT!E263,NOVO!C:C,0)),"")</f>
        <v>206485</v>
      </c>
    </row>
    <row r="274" spans="1:21" s="23" customFormat="1" x14ac:dyDescent="0.35">
      <c r="A274" s="54">
        <v>0</v>
      </c>
      <c r="C274" s="23">
        <v>1022659</v>
      </c>
      <c r="D274" s="23">
        <v>1</v>
      </c>
      <c r="E274" s="23">
        <v>1022710</v>
      </c>
      <c r="F274" s="23" t="s">
        <v>1798</v>
      </c>
      <c r="G274" s="5">
        <v>30</v>
      </c>
      <c r="H274" s="23">
        <v>3</v>
      </c>
      <c r="I274" s="23">
        <v>0</v>
      </c>
      <c r="J274" s="23">
        <v>0</v>
      </c>
      <c r="K274" s="23" t="s">
        <v>24</v>
      </c>
      <c r="L274" s="23" t="s">
        <v>597</v>
      </c>
      <c r="M274" s="23" t="s">
        <v>1894</v>
      </c>
      <c r="N274" s="24">
        <v>45840</v>
      </c>
      <c r="O274" s="28">
        <v>2.0833333333333332E-2</v>
      </c>
      <c r="P274" s="3">
        <v>45810</v>
      </c>
      <c r="Q274" s="62">
        <v>45807.278333333335</v>
      </c>
      <c r="R274" s="72">
        <v>45807.299166666671</v>
      </c>
      <c r="S274" s="25">
        <v>0.2986111111111111</v>
      </c>
      <c r="T274" s="63">
        <v>2.999444444438268</v>
      </c>
      <c r="U274" s="47">
        <f>IFERROR(INDEX(NOVO!O:O,MATCH(PRINT!E262,NOVO!C:C,0)),"")</f>
        <v>166302</v>
      </c>
    </row>
    <row r="275" spans="1:21" s="23" customFormat="1" x14ac:dyDescent="0.35">
      <c r="A275" s="54">
        <v>0</v>
      </c>
      <c r="C275" s="23">
        <v>1022658</v>
      </c>
      <c r="D275" s="23">
        <v>1</v>
      </c>
      <c r="E275" s="23">
        <v>1022670</v>
      </c>
      <c r="F275" s="23" t="s">
        <v>1794</v>
      </c>
      <c r="G275" s="5">
        <v>20</v>
      </c>
      <c r="H275" s="23">
        <v>3</v>
      </c>
      <c r="I275" s="23">
        <v>0</v>
      </c>
      <c r="J275" s="23">
        <v>0</v>
      </c>
      <c r="K275" s="23" t="s">
        <v>24</v>
      </c>
      <c r="L275" s="23" t="s">
        <v>597</v>
      </c>
      <c r="M275" s="23" t="s">
        <v>1894</v>
      </c>
      <c r="N275" s="24">
        <v>45840</v>
      </c>
      <c r="O275" s="28">
        <v>1.3888888888888888E-2</v>
      </c>
      <c r="P275" s="3">
        <v>45810</v>
      </c>
      <c r="Q275" s="62">
        <v>45807.264444444445</v>
      </c>
      <c r="R275" s="72">
        <v>45807.278333333335</v>
      </c>
      <c r="S275" s="25">
        <v>0.27777777777777779</v>
      </c>
      <c r="T275" s="63">
        <v>2.9994444444455439</v>
      </c>
      <c r="U275" s="47">
        <f>IFERROR(INDEX(NOVO!O:O,MATCH(PRINT!E261,NOVO!C:C,0)),"")</f>
        <v>166301</v>
      </c>
    </row>
    <row r="276" spans="1:21" s="23" customFormat="1" x14ac:dyDescent="0.35">
      <c r="A276" s="54">
        <v>0</v>
      </c>
      <c r="C276" s="23">
        <v>1022658</v>
      </c>
      <c r="D276" s="23">
        <v>1</v>
      </c>
      <c r="E276" s="23">
        <v>1022707</v>
      </c>
      <c r="F276" s="23" t="s">
        <v>1309</v>
      </c>
      <c r="G276" s="5">
        <v>15</v>
      </c>
      <c r="H276" s="23">
        <v>3</v>
      </c>
      <c r="I276" s="23">
        <v>0</v>
      </c>
      <c r="J276" s="23">
        <v>0</v>
      </c>
      <c r="K276" s="23" t="s">
        <v>24</v>
      </c>
      <c r="L276" s="23" t="s">
        <v>597</v>
      </c>
      <c r="M276" s="23" t="s">
        <v>1894</v>
      </c>
      <c r="N276" s="24">
        <v>45840</v>
      </c>
      <c r="O276" s="28">
        <v>1.0416666666666666E-2</v>
      </c>
      <c r="P276" s="3">
        <v>45810</v>
      </c>
      <c r="Q276" s="62">
        <v>45807.254027777781</v>
      </c>
      <c r="R276" s="72">
        <v>45807.264444444445</v>
      </c>
      <c r="S276" s="25">
        <v>0.2638888888888889</v>
      </c>
      <c r="T276" s="63">
        <v>2.9994444444455439</v>
      </c>
      <c r="U276" s="47">
        <f>IFERROR(INDEX(NOVO!O:O,MATCH(PRINT!E260,NOVO!C:C,0)),"")</f>
        <v>166303</v>
      </c>
    </row>
    <row r="277" spans="1:21" s="23" customFormat="1" x14ac:dyDescent="0.35">
      <c r="A277" s="54">
        <v>0</v>
      </c>
      <c r="C277" s="23">
        <v>1022658</v>
      </c>
      <c r="D277" s="23">
        <v>1</v>
      </c>
      <c r="E277" s="23">
        <v>1022703</v>
      </c>
      <c r="F277" s="23" t="s">
        <v>1796</v>
      </c>
      <c r="G277" s="5">
        <v>35</v>
      </c>
      <c r="H277" s="23">
        <v>3</v>
      </c>
      <c r="I277" s="23">
        <v>0</v>
      </c>
      <c r="J277" s="23">
        <v>0</v>
      </c>
      <c r="K277" s="23" t="s">
        <v>24</v>
      </c>
      <c r="L277" s="23" t="s">
        <v>597</v>
      </c>
      <c r="M277" s="23" t="s">
        <v>1894</v>
      </c>
      <c r="N277" s="24">
        <v>45840</v>
      </c>
      <c r="O277" s="28">
        <v>2.4305555555555556E-2</v>
      </c>
      <c r="P277" s="3">
        <v>45810</v>
      </c>
      <c r="Q277" s="62">
        <v>45807.229722222226</v>
      </c>
      <c r="R277" s="72">
        <v>45807.254027777781</v>
      </c>
      <c r="S277" s="25">
        <v>0.25347222222222221</v>
      </c>
      <c r="T277" s="63">
        <v>2.999444444438268</v>
      </c>
      <c r="U277" s="47" t="str">
        <f>IFERROR(INDEX(NOVO!O:O,MATCH(PRINT!E259,NOVO!C:C,0)),"")</f>
        <v/>
      </c>
    </row>
    <row r="278" spans="1:21" s="23" customFormat="1" x14ac:dyDescent="0.35">
      <c r="A278" s="54">
        <v>0</v>
      </c>
      <c r="C278" s="23">
        <v>1022658</v>
      </c>
      <c r="D278" s="23">
        <v>1</v>
      </c>
      <c r="E278" s="23">
        <v>1022706</v>
      </c>
      <c r="F278" s="23" t="s">
        <v>1797</v>
      </c>
      <c r="G278" s="5">
        <v>90</v>
      </c>
      <c r="H278" s="23">
        <v>6</v>
      </c>
      <c r="I278" s="23">
        <v>0</v>
      </c>
      <c r="J278" s="23">
        <v>0</v>
      </c>
      <c r="K278" s="23" t="s">
        <v>24</v>
      </c>
      <c r="L278" s="23" t="s">
        <v>597</v>
      </c>
      <c r="M278" s="23" t="s">
        <v>1894</v>
      </c>
      <c r="N278" s="24">
        <v>45840</v>
      </c>
      <c r="O278" s="28">
        <v>6.25E-2</v>
      </c>
      <c r="P278" s="3">
        <v>45810</v>
      </c>
      <c r="Q278" s="62">
        <v>45807.167222222226</v>
      </c>
      <c r="R278" s="72">
        <v>45807.229722222226</v>
      </c>
      <c r="S278" s="25">
        <v>0.22916666666666666</v>
      </c>
      <c r="T278" s="63">
        <v>2.999444444438268</v>
      </c>
      <c r="U278" s="47">
        <f>IFERROR(INDEX(NOVO!O:O,MATCH(PRINT!E258,NOVO!C:C,0)),"")</f>
        <v>166303</v>
      </c>
    </row>
    <row r="279" spans="1:21" s="23" customFormat="1" x14ac:dyDescent="0.35">
      <c r="A279" s="54">
        <v>0</v>
      </c>
      <c r="C279" s="23">
        <v>1022658</v>
      </c>
      <c r="D279" s="23">
        <v>1</v>
      </c>
      <c r="E279" s="23">
        <v>1022710</v>
      </c>
      <c r="F279" s="23" t="s">
        <v>1798</v>
      </c>
      <c r="G279" s="5">
        <v>30</v>
      </c>
      <c r="H279" s="23">
        <v>3</v>
      </c>
      <c r="I279" s="23">
        <v>0</v>
      </c>
      <c r="J279" s="23">
        <v>0</v>
      </c>
      <c r="K279" s="23" t="s">
        <v>24</v>
      </c>
      <c r="L279" s="23" t="s">
        <v>597</v>
      </c>
      <c r="M279" s="23" t="s">
        <v>1894</v>
      </c>
      <c r="N279" s="24">
        <v>45840</v>
      </c>
      <c r="O279" s="28">
        <v>2.0833333333333332E-2</v>
      </c>
      <c r="P279" s="3">
        <v>45810</v>
      </c>
      <c r="Q279" s="62">
        <v>45807.14638888889</v>
      </c>
      <c r="R279" s="72">
        <v>45807.167222222226</v>
      </c>
      <c r="S279" s="25">
        <v>0.16666666666666666</v>
      </c>
      <c r="T279" s="63">
        <v>2.999444444438268</v>
      </c>
      <c r="U279" s="47">
        <f>IFERROR(INDEX(NOVO!O:O,MATCH(PRINT!E257,NOVO!C:C,0)),"")</f>
        <v>166301</v>
      </c>
    </row>
    <row r="280" spans="1:21" s="23" customFormat="1" x14ac:dyDescent="0.35">
      <c r="A280" s="54">
        <v>0</v>
      </c>
      <c r="C280" s="23">
        <v>1022658</v>
      </c>
      <c r="D280" s="23">
        <v>1</v>
      </c>
      <c r="E280" s="23">
        <v>1022676</v>
      </c>
      <c r="F280" s="23" t="s">
        <v>1795</v>
      </c>
      <c r="G280" s="5">
        <v>25</v>
      </c>
      <c r="H280" s="23">
        <v>3</v>
      </c>
      <c r="I280" s="23">
        <v>0</v>
      </c>
      <c r="J280" s="23">
        <v>0</v>
      </c>
      <c r="K280" s="23" t="s">
        <v>24</v>
      </c>
      <c r="L280" s="23" t="s">
        <v>597</v>
      </c>
      <c r="M280" s="23" t="s">
        <v>1894</v>
      </c>
      <c r="N280" s="24">
        <v>45840</v>
      </c>
      <c r="O280" s="28">
        <v>1.7361111111111112E-2</v>
      </c>
      <c r="P280" s="3">
        <v>45810</v>
      </c>
      <c r="Q280" s="62">
        <v>45807.129027777781</v>
      </c>
      <c r="R280" s="72">
        <v>45807.14638888889</v>
      </c>
      <c r="S280" s="25">
        <v>0.14583333333333334</v>
      </c>
      <c r="T280" s="63">
        <v>2.9994444444455439</v>
      </c>
      <c r="U280" s="47">
        <f>IFERROR(INDEX(NOVO!O:O,MATCH(PRINT!E256,NOVO!C:C,0)),"")</f>
        <v>166302</v>
      </c>
    </row>
    <row r="281" spans="1:21" s="23" customFormat="1" x14ac:dyDescent="0.35">
      <c r="A281" s="54">
        <v>0</v>
      </c>
      <c r="C281" s="23">
        <v>1022657</v>
      </c>
      <c r="D281" s="23">
        <v>1</v>
      </c>
      <c r="E281" s="23">
        <v>1022676</v>
      </c>
      <c r="F281" s="23" t="s">
        <v>1795</v>
      </c>
      <c r="G281" s="5">
        <v>25</v>
      </c>
      <c r="H281" s="23">
        <v>3</v>
      </c>
      <c r="I281" s="23">
        <v>0</v>
      </c>
      <c r="J281" s="23">
        <v>0</v>
      </c>
      <c r="K281" s="23" t="s">
        <v>24</v>
      </c>
      <c r="L281" s="23" t="s">
        <v>597</v>
      </c>
      <c r="M281" s="23" t="s">
        <v>1894</v>
      </c>
      <c r="N281" s="24">
        <v>45840</v>
      </c>
      <c r="O281" s="28">
        <v>1.7361111111111112E-2</v>
      </c>
      <c r="P281" s="3">
        <v>45810</v>
      </c>
      <c r="Q281" s="62">
        <v>45807.111666666671</v>
      </c>
      <c r="R281" s="72">
        <v>45807.129027777781</v>
      </c>
      <c r="S281" s="25">
        <v>0.12847222222222221</v>
      </c>
      <c r="T281" s="63">
        <v>2.999444444438268</v>
      </c>
      <c r="U281" s="47">
        <f>IFERROR(INDEX(NOVO!O:O,MATCH(PRINT!E255,NOVO!C:C,0)),"")</f>
        <v>166303</v>
      </c>
    </row>
    <row r="282" spans="1:21" s="23" customFormat="1" x14ac:dyDescent="0.35">
      <c r="A282" s="54">
        <v>0</v>
      </c>
      <c r="C282" s="23">
        <v>1022657</v>
      </c>
      <c r="D282" s="23">
        <v>1</v>
      </c>
      <c r="E282" s="23">
        <v>1022706</v>
      </c>
      <c r="F282" s="23" t="s">
        <v>1797</v>
      </c>
      <c r="G282" s="5">
        <v>10</v>
      </c>
      <c r="H282" s="23">
        <v>6</v>
      </c>
      <c r="I282" s="23">
        <v>0</v>
      </c>
      <c r="J282" s="23">
        <v>0</v>
      </c>
      <c r="K282" s="23" t="s">
        <v>24</v>
      </c>
      <c r="L282" s="23" t="s">
        <v>597</v>
      </c>
      <c r="M282" s="23" t="s">
        <v>1894</v>
      </c>
      <c r="N282" s="24">
        <v>45840</v>
      </c>
      <c r="O282" s="28">
        <v>7.4999999999999997E-3</v>
      </c>
      <c r="P282" s="3">
        <v>45810</v>
      </c>
      <c r="Q282" s="62">
        <v>45807.104166666672</v>
      </c>
      <c r="R282" s="72">
        <v>45807.111666666671</v>
      </c>
      <c r="S282" s="25">
        <v>0.1111111111111111</v>
      </c>
      <c r="T282" s="63">
        <v>2.999444444438268</v>
      </c>
      <c r="U282" s="47" t="str">
        <f>IFERROR(INDEX(NOVO!O:O,MATCH(PRINT!E254,NOVO!C:C,0)),"")</f>
        <v/>
      </c>
    </row>
    <row r="283" spans="1:21" s="23" customFormat="1" x14ac:dyDescent="0.35">
      <c r="A283" s="54"/>
      <c r="G283" s="5"/>
      <c r="N283" s="24" t="s">
        <v>198</v>
      </c>
      <c r="O283" s="28">
        <v>2.0833333333333332E-2</v>
      </c>
      <c r="P283" s="3">
        <v>45810</v>
      </c>
      <c r="Q283" s="62">
        <v>45807.083333333336</v>
      </c>
      <c r="R283" s="72">
        <v>45807.104166666672</v>
      </c>
      <c r="S283" s="25">
        <v>0.10416666666666667</v>
      </c>
      <c r="T283" s="63">
        <v>2.999999999992724</v>
      </c>
      <c r="U283" s="47">
        <f>IFERROR(INDEX(NOVO!O:O,MATCH(PRINT!E253,NOVO!C:C,0)),"")</f>
        <v>166303</v>
      </c>
    </row>
    <row r="284" spans="1:21" s="23" customFormat="1" x14ac:dyDescent="0.35">
      <c r="A284" s="54">
        <v>0</v>
      </c>
      <c r="C284" s="23">
        <v>1022657</v>
      </c>
      <c r="D284" s="23">
        <v>1</v>
      </c>
      <c r="E284" s="23">
        <v>1022706</v>
      </c>
      <c r="F284" s="23" t="s">
        <v>1797</v>
      </c>
      <c r="G284" s="5">
        <v>79</v>
      </c>
      <c r="H284" s="23">
        <v>6</v>
      </c>
      <c r="I284" s="23">
        <v>0</v>
      </c>
      <c r="J284" s="23">
        <v>0</v>
      </c>
      <c r="K284" s="23" t="s">
        <v>24</v>
      </c>
      <c r="L284" s="23" t="s">
        <v>597</v>
      </c>
      <c r="M284" s="23" t="s">
        <v>1894</v>
      </c>
      <c r="N284" s="24">
        <v>45840</v>
      </c>
      <c r="O284" s="28">
        <v>5.5000000007566996E-2</v>
      </c>
      <c r="P284" s="3">
        <v>45810</v>
      </c>
      <c r="Q284" s="62">
        <v>45807.028333333328</v>
      </c>
      <c r="R284" s="72">
        <v>45807.083333333336</v>
      </c>
      <c r="S284" s="25">
        <v>8.3333333333333329E-2</v>
      </c>
      <c r="T284" s="63">
        <v>3</v>
      </c>
      <c r="U284" s="47">
        <f>IFERROR(INDEX(NOVO!O:O,MATCH(PRINT!E252,NOVO!C:C,0)),"")</f>
        <v>159594</v>
      </c>
    </row>
    <row r="285" spans="1:21" s="23" customFormat="1" x14ac:dyDescent="0.35">
      <c r="A285" s="54">
        <v>0</v>
      </c>
      <c r="C285" s="23">
        <v>1022657</v>
      </c>
      <c r="D285" s="23">
        <v>1</v>
      </c>
      <c r="E285" s="23">
        <v>1022703</v>
      </c>
      <c r="F285" s="23" t="s">
        <v>1796</v>
      </c>
      <c r="G285" s="5">
        <v>35</v>
      </c>
      <c r="H285" s="23">
        <v>3</v>
      </c>
      <c r="I285" s="23">
        <v>0</v>
      </c>
      <c r="J285" s="23">
        <v>0</v>
      </c>
      <c r="K285" s="23" t="s">
        <v>24</v>
      </c>
      <c r="L285" s="23" t="s">
        <v>597</v>
      </c>
      <c r="M285" s="23" t="s">
        <v>1894</v>
      </c>
      <c r="N285" s="24">
        <v>45840</v>
      </c>
      <c r="O285" s="28">
        <v>2.4305555555555556E-2</v>
      </c>
      <c r="P285" s="3">
        <v>45810</v>
      </c>
      <c r="Q285" s="62">
        <v>45807.004027777773</v>
      </c>
      <c r="R285" s="72">
        <v>45807.028333333328</v>
      </c>
      <c r="S285" s="25">
        <v>2.7777777777777776E-2</v>
      </c>
      <c r="T285" s="63">
        <v>2.9994444444528199</v>
      </c>
      <c r="U285" s="47">
        <f>IFERROR(INDEX(NOVO!O:O,MATCH(PRINT!E251,NOVO!C:C,0)),"")</f>
        <v>159591</v>
      </c>
    </row>
    <row r="286" spans="1:21" s="23" customFormat="1" x14ac:dyDescent="0.35">
      <c r="A286" s="54">
        <v>0</v>
      </c>
      <c r="C286" s="23">
        <v>1022657</v>
      </c>
      <c r="D286" s="23">
        <v>1</v>
      </c>
      <c r="E286" s="23">
        <v>1022707</v>
      </c>
      <c r="F286" s="23" t="s">
        <v>1309</v>
      </c>
      <c r="G286" s="5">
        <v>15</v>
      </c>
      <c r="H286" s="23">
        <v>3</v>
      </c>
      <c r="I286" s="23">
        <v>0</v>
      </c>
      <c r="J286" s="23">
        <v>0</v>
      </c>
      <c r="K286" s="23" t="s">
        <v>24</v>
      </c>
      <c r="L286" s="23" t="s">
        <v>597</v>
      </c>
      <c r="M286" s="23" t="s">
        <v>1894</v>
      </c>
      <c r="N286" s="24">
        <v>45840</v>
      </c>
      <c r="O286" s="28">
        <v>1.0416666666666666E-2</v>
      </c>
      <c r="P286" s="3">
        <v>45810</v>
      </c>
      <c r="Q286" s="62">
        <v>45806.993611111109</v>
      </c>
      <c r="R286" s="72">
        <v>45807.004027777773</v>
      </c>
      <c r="S286" s="25">
        <v>3.472222222222222E-3</v>
      </c>
      <c r="T286" s="63">
        <v>2.9994444444455439</v>
      </c>
      <c r="U286" s="47">
        <f>IFERROR(INDEX(NOVO!O:O,MATCH(PRINT!E250,NOVO!C:C,0)),"")</f>
        <v>159592</v>
      </c>
    </row>
    <row r="287" spans="1:21" s="23" customFormat="1" x14ac:dyDescent="0.35">
      <c r="A287" s="54">
        <v>0</v>
      </c>
      <c r="C287" s="23">
        <v>1022657</v>
      </c>
      <c r="D287" s="23">
        <v>1</v>
      </c>
      <c r="E287" s="23">
        <v>1022710</v>
      </c>
      <c r="F287" s="23" t="s">
        <v>1798</v>
      </c>
      <c r="G287" s="5">
        <v>30</v>
      </c>
      <c r="H287" s="23">
        <v>3</v>
      </c>
      <c r="I287" s="23">
        <v>0</v>
      </c>
      <c r="J287" s="23">
        <v>0</v>
      </c>
      <c r="K287" s="23" t="s">
        <v>24</v>
      </c>
      <c r="L287" s="23" t="s">
        <v>597</v>
      </c>
      <c r="M287" s="23" t="s">
        <v>1894</v>
      </c>
      <c r="N287" s="24">
        <v>45840</v>
      </c>
      <c r="O287" s="28">
        <v>2.0833333333333332E-2</v>
      </c>
      <c r="P287" s="3">
        <v>45810</v>
      </c>
      <c r="Q287" s="62">
        <v>45806.972777777773</v>
      </c>
      <c r="R287" s="72">
        <v>45806.993611111109</v>
      </c>
      <c r="S287" s="25">
        <v>0.99305555555555558</v>
      </c>
      <c r="T287" s="63">
        <v>3.9994444444455439</v>
      </c>
      <c r="U287" s="47">
        <f>IFERROR(INDEX(NOVO!O:O,MATCH(PRINT!E249,NOVO!C:C,0)),"")</f>
        <v>159593</v>
      </c>
    </row>
    <row r="288" spans="1:21" s="23" customFormat="1" x14ac:dyDescent="0.35">
      <c r="A288" s="54">
        <v>0</v>
      </c>
      <c r="C288" s="23">
        <v>1022657</v>
      </c>
      <c r="D288" s="23">
        <v>1</v>
      </c>
      <c r="E288" s="23">
        <v>1022670</v>
      </c>
      <c r="F288" s="23" t="s">
        <v>1794</v>
      </c>
      <c r="G288" s="5">
        <v>20</v>
      </c>
      <c r="H288" s="23">
        <v>3</v>
      </c>
      <c r="I288" s="23">
        <v>0</v>
      </c>
      <c r="J288" s="23">
        <v>0</v>
      </c>
      <c r="K288" s="23" t="s">
        <v>24</v>
      </c>
      <c r="L288" s="23" t="s">
        <v>597</v>
      </c>
      <c r="M288" s="23" t="s">
        <v>1894</v>
      </c>
      <c r="N288" s="24">
        <v>45840</v>
      </c>
      <c r="O288" s="28">
        <v>1.3888888888888888E-2</v>
      </c>
      <c r="P288" s="3">
        <v>45810</v>
      </c>
      <c r="Q288" s="62">
        <v>45806.958888888883</v>
      </c>
      <c r="R288" s="72">
        <v>45806.972777777773</v>
      </c>
      <c r="S288" s="25">
        <v>0.97222222222222221</v>
      </c>
      <c r="T288" s="63">
        <v>3.9994444444455439</v>
      </c>
      <c r="U288" s="47" t="str">
        <f>IFERROR(INDEX(NOVO!O:O,MATCH(PRINT!E248,NOVO!C:C,0)),"")</f>
        <v/>
      </c>
    </row>
    <row r="289" spans="1:21" s="23" customFormat="1" x14ac:dyDescent="0.35">
      <c r="A289" s="54">
        <v>0</v>
      </c>
      <c r="C289" s="23">
        <v>1021769</v>
      </c>
      <c r="D289" s="23">
        <v>1</v>
      </c>
      <c r="E289" s="23">
        <v>1021753</v>
      </c>
      <c r="F289" s="23" t="s">
        <v>1052</v>
      </c>
      <c r="G289" s="5">
        <v>50</v>
      </c>
      <c r="H289" s="23">
        <v>1</v>
      </c>
      <c r="I289" s="23">
        <v>0</v>
      </c>
      <c r="J289" s="23">
        <v>0</v>
      </c>
      <c r="K289" s="23" t="s">
        <v>24</v>
      </c>
      <c r="L289" s="23" t="s">
        <v>597</v>
      </c>
      <c r="M289" s="23" t="s">
        <v>1893</v>
      </c>
      <c r="N289" s="24">
        <v>45817</v>
      </c>
      <c r="O289" s="28">
        <v>3.4722222222222224E-2</v>
      </c>
      <c r="P289" s="3">
        <v>45810</v>
      </c>
      <c r="Q289" s="62">
        <v>45806.924166666664</v>
      </c>
      <c r="R289" s="72">
        <v>45806.958888888883</v>
      </c>
      <c r="S289" s="25">
        <v>0.95833333333333337</v>
      </c>
      <c r="T289" s="63">
        <v>3.9994444444528199</v>
      </c>
      <c r="U289" s="47">
        <f>IFERROR(INDEX(NOVO!O:O,MATCH(PRINT!E247,NOVO!C:C,0)),"")</f>
        <v>159593</v>
      </c>
    </row>
    <row r="290" spans="1:21" s="23" customFormat="1" x14ac:dyDescent="0.35">
      <c r="A290" s="54">
        <v>0</v>
      </c>
      <c r="C290" s="23">
        <v>1021769</v>
      </c>
      <c r="D290" s="23">
        <v>1</v>
      </c>
      <c r="E290" s="23">
        <v>1021762</v>
      </c>
      <c r="F290" s="23" t="s">
        <v>949</v>
      </c>
      <c r="G290" s="5">
        <v>10</v>
      </c>
      <c r="H290" s="23">
        <v>1</v>
      </c>
      <c r="I290" s="23">
        <v>0</v>
      </c>
      <c r="J290" s="23">
        <v>0</v>
      </c>
      <c r="K290" s="23" t="s">
        <v>24</v>
      </c>
      <c r="L290" s="23" t="s">
        <v>597</v>
      </c>
      <c r="M290" s="23" t="s">
        <v>1893</v>
      </c>
      <c r="N290" s="24">
        <v>45817</v>
      </c>
      <c r="O290" s="28">
        <v>6.9444444444444441E-3</v>
      </c>
      <c r="P290" s="3">
        <v>45810</v>
      </c>
      <c r="Q290" s="62">
        <v>45806.917222222219</v>
      </c>
      <c r="R290" s="72">
        <v>45806.924166666664</v>
      </c>
      <c r="S290" s="25">
        <v>0.92361111111111116</v>
      </c>
      <c r="T290" s="63">
        <v>3.9994444444455439</v>
      </c>
      <c r="U290" s="47">
        <f>IFERROR(INDEX(NOVO!O:O,MATCH(PRINT!E246,NOVO!C:C,0)),"")</f>
        <v>159595</v>
      </c>
    </row>
    <row r="291" spans="1:21" s="23" customFormat="1" x14ac:dyDescent="0.35">
      <c r="A291" s="54">
        <v>0</v>
      </c>
      <c r="C291" s="23">
        <v>1021655</v>
      </c>
      <c r="D291" s="23">
        <v>1</v>
      </c>
      <c r="E291" s="23">
        <v>1021726</v>
      </c>
      <c r="F291" s="23" t="s">
        <v>1832</v>
      </c>
      <c r="G291" s="5">
        <v>7</v>
      </c>
      <c r="H291" s="23">
        <v>1</v>
      </c>
      <c r="I291" s="23">
        <v>0</v>
      </c>
      <c r="J291" s="23">
        <v>0</v>
      </c>
      <c r="K291" s="23" t="s">
        <v>24</v>
      </c>
      <c r="L291" s="23" t="s">
        <v>597</v>
      </c>
      <c r="M291" s="23" t="s">
        <v>1892</v>
      </c>
      <c r="N291" s="24">
        <v>45825</v>
      </c>
      <c r="O291" s="28">
        <v>4.8611111111111112E-3</v>
      </c>
      <c r="P291" s="3">
        <v>45810</v>
      </c>
      <c r="Q291" s="62">
        <v>45806.912361111106</v>
      </c>
      <c r="R291" s="72">
        <v>45806.917222222219</v>
      </c>
      <c r="S291" s="25">
        <v>0.91666666666666663</v>
      </c>
      <c r="T291" s="63">
        <v>3.9994444444455439</v>
      </c>
      <c r="U291" s="47">
        <f>IFERROR(INDEX(NOVO!O:O,MATCH(PRINT!E245,NOVO!C:C,0)),"")</f>
        <v>159597</v>
      </c>
    </row>
    <row r="292" spans="1:21" s="23" customFormat="1" x14ac:dyDescent="0.35">
      <c r="A292" s="54">
        <v>0</v>
      </c>
      <c r="C292" s="23">
        <v>1021655</v>
      </c>
      <c r="D292" s="23">
        <v>1</v>
      </c>
      <c r="E292" s="23">
        <v>1021680</v>
      </c>
      <c r="F292" s="23" t="s">
        <v>1861</v>
      </c>
      <c r="G292" s="5">
        <v>60</v>
      </c>
      <c r="H292" s="23">
        <v>1</v>
      </c>
      <c r="I292" s="23">
        <v>0</v>
      </c>
      <c r="J292" s="23">
        <v>0</v>
      </c>
      <c r="K292" s="23" t="s">
        <v>24</v>
      </c>
      <c r="L292" s="23" t="s">
        <v>597</v>
      </c>
      <c r="M292" s="23" t="s">
        <v>1892</v>
      </c>
      <c r="N292" s="24">
        <v>45825</v>
      </c>
      <c r="O292" s="28">
        <v>4.1666666666666664E-2</v>
      </c>
      <c r="P292" s="3">
        <v>45810</v>
      </c>
      <c r="Q292" s="62">
        <v>45806.870694444442</v>
      </c>
      <c r="R292" s="72">
        <v>45806.912361111106</v>
      </c>
      <c r="S292" s="25">
        <v>0.91180555555555554</v>
      </c>
      <c r="T292" s="63">
        <v>3.9994444444528199</v>
      </c>
      <c r="U292" s="47">
        <f>IFERROR(INDEX(NOVO!O:O,MATCH(PRINT!E244,NOVO!C:C,0)),"")</f>
        <v>226174</v>
      </c>
    </row>
    <row r="293" spans="1:21" s="23" customFormat="1" x14ac:dyDescent="0.35">
      <c r="A293" s="54">
        <v>0</v>
      </c>
      <c r="C293" s="23">
        <v>1021655</v>
      </c>
      <c r="D293" s="23">
        <v>1</v>
      </c>
      <c r="E293" s="23">
        <v>1021700</v>
      </c>
      <c r="F293" s="23" t="s">
        <v>1860</v>
      </c>
      <c r="G293" s="5">
        <v>60</v>
      </c>
      <c r="H293" s="23">
        <v>1</v>
      </c>
      <c r="I293" s="23">
        <v>0</v>
      </c>
      <c r="J293" s="23">
        <v>0</v>
      </c>
      <c r="K293" s="23" t="s">
        <v>24</v>
      </c>
      <c r="L293" s="23" t="s">
        <v>597</v>
      </c>
      <c r="M293" s="23" t="s">
        <v>1892</v>
      </c>
      <c r="N293" s="24">
        <v>45825</v>
      </c>
      <c r="O293" s="28">
        <v>4.1666666666666664E-2</v>
      </c>
      <c r="P293" s="3">
        <v>45810</v>
      </c>
      <c r="Q293" s="62">
        <v>45806.829027777778</v>
      </c>
      <c r="R293" s="72">
        <v>45806.870694444442</v>
      </c>
      <c r="S293" s="25">
        <v>0.87013888888888891</v>
      </c>
      <c r="T293" s="63">
        <v>3.9994444444455439</v>
      </c>
      <c r="U293" s="47">
        <f>IFERROR(INDEX(NOVO!O:O,MATCH(PRINT!E243,NOVO!C:C,0)),"")</f>
        <v>226149</v>
      </c>
    </row>
    <row r="294" spans="1:21" s="23" customFormat="1" x14ac:dyDescent="0.35">
      <c r="A294" s="54">
        <v>0</v>
      </c>
      <c r="C294" s="23">
        <v>1018483</v>
      </c>
      <c r="D294" s="23">
        <v>1</v>
      </c>
      <c r="E294" s="23">
        <v>1018540</v>
      </c>
      <c r="F294" s="23" t="s">
        <v>1865</v>
      </c>
      <c r="G294" s="5">
        <v>15</v>
      </c>
      <c r="H294" s="23">
        <v>1</v>
      </c>
      <c r="I294" s="23">
        <v>0</v>
      </c>
      <c r="J294" s="23">
        <v>0</v>
      </c>
      <c r="K294" s="23" t="s">
        <v>24</v>
      </c>
      <c r="L294" s="23" t="s">
        <v>597</v>
      </c>
      <c r="M294" s="23" t="s">
        <v>1891</v>
      </c>
      <c r="N294" s="24">
        <v>45820</v>
      </c>
      <c r="O294" s="28">
        <v>1.0416666666666666E-2</v>
      </c>
      <c r="P294" s="3">
        <v>45810</v>
      </c>
      <c r="Q294" s="62">
        <v>45806.818611111114</v>
      </c>
      <c r="R294" s="72">
        <v>45806.829027777778</v>
      </c>
      <c r="S294" s="25">
        <v>0.82847222222222228</v>
      </c>
      <c r="T294" s="63">
        <v>3.9994444444455439</v>
      </c>
      <c r="U294" s="47">
        <f>IFERROR(INDEX(NOVO!O:O,MATCH(PRINT!E242,NOVO!C:C,0)),"")</f>
        <v>226148</v>
      </c>
    </row>
    <row r="295" spans="1:21" s="23" customFormat="1" x14ac:dyDescent="0.35">
      <c r="A295" s="54">
        <v>0</v>
      </c>
      <c r="C295" s="23">
        <v>1018116</v>
      </c>
      <c r="D295" s="23">
        <v>10</v>
      </c>
      <c r="E295" s="23">
        <v>1018120</v>
      </c>
      <c r="F295" s="23" t="s">
        <v>225</v>
      </c>
      <c r="G295" s="5">
        <v>68</v>
      </c>
      <c r="H295" s="23">
        <v>10</v>
      </c>
      <c r="I295" s="23">
        <v>0</v>
      </c>
      <c r="J295" s="23">
        <v>0</v>
      </c>
      <c r="K295" s="23" t="s">
        <v>24</v>
      </c>
      <c r="L295" s="23" t="s">
        <v>597</v>
      </c>
      <c r="M295" s="23" t="s">
        <v>1890</v>
      </c>
      <c r="N295" s="24">
        <v>45839</v>
      </c>
      <c r="O295" s="28">
        <v>4.777777777777778E-2</v>
      </c>
      <c r="P295" s="3">
        <v>45810</v>
      </c>
      <c r="Q295" s="62">
        <v>45806.770833333336</v>
      </c>
      <c r="R295" s="72">
        <v>45806.818611111114</v>
      </c>
      <c r="S295" s="25">
        <v>0.81805555555555554</v>
      </c>
      <c r="T295" s="63">
        <v>3.9994444444455439</v>
      </c>
      <c r="U295" s="47">
        <f>IFERROR(INDEX(NOVO!O:O,MATCH(PRINT!E241,NOVO!C:C,0)),"")</f>
        <v>216452</v>
      </c>
    </row>
    <row r="296" spans="1:21" s="23" customFormat="1" x14ac:dyDescent="0.35">
      <c r="A296" s="54"/>
      <c r="G296" s="5"/>
      <c r="N296" s="24" t="s">
        <v>198</v>
      </c>
      <c r="O296" s="28">
        <v>2.0833333333333332E-2</v>
      </c>
      <c r="P296" s="3">
        <v>45810</v>
      </c>
      <c r="Q296" s="62">
        <v>45806.75</v>
      </c>
      <c r="R296" s="72">
        <v>45806.770833333336</v>
      </c>
      <c r="S296" s="25">
        <v>0.77083333333333337</v>
      </c>
      <c r="T296" s="63">
        <v>4</v>
      </c>
      <c r="U296" s="47">
        <f>IFERROR(INDEX(NOVO!O:O,MATCH(PRINT!E240,NOVO!C:C,0)),"")</f>
        <v>233224</v>
      </c>
    </row>
    <row r="297" spans="1:21" s="23" customFormat="1" x14ac:dyDescent="0.35">
      <c r="A297" s="54">
        <v>0</v>
      </c>
      <c r="C297" s="23">
        <v>1018116</v>
      </c>
      <c r="D297" s="23">
        <v>10</v>
      </c>
      <c r="E297" s="23">
        <v>1018120</v>
      </c>
      <c r="F297" s="23" t="s">
        <v>225</v>
      </c>
      <c r="G297" s="5">
        <v>181</v>
      </c>
      <c r="H297" s="23">
        <v>10</v>
      </c>
      <c r="I297" s="23">
        <v>0</v>
      </c>
      <c r="J297" s="23">
        <v>0</v>
      </c>
      <c r="K297" s="23" t="s">
        <v>24</v>
      </c>
      <c r="L297" s="23" t="s">
        <v>597</v>
      </c>
      <c r="M297" s="23" t="s">
        <v>1890</v>
      </c>
      <c r="N297" s="24">
        <v>45839</v>
      </c>
      <c r="O297" s="28">
        <v>0.12583333333168412</v>
      </c>
      <c r="P297" s="3">
        <v>45810</v>
      </c>
      <c r="Q297" s="62">
        <v>45806.624166666668</v>
      </c>
      <c r="R297" s="72">
        <v>45806.75</v>
      </c>
      <c r="S297" s="25">
        <v>0.75</v>
      </c>
      <c r="T297" s="63">
        <v>4</v>
      </c>
      <c r="U297" s="47">
        <f>IFERROR(INDEX(NOVO!O:O,MATCH(PRINT!E239,NOVO!C:C,0)),"")</f>
        <v>233224</v>
      </c>
    </row>
    <row r="298" spans="1:21" s="23" customFormat="1" x14ac:dyDescent="0.35">
      <c r="A298" s="54">
        <v>0</v>
      </c>
      <c r="C298" s="23">
        <v>1017567</v>
      </c>
      <c r="D298" s="23">
        <v>1</v>
      </c>
      <c r="E298" s="23">
        <v>1017592</v>
      </c>
      <c r="F298" s="23" t="s">
        <v>1861</v>
      </c>
      <c r="G298" s="5">
        <v>60</v>
      </c>
      <c r="H298" s="23">
        <v>1</v>
      </c>
      <c r="I298" s="23">
        <v>0</v>
      </c>
      <c r="J298" s="23">
        <v>0</v>
      </c>
      <c r="K298" s="23" t="s">
        <v>24</v>
      </c>
      <c r="L298" s="23" t="s">
        <v>597</v>
      </c>
      <c r="M298" s="23" t="s">
        <v>1889</v>
      </c>
      <c r="N298" s="24">
        <v>45825</v>
      </c>
      <c r="O298" s="28">
        <v>4.1666666666666664E-2</v>
      </c>
      <c r="P298" s="3">
        <v>45810</v>
      </c>
      <c r="Q298" s="62">
        <v>45806.582500000004</v>
      </c>
      <c r="R298" s="72">
        <v>45806.624166666668</v>
      </c>
      <c r="S298" s="25">
        <v>0.62361111111111112</v>
      </c>
      <c r="T298" s="63">
        <v>3.9994444444455439</v>
      </c>
      <c r="U298" s="47" t="str">
        <f>IFERROR(INDEX(NOVO!O:O,MATCH(PRINT!E238,NOVO!C:C,0)),"")</f>
        <v/>
      </c>
    </row>
    <row r="299" spans="1:21" s="23" customFormat="1" x14ac:dyDescent="0.35">
      <c r="A299" s="54">
        <v>0</v>
      </c>
      <c r="C299" s="23">
        <v>1017567</v>
      </c>
      <c r="D299" s="23">
        <v>1</v>
      </c>
      <c r="E299" s="23">
        <v>1017612</v>
      </c>
      <c r="F299" s="23" t="s">
        <v>1860</v>
      </c>
      <c r="G299" s="5">
        <v>60</v>
      </c>
      <c r="H299" s="23">
        <v>1</v>
      </c>
      <c r="I299" s="23">
        <v>0</v>
      </c>
      <c r="J299" s="23">
        <v>0</v>
      </c>
      <c r="K299" s="23" t="s">
        <v>24</v>
      </c>
      <c r="L299" s="23" t="s">
        <v>597</v>
      </c>
      <c r="M299" s="23" t="s">
        <v>1889</v>
      </c>
      <c r="N299" s="24">
        <v>45825</v>
      </c>
      <c r="O299" s="28">
        <v>4.1666666666666664E-2</v>
      </c>
      <c r="P299" s="3">
        <v>45810</v>
      </c>
      <c r="Q299" s="62">
        <v>45806.54083333334</v>
      </c>
      <c r="R299" s="72">
        <v>45806.582500000004</v>
      </c>
      <c r="S299" s="25">
        <v>0.58194444444444449</v>
      </c>
      <c r="T299" s="63">
        <v>3.999444444438268</v>
      </c>
      <c r="U299" s="47">
        <f>IFERROR(INDEX(NOVO!O:O,MATCH(PRINT!E237,NOVO!C:C,0)),"")</f>
        <v>233224</v>
      </c>
    </row>
    <row r="300" spans="1:21" s="23" customFormat="1" x14ac:dyDescent="0.35">
      <c r="A300" s="54">
        <v>0</v>
      </c>
      <c r="C300" s="23">
        <v>1017567</v>
      </c>
      <c r="D300" s="23">
        <v>1</v>
      </c>
      <c r="E300" s="23">
        <v>1017638</v>
      </c>
      <c r="F300" s="23" t="s">
        <v>1832</v>
      </c>
      <c r="G300" s="5">
        <v>7</v>
      </c>
      <c r="H300" s="23">
        <v>1</v>
      </c>
      <c r="I300" s="23">
        <v>0</v>
      </c>
      <c r="J300" s="23">
        <v>0</v>
      </c>
      <c r="K300" s="23" t="s">
        <v>24</v>
      </c>
      <c r="L300" s="23" t="s">
        <v>597</v>
      </c>
      <c r="M300" s="23" t="s">
        <v>1889</v>
      </c>
      <c r="N300" s="24">
        <v>45825</v>
      </c>
      <c r="O300" s="28">
        <v>4.8611111111111112E-3</v>
      </c>
      <c r="P300" s="3">
        <v>45810</v>
      </c>
      <c r="Q300" s="62">
        <v>45806.535972222227</v>
      </c>
      <c r="R300" s="72">
        <v>45806.54083333334</v>
      </c>
      <c r="S300" s="25">
        <v>0.54027777777777775</v>
      </c>
      <c r="T300" s="63">
        <v>3.999444444438268</v>
      </c>
      <c r="U300" s="47">
        <f>IFERROR(INDEX(NOVO!O:O,MATCH(PRINT!E236,NOVO!C:C,0)),"")</f>
        <v>233224</v>
      </c>
    </row>
    <row r="301" spans="1:21" s="23" customFormat="1" x14ac:dyDescent="0.35">
      <c r="A301" s="54">
        <v>0</v>
      </c>
      <c r="C301" s="23">
        <v>1017215</v>
      </c>
      <c r="D301" s="23">
        <v>1</v>
      </c>
      <c r="E301" s="23">
        <v>1017305</v>
      </c>
      <c r="F301" s="23" t="s">
        <v>1888</v>
      </c>
      <c r="G301" s="5">
        <v>25</v>
      </c>
      <c r="H301" s="23">
        <v>1</v>
      </c>
      <c r="I301" s="23">
        <v>0</v>
      </c>
      <c r="J301" s="23">
        <v>0</v>
      </c>
      <c r="K301" s="23" t="s">
        <v>24</v>
      </c>
      <c r="L301" s="23" t="s">
        <v>597</v>
      </c>
      <c r="M301" s="23" t="s">
        <v>1887</v>
      </c>
      <c r="N301" s="24">
        <v>45828</v>
      </c>
      <c r="O301" s="28">
        <v>1.7361111111111112E-2</v>
      </c>
      <c r="P301" s="3">
        <v>45810</v>
      </c>
      <c r="Q301" s="62">
        <v>45806.518611111118</v>
      </c>
      <c r="R301" s="72">
        <v>45806.535972222227</v>
      </c>
      <c r="S301" s="25">
        <v>0.53541666666666665</v>
      </c>
      <c r="T301" s="63">
        <v>3.999444444438268</v>
      </c>
      <c r="U301" s="47">
        <f>IFERROR(INDEX(NOVO!O:O,MATCH(PRINT!E235,NOVO!C:C,0)),"")</f>
        <v>233224</v>
      </c>
    </row>
    <row r="302" spans="1:21" s="23" customFormat="1" x14ac:dyDescent="0.35">
      <c r="A302" s="54">
        <v>0</v>
      </c>
      <c r="C302" s="23">
        <v>1017215</v>
      </c>
      <c r="D302" s="23">
        <v>1</v>
      </c>
      <c r="E302" s="23">
        <v>1017311</v>
      </c>
      <c r="F302" s="23" t="s">
        <v>453</v>
      </c>
      <c r="G302" s="5">
        <v>30</v>
      </c>
      <c r="H302" s="23">
        <v>1</v>
      </c>
      <c r="I302" s="23">
        <v>0</v>
      </c>
      <c r="J302" s="23">
        <v>0</v>
      </c>
      <c r="K302" s="23" t="s">
        <v>24</v>
      </c>
      <c r="L302" s="23" t="s">
        <v>597</v>
      </c>
      <c r="M302" s="23" t="s">
        <v>1887</v>
      </c>
      <c r="N302" s="24">
        <v>45828</v>
      </c>
      <c r="O302" s="28">
        <v>2.0833333333333332E-2</v>
      </c>
      <c r="P302" s="3">
        <v>45810</v>
      </c>
      <c r="Q302" s="62">
        <v>45806.497777777782</v>
      </c>
      <c r="R302" s="72">
        <v>45806.518611111118</v>
      </c>
      <c r="S302" s="25">
        <v>0.5180555555555556</v>
      </c>
      <c r="T302" s="63">
        <v>3.999444444438268</v>
      </c>
      <c r="U302" s="47">
        <f>IFERROR(INDEX(NOVO!O:O,MATCH(PRINT!E234,NOVO!C:C,0)),"")</f>
        <v>227549</v>
      </c>
    </row>
    <row r="303" spans="1:21" s="23" customFormat="1" x14ac:dyDescent="0.35">
      <c r="A303" s="54">
        <v>0</v>
      </c>
      <c r="C303" s="23">
        <v>1014995</v>
      </c>
      <c r="D303" s="23">
        <v>1</v>
      </c>
      <c r="E303" s="23">
        <v>1014996</v>
      </c>
      <c r="F303" s="23" t="s">
        <v>1628</v>
      </c>
      <c r="G303" s="5">
        <v>20</v>
      </c>
      <c r="H303" s="23">
        <v>1</v>
      </c>
      <c r="I303" s="23">
        <v>0</v>
      </c>
      <c r="J303" s="23">
        <v>0</v>
      </c>
      <c r="K303" s="23" t="s">
        <v>24</v>
      </c>
      <c r="L303" s="23" t="s">
        <v>597</v>
      </c>
      <c r="M303" s="23" t="s">
        <v>1886</v>
      </c>
      <c r="N303" s="24">
        <v>45834</v>
      </c>
      <c r="O303" s="28">
        <v>1.3888888888888888E-2</v>
      </c>
      <c r="P303" s="3">
        <v>45810</v>
      </c>
      <c r="Q303" s="62">
        <v>45806.483888888892</v>
      </c>
      <c r="R303" s="72">
        <v>45806.497777777782</v>
      </c>
      <c r="S303" s="25">
        <v>0.49722222222222223</v>
      </c>
      <c r="T303" s="63">
        <v>3.999444444438268</v>
      </c>
      <c r="U303" s="47">
        <f>IFERROR(INDEX(NOVO!O:O,MATCH(PRINT!E233,NOVO!C:C,0)),"")</f>
        <v>227566</v>
      </c>
    </row>
    <row r="304" spans="1:21" s="23" customFormat="1" x14ac:dyDescent="0.35">
      <c r="A304" s="54">
        <v>0</v>
      </c>
      <c r="C304" s="23">
        <v>1014995</v>
      </c>
      <c r="D304" s="23">
        <v>1</v>
      </c>
      <c r="E304" s="23">
        <v>1014997</v>
      </c>
      <c r="F304" s="23" t="s">
        <v>1629</v>
      </c>
      <c r="G304" s="5">
        <v>10</v>
      </c>
      <c r="H304" s="23">
        <v>1</v>
      </c>
      <c r="I304" s="23">
        <v>0</v>
      </c>
      <c r="J304" s="23">
        <v>0</v>
      </c>
      <c r="K304" s="23" t="s">
        <v>24</v>
      </c>
      <c r="L304" s="23" t="s">
        <v>597</v>
      </c>
      <c r="M304" s="23" t="s">
        <v>1886</v>
      </c>
      <c r="N304" s="24">
        <v>45834</v>
      </c>
      <c r="O304" s="28">
        <v>6.9444444444444441E-3</v>
      </c>
      <c r="P304" s="3">
        <v>45810</v>
      </c>
      <c r="Q304" s="62">
        <v>45806.476944444446</v>
      </c>
      <c r="R304" s="72">
        <v>45806.483888888892</v>
      </c>
      <c r="S304" s="25">
        <v>0.48333333333333334</v>
      </c>
      <c r="T304" s="63">
        <v>3.999444444438268</v>
      </c>
      <c r="U304" s="47">
        <f>IFERROR(INDEX(NOVO!O:O,MATCH(PRINT!E232,NOVO!C:C,0)),"")</f>
        <v>227566</v>
      </c>
    </row>
    <row r="305" spans="1:21" s="23" customFormat="1" x14ac:dyDescent="0.35">
      <c r="A305" s="54">
        <v>0</v>
      </c>
      <c r="C305" s="23">
        <v>1014987</v>
      </c>
      <c r="D305" s="23">
        <v>1</v>
      </c>
      <c r="E305" s="23">
        <v>1014989</v>
      </c>
      <c r="F305" s="23" t="s">
        <v>1627</v>
      </c>
      <c r="G305" s="5">
        <v>20</v>
      </c>
      <c r="H305" s="23">
        <v>1</v>
      </c>
      <c r="I305" s="23">
        <v>0</v>
      </c>
      <c r="J305" s="23">
        <v>0</v>
      </c>
      <c r="K305" s="23" t="s">
        <v>24</v>
      </c>
      <c r="L305" s="23" t="s">
        <v>597</v>
      </c>
      <c r="M305" s="23" t="s">
        <v>1885</v>
      </c>
      <c r="N305" s="24">
        <v>45834</v>
      </c>
      <c r="O305" s="28">
        <v>1.3888888888888888E-2</v>
      </c>
      <c r="P305" s="3">
        <v>45810</v>
      </c>
      <c r="Q305" s="62">
        <v>45806.463055555556</v>
      </c>
      <c r="R305" s="72">
        <v>45806.476944444446</v>
      </c>
      <c r="S305" s="25">
        <v>0.47638888888888886</v>
      </c>
      <c r="T305" s="63">
        <v>3.9994444444455439</v>
      </c>
      <c r="U305" s="47">
        <f>IFERROR(INDEX(NOVO!O:O,MATCH(PRINT!E231,NOVO!C:C,0)),"")</f>
        <v>227549</v>
      </c>
    </row>
    <row r="306" spans="1:21" s="23" customFormat="1" x14ac:dyDescent="0.35">
      <c r="A306" s="54">
        <v>0</v>
      </c>
      <c r="C306" s="23">
        <v>1014987</v>
      </c>
      <c r="D306" s="23">
        <v>1</v>
      </c>
      <c r="E306" s="23">
        <v>1014988</v>
      </c>
      <c r="F306" s="23" t="s">
        <v>1884</v>
      </c>
      <c r="G306" s="5">
        <v>10</v>
      </c>
      <c r="H306" s="23">
        <v>1</v>
      </c>
      <c r="I306" s="23">
        <v>0</v>
      </c>
      <c r="J306" s="23">
        <v>0</v>
      </c>
      <c r="K306" s="23" t="s">
        <v>24</v>
      </c>
      <c r="L306" s="23" t="s">
        <v>597</v>
      </c>
      <c r="M306" s="23" t="s">
        <v>1885</v>
      </c>
      <c r="N306" s="24">
        <v>45834</v>
      </c>
      <c r="O306" s="28">
        <v>6.9444444444444441E-3</v>
      </c>
      <c r="P306" s="3">
        <v>45810</v>
      </c>
      <c r="Q306" s="62">
        <v>45806.456111111111</v>
      </c>
      <c r="R306" s="72">
        <v>45806.463055555556</v>
      </c>
      <c r="S306" s="25">
        <v>0.46250000000000002</v>
      </c>
      <c r="T306" s="63">
        <v>3.9994444444455439</v>
      </c>
      <c r="U306" s="47">
        <f>IFERROR(INDEX(NOVO!O:O,MATCH(PRINT!E230,NOVO!C:C,0)),"")</f>
        <v>227549</v>
      </c>
    </row>
    <row r="307" spans="1:21" s="23" customFormat="1" x14ac:dyDescent="0.35">
      <c r="A307" s="54">
        <v>0</v>
      </c>
      <c r="C307" s="23">
        <v>1014986</v>
      </c>
      <c r="D307" s="23">
        <v>1</v>
      </c>
      <c r="E307" s="23">
        <v>1014986</v>
      </c>
      <c r="F307" s="23" t="s">
        <v>1882</v>
      </c>
      <c r="G307" s="5">
        <v>26</v>
      </c>
      <c r="H307" s="23">
        <v>1</v>
      </c>
      <c r="I307" s="23">
        <v>0</v>
      </c>
      <c r="J307" s="23">
        <v>0</v>
      </c>
      <c r="K307" s="23" t="s">
        <v>24</v>
      </c>
      <c r="L307" s="23" t="s">
        <v>597</v>
      </c>
      <c r="M307" s="23" t="s">
        <v>1883</v>
      </c>
      <c r="N307" s="24">
        <v>45834</v>
      </c>
      <c r="O307" s="28">
        <v>1.861111111111111E-2</v>
      </c>
      <c r="P307" s="3">
        <v>45810</v>
      </c>
      <c r="Q307" s="62">
        <v>45806.4375</v>
      </c>
      <c r="R307" s="72">
        <v>45806.456111111111</v>
      </c>
      <c r="S307" s="25">
        <v>0.45555555555555555</v>
      </c>
      <c r="T307" s="63">
        <v>3.9994444444455439</v>
      </c>
      <c r="U307" s="47">
        <f>IFERROR(INDEX(NOVO!O:O,MATCH(PRINT!E229,NOVO!C:C,0)),"")</f>
        <v>227566</v>
      </c>
    </row>
    <row r="308" spans="1:21" s="23" customFormat="1" x14ac:dyDescent="0.35">
      <c r="A308" s="54"/>
      <c r="G308" s="5"/>
      <c r="N308" s="24" t="s">
        <v>198</v>
      </c>
      <c r="O308" s="28">
        <v>2.0833333333333332E-2</v>
      </c>
      <c r="P308" s="3">
        <v>45810</v>
      </c>
      <c r="Q308" s="62">
        <v>45806.416666666664</v>
      </c>
      <c r="R308" s="72">
        <v>45806.4375</v>
      </c>
      <c r="S308" s="25">
        <v>0.4375</v>
      </c>
      <c r="T308" s="63">
        <v>4</v>
      </c>
      <c r="U308" s="47">
        <f>IFERROR(INDEX(NOVO!O:O,MATCH(PRINT!E228,NOVO!C:C,0)),"")</f>
        <v>227549</v>
      </c>
    </row>
    <row r="309" spans="1:21" s="23" customFormat="1" x14ac:dyDescent="0.35">
      <c r="A309" s="54">
        <v>0</v>
      </c>
      <c r="C309" s="23">
        <v>1014986</v>
      </c>
      <c r="D309" s="23">
        <v>1</v>
      </c>
      <c r="E309" s="23">
        <v>1014986</v>
      </c>
      <c r="F309" s="23" t="s">
        <v>1882</v>
      </c>
      <c r="G309" s="5">
        <v>48</v>
      </c>
      <c r="H309" s="23">
        <v>1</v>
      </c>
      <c r="I309" s="23">
        <v>0</v>
      </c>
      <c r="J309" s="23">
        <v>0</v>
      </c>
      <c r="K309" s="23" t="s">
        <v>24</v>
      </c>
      <c r="L309" s="23" t="s">
        <v>597</v>
      </c>
      <c r="M309" s="23" t="s">
        <v>1883</v>
      </c>
      <c r="N309" s="24">
        <v>45834</v>
      </c>
      <c r="O309" s="28">
        <v>3.3472222181444522E-2</v>
      </c>
      <c r="P309" s="3">
        <v>45810</v>
      </c>
      <c r="Q309" s="62">
        <v>45806.383194444483</v>
      </c>
      <c r="R309" s="72">
        <v>45806.416666666664</v>
      </c>
      <c r="S309" s="25">
        <v>0.41666666666666669</v>
      </c>
      <c r="T309" s="63">
        <v>4</v>
      </c>
      <c r="U309" s="47">
        <f>IFERROR(INDEX(NOVO!O:O,MATCH(PRINT!E227,NOVO!C:C,0)),"")</f>
        <v>227566</v>
      </c>
    </row>
    <row r="310" spans="1:21" s="23" customFormat="1" x14ac:dyDescent="0.35">
      <c r="A310" s="54">
        <v>0</v>
      </c>
      <c r="C310" s="23">
        <v>1004137</v>
      </c>
      <c r="D310" s="23">
        <v>1</v>
      </c>
      <c r="E310" s="23">
        <v>1004155</v>
      </c>
      <c r="F310" s="23" t="s">
        <v>1495</v>
      </c>
      <c r="G310" s="5">
        <v>30</v>
      </c>
      <c r="H310" s="23">
        <v>12</v>
      </c>
      <c r="I310" s="23">
        <v>0</v>
      </c>
      <c r="J310" s="23">
        <v>0</v>
      </c>
      <c r="K310" s="23" t="s">
        <v>24</v>
      </c>
      <c r="L310" s="23" t="s">
        <v>597</v>
      </c>
      <c r="M310" s="23" t="s">
        <v>1881</v>
      </c>
      <c r="N310" s="24">
        <v>45820</v>
      </c>
      <c r="O310" s="28">
        <v>2.0833333333333332E-2</v>
      </c>
      <c r="P310" s="3">
        <v>45810</v>
      </c>
      <c r="Q310" s="62">
        <v>45806.362361111147</v>
      </c>
      <c r="R310" s="72">
        <v>45806.383194444483</v>
      </c>
      <c r="S310" s="25">
        <v>0.38263888888888886</v>
      </c>
      <c r="T310" s="63">
        <v>3.9994444444091641</v>
      </c>
      <c r="U310" s="47">
        <f>IFERROR(INDEX(NOVO!O:O,MATCH(PRINT!E226,NOVO!C:C,0)),"")</f>
        <v>227566</v>
      </c>
    </row>
    <row r="311" spans="1:21" s="23" customFormat="1" x14ac:dyDescent="0.35">
      <c r="A311" s="54">
        <v>0</v>
      </c>
      <c r="C311" s="23">
        <v>1004137</v>
      </c>
      <c r="D311" s="23">
        <v>1</v>
      </c>
      <c r="E311" s="23">
        <v>1004154</v>
      </c>
      <c r="F311" s="23" t="s">
        <v>1802</v>
      </c>
      <c r="G311" s="5">
        <v>20</v>
      </c>
      <c r="H311" s="23">
        <v>12</v>
      </c>
      <c r="I311" s="23">
        <v>0</v>
      </c>
      <c r="J311" s="23">
        <v>0</v>
      </c>
      <c r="K311" s="23" t="s">
        <v>24</v>
      </c>
      <c r="L311" s="23" t="s">
        <v>597</v>
      </c>
      <c r="M311" s="23" t="s">
        <v>1881</v>
      </c>
      <c r="N311" s="24">
        <v>45820</v>
      </c>
      <c r="O311" s="28">
        <v>1.3888888888888888E-2</v>
      </c>
      <c r="P311" s="3">
        <v>45810</v>
      </c>
      <c r="Q311" s="62">
        <v>45806.348472222257</v>
      </c>
      <c r="R311" s="72">
        <v>45806.362361111147</v>
      </c>
      <c r="S311" s="25">
        <v>0.36180555555555555</v>
      </c>
      <c r="T311" s="63">
        <v>3.9994444444091641</v>
      </c>
      <c r="U311" s="47" t="str">
        <f>IFERROR(INDEX(NOVO!O:O,MATCH(PRINT!E225,NOVO!C:C,0)),"")</f>
        <v/>
      </c>
    </row>
    <row r="312" spans="1:21" s="23" customFormat="1" x14ac:dyDescent="0.35">
      <c r="A312" s="54">
        <v>0</v>
      </c>
      <c r="C312" s="23">
        <v>1004136</v>
      </c>
      <c r="D312" s="23">
        <v>1</v>
      </c>
      <c r="E312" s="23">
        <v>1004155</v>
      </c>
      <c r="F312" s="23" t="s">
        <v>1495</v>
      </c>
      <c r="G312" s="5">
        <v>30</v>
      </c>
      <c r="H312" s="23">
        <v>12</v>
      </c>
      <c r="I312" s="23">
        <v>0</v>
      </c>
      <c r="J312" s="23">
        <v>0</v>
      </c>
      <c r="K312" s="23" t="s">
        <v>24</v>
      </c>
      <c r="L312" s="23" t="s">
        <v>597</v>
      </c>
      <c r="M312" s="23" t="s">
        <v>1881</v>
      </c>
      <c r="N312" s="24">
        <v>45820</v>
      </c>
      <c r="O312" s="28">
        <v>2.0833333333333332E-2</v>
      </c>
      <c r="P312" s="3">
        <v>45810</v>
      </c>
      <c r="Q312" s="62">
        <v>45806.327638888921</v>
      </c>
      <c r="R312" s="72">
        <v>45806.348472222257</v>
      </c>
      <c r="S312" s="25">
        <v>0.34791666666666665</v>
      </c>
      <c r="T312" s="63">
        <v>3.9994444444091641</v>
      </c>
      <c r="U312" s="47">
        <f>IFERROR(INDEX(NOVO!O:O,MATCH(PRINT!E224,NOVO!C:C,0)),"")</f>
        <v>227566</v>
      </c>
    </row>
    <row r="313" spans="1:21" s="23" customFormat="1" x14ac:dyDescent="0.35">
      <c r="A313" s="54">
        <v>0</v>
      </c>
      <c r="C313" s="23">
        <v>1004136</v>
      </c>
      <c r="D313" s="23">
        <v>1</v>
      </c>
      <c r="E313" s="23">
        <v>1004154</v>
      </c>
      <c r="F313" s="23" t="s">
        <v>1802</v>
      </c>
      <c r="G313" s="5">
        <v>20</v>
      </c>
      <c r="H313" s="23">
        <v>12</v>
      </c>
      <c r="I313" s="23">
        <v>0</v>
      </c>
      <c r="J313" s="23">
        <v>0</v>
      </c>
      <c r="K313" s="23" t="s">
        <v>24</v>
      </c>
      <c r="L313" s="23" t="s">
        <v>597</v>
      </c>
      <c r="M313" s="23" t="s">
        <v>1881</v>
      </c>
      <c r="N313" s="24">
        <v>45820</v>
      </c>
      <c r="O313" s="28">
        <v>1.3888888888888888E-2</v>
      </c>
      <c r="P313" s="3">
        <v>45810</v>
      </c>
      <c r="Q313" s="62">
        <v>45806.31375000003</v>
      </c>
      <c r="R313" s="72">
        <v>45806.327638888921</v>
      </c>
      <c r="S313" s="25">
        <v>0.32708333333333334</v>
      </c>
      <c r="T313" s="63">
        <v>3.9994444444091641</v>
      </c>
      <c r="U313" s="47">
        <f>IFERROR(INDEX(NOVO!O:O,MATCH(PRINT!E223,NOVO!C:C,0)),"")</f>
        <v>227549</v>
      </c>
    </row>
    <row r="314" spans="1:21" s="23" customFormat="1" x14ac:dyDescent="0.35">
      <c r="A314" s="54">
        <v>0</v>
      </c>
      <c r="C314" s="23">
        <v>1004135</v>
      </c>
      <c r="D314" s="23">
        <v>1</v>
      </c>
      <c r="E314" s="23">
        <v>1004155</v>
      </c>
      <c r="F314" s="23" t="s">
        <v>1495</v>
      </c>
      <c r="G314" s="5">
        <v>30</v>
      </c>
      <c r="H314" s="23">
        <v>12</v>
      </c>
      <c r="I314" s="23">
        <v>0</v>
      </c>
      <c r="J314" s="23">
        <v>0</v>
      </c>
      <c r="K314" s="23" t="s">
        <v>24</v>
      </c>
      <c r="L314" s="23" t="s">
        <v>597</v>
      </c>
      <c r="M314" s="23" t="s">
        <v>1881</v>
      </c>
      <c r="N314" s="24">
        <v>45820</v>
      </c>
      <c r="O314" s="28">
        <v>2.0833333333333332E-2</v>
      </c>
      <c r="P314" s="3">
        <v>45810</v>
      </c>
      <c r="Q314" s="62">
        <v>45806.292916666695</v>
      </c>
      <c r="R314" s="72">
        <v>45806.31375000003</v>
      </c>
      <c r="S314" s="25">
        <v>0.31319444444444444</v>
      </c>
      <c r="T314" s="63">
        <v>3.9994444444164401</v>
      </c>
      <c r="U314" s="47">
        <f>IFERROR(INDEX(NOVO!O:O,MATCH(PRINT!E222,NOVO!C:C,0)),"")</f>
        <v>227549</v>
      </c>
    </row>
    <row r="315" spans="1:21" s="23" customFormat="1" x14ac:dyDescent="0.35">
      <c r="A315" s="54">
        <v>0</v>
      </c>
      <c r="C315" s="23">
        <v>1004135</v>
      </c>
      <c r="D315" s="23">
        <v>1</v>
      </c>
      <c r="E315" s="23">
        <v>1004154</v>
      </c>
      <c r="F315" s="23" t="s">
        <v>1802</v>
      </c>
      <c r="G315" s="5">
        <v>20</v>
      </c>
      <c r="H315" s="23">
        <v>12</v>
      </c>
      <c r="I315" s="23">
        <v>0</v>
      </c>
      <c r="J315" s="23">
        <v>0</v>
      </c>
      <c r="K315" s="23" t="s">
        <v>24</v>
      </c>
      <c r="L315" s="23" t="s">
        <v>597</v>
      </c>
      <c r="M315" s="23" t="s">
        <v>1881</v>
      </c>
      <c r="N315" s="24">
        <v>45820</v>
      </c>
      <c r="O315" s="28">
        <v>1.3888888888888888E-2</v>
      </c>
      <c r="P315" s="3">
        <v>45810</v>
      </c>
      <c r="Q315" s="62">
        <v>45806.279027777804</v>
      </c>
      <c r="R315" s="72">
        <v>45806.292916666695</v>
      </c>
      <c r="S315" s="25">
        <v>0.29236111111111113</v>
      </c>
      <c r="T315" s="63">
        <v>3.9994444444164401</v>
      </c>
      <c r="U315" s="47">
        <f>IFERROR(INDEX(NOVO!O:O,MATCH(PRINT!E221,NOVO!C:C,0)),"")</f>
        <v>227566</v>
      </c>
    </row>
    <row r="316" spans="1:21" s="23" customFormat="1" x14ac:dyDescent="0.35">
      <c r="A316" s="54">
        <v>0</v>
      </c>
      <c r="C316" s="23">
        <v>1004134</v>
      </c>
      <c r="D316" s="23">
        <v>1</v>
      </c>
      <c r="E316" s="23">
        <v>1004155</v>
      </c>
      <c r="F316" s="23" t="s">
        <v>1495</v>
      </c>
      <c r="G316" s="5">
        <v>30</v>
      </c>
      <c r="H316" s="23">
        <v>12</v>
      </c>
      <c r="I316" s="23">
        <v>0</v>
      </c>
      <c r="J316" s="23">
        <v>0</v>
      </c>
      <c r="K316" s="23" t="s">
        <v>24</v>
      </c>
      <c r="L316" s="23" t="s">
        <v>597</v>
      </c>
      <c r="M316" s="23" t="s">
        <v>1881</v>
      </c>
      <c r="N316" s="24">
        <v>45820</v>
      </c>
      <c r="O316" s="28">
        <v>2.0833333333333332E-2</v>
      </c>
      <c r="P316" s="3">
        <v>45810</v>
      </c>
      <c r="Q316" s="62">
        <v>45806.258194444468</v>
      </c>
      <c r="R316" s="72">
        <v>45806.279027777804</v>
      </c>
      <c r="S316" s="25">
        <v>0.27847222222222223</v>
      </c>
      <c r="T316" s="63">
        <v>3.9994444444164401</v>
      </c>
      <c r="U316" s="47">
        <f>IFERROR(INDEX(NOVO!O:O,MATCH(PRINT!E220,NOVO!C:C,0)),"")</f>
        <v>227549</v>
      </c>
    </row>
    <row r="317" spans="1:21" s="23" customFormat="1" x14ac:dyDescent="0.35">
      <c r="A317" s="54">
        <v>0</v>
      </c>
      <c r="C317" s="23">
        <v>1004134</v>
      </c>
      <c r="D317" s="23">
        <v>1</v>
      </c>
      <c r="E317" s="23">
        <v>1004154</v>
      </c>
      <c r="F317" s="23" t="s">
        <v>1802</v>
      </c>
      <c r="G317" s="5">
        <v>20</v>
      </c>
      <c r="H317" s="23">
        <v>12</v>
      </c>
      <c r="I317" s="23">
        <v>0</v>
      </c>
      <c r="J317" s="23">
        <v>0</v>
      </c>
      <c r="K317" s="23" t="s">
        <v>24</v>
      </c>
      <c r="L317" s="23" t="s">
        <v>597</v>
      </c>
      <c r="M317" s="23" t="s">
        <v>1881</v>
      </c>
      <c r="N317" s="24">
        <v>45820</v>
      </c>
      <c r="O317" s="28">
        <v>1.3888888888888888E-2</v>
      </c>
      <c r="P317" s="3">
        <v>45810</v>
      </c>
      <c r="Q317" s="62">
        <v>45806.244305555578</v>
      </c>
      <c r="R317" s="72">
        <v>45806.258194444468</v>
      </c>
      <c r="S317" s="25">
        <v>0.25763888888888886</v>
      </c>
      <c r="T317" s="63">
        <v>3.999444444423716</v>
      </c>
      <c r="U317" s="47">
        <f>IFERROR(INDEX(NOVO!O:O,MATCH(PRINT!E219,NOVO!C:C,0)),"")</f>
        <v>227566</v>
      </c>
    </row>
    <row r="318" spans="1:21" s="23" customFormat="1" x14ac:dyDescent="0.35">
      <c r="A318" s="54">
        <v>0</v>
      </c>
      <c r="C318" s="23">
        <v>1004133</v>
      </c>
      <c r="D318" s="23">
        <v>1</v>
      </c>
      <c r="E318" s="23">
        <v>1004155</v>
      </c>
      <c r="F318" s="23" t="s">
        <v>1495</v>
      </c>
      <c r="G318" s="5">
        <v>30</v>
      </c>
      <c r="H318" s="23">
        <v>12</v>
      </c>
      <c r="I318" s="23">
        <v>0</v>
      </c>
      <c r="J318" s="23">
        <v>0</v>
      </c>
      <c r="K318" s="23" t="s">
        <v>24</v>
      </c>
      <c r="L318" s="23" t="s">
        <v>597</v>
      </c>
      <c r="M318" s="23" t="s">
        <v>1881</v>
      </c>
      <c r="N318" s="24">
        <v>45820</v>
      </c>
      <c r="O318" s="28">
        <v>2.0833333333333332E-2</v>
      </c>
      <c r="P318" s="3">
        <v>45810</v>
      </c>
      <c r="Q318" s="62">
        <v>45806.223472222242</v>
      </c>
      <c r="R318" s="72">
        <v>45806.244305555578</v>
      </c>
      <c r="S318" s="25">
        <v>0.24374999999999999</v>
      </c>
      <c r="T318" s="63">
        <v>3.999444444423716</v>
      </c>
      <c r="U318" s="47">
        <f>IFERROR(INDEX(NOVO!O:O,MATCH(PRINT!E218,NOVO!C:C,0)),"")</f>
        <v>227549</v>
      </c>
    </row>
    <row r="319" spans="1:21" s="23" customFormat="1" x14ac:dyDescent="0.35">
      <c r="A319" s="54">
        <v>0</v>
      </c>
      <c r="C319" s="23">
        <v>1004133</v>
      </c>
      <c r="D319" s="23">
        <v>1</v>
      </c>
      <c r="E319" s="23">
        <v>1004154</v>
      </c>
      <c r="F319" s="23" t="s">
        <v>1802</v>
      </c>
      <c r="G319" s="5">
        <v>20</v>
      </c>
      <c r="H319" s="23">
        <v>12</v>
      </c>
      <c r="I319" s="23">
        <v>0</v>
      </c>
      <c r="J319" s="23">
        <v>0</v>
      </c>
      <c r="K319" s="23" t="s">
        <v>24</v>
      </c>
      <c r="L319" s="23" t="s">
        <v>597</v>
      </c>
      <c r="M319" s="23" t="s">
        <v>1881</v>
      </c>
      <c r="N319" s="24">
        <v>45820</v>
      </c>
      <c r="O319" s="28">
        <v>1.3888888888888888E-2</v>
      </c>
      <c r="P319" s="3">
        <v>45810</v>
      </c>
      <c r="Q319" s="62">
        <v>45806.209583333351</v>
      </c>
      <c r="R319" s="72">
        <v>45806.223472222242</v>
      </c>
      <c r="S319" s="25">
        <v>0.22291666666666668</v>
      </c>
      <c r="T319" s="63">
        <v>3.999444444423716</v>
      </c>
      <c r="U319" s="47">
        <f>IFERROR(INDEX(NOVO!O:O,MATCH(PRINT!E217,NOVO!C:C,0)),"")</f>
        <v>227566</v>
      </c>
    </row>
    <row r="320" spans="1:21" s="23" customFormat="1" x14ac:dyDescent="0.35">
      <c r="A320" s="54">
        <v>0</v>
      </c>
      <c r="C320" s="23">
        <v>1004132</v>
      </c>
      <c r="D320" s="23">
        <v>1</v>
      </c>
      <c r="E320" s="23">
        <v>1004154</v>
      </c>
      <c r="F320" s="23" t="s">
        <v>1802</v>
      </c>
      <c r="G320" s="5">
        <v>20</v>
      </c>
      <c r="H320" s="23">
        <v>12</v>
      </c>
      <c r="I320" s="23">
        <v>0</v>
      </c>
      <c r="J320" s="23">
        <v>0</v>
      </c>
      <c r="K320" s="23" t="s">
        <v>24</v>
      </c>
      <c r="L320" s="23" t="s">
        <v>597</v>
      </c>
      <c r="M320" s="23" t="s">
        <v>1881</v>
      </c>
      <c r="N320" s="24">
        <v>45820</v>
      </c>
      <c r="O320" s="28">
        <v>1.3888888888888888E-2</v>
      </c>
      <c r="P320" s="3">
        <v>45810</v>
      </c>
      <c r="Q320" s="62">
        <v>45806.195694444461</v>
      </c>
      <c r="R320" s="72">
        <v>45806.209583333351</v>
      </c>
      <c r="S320" s="25">
        <v>0.20902777777777778</v>
      </c>
      <c r="T320" s="63">
        <v>3.999444444423716</v>
      </c>
      <c r="U320" s="47">
        <f>IFERROR(INDEX(NOVO!O:O,MATCH(PRINT!E216,NOVO!C:C,0)),"")</f>
        <v>227566</v>
      </c>
    </row>
    <row r="321" spans="1:21" s="23" customFormat="1" x14ac:dyDescent="0.35">
      <c r="A321" s="54">
        <v>0</v>
      </c>
      <c r="C321" s="23">
        <v>1004132</v>
      </c>
      <c r="D321" s="23">
        <v>1</v>
      </c>
      <c r="E321" s="23">
        <v>1004155</v>
      </c>
      <c r="F321" s="23" t="s">
        <v>1495</v>
      </c>
      <c r="G321" s="5">
        <v>30</v>
      </c>
      <c r="H321" s="23">
        <v>12</v>
      </c>
      <c r="I321" s="23">
        <v>0</v>
      </c>
      <c r="J321" s="23">
        <v>0</v>
      </c>
      <c r="K321" s="23" t="s">
        <v>24</v>
      </c>
      <c r="L321" s="23" t="s">
        <v>597</v>
      </c>
      <c r="M321" s="23" t="s">
        <v>1881</v>
      </c>
      <c r="N321" s="24">
        <v>45820</v>
      </c>
      <c r="O321" s="28">
        <v>2.0833333333333332E-2</v>
      </c>
      <c r="P321" s="3">
        <v>45810</v>
      </c>
      <c r="Q321" s="62">
        <v>45806.174861111125</v>
      </c>
      <c r="R321" s="72">
        <v>45806.195694444461</v>
      </c>
      <c r="S321" s="25">
        <v>0.19513888888888889</v>
      </c>
      <c r="T321" s="63">
        <v>3.999444444430992</v>
      </c>
      <c r="U321" s="47">
        <f>IFERROR(INDEX(NOVO!O:O,MATCH(PRINT!E215,NOVO!C:C,0)),"")</f>
        <v>227549</v>
      </c>
    </row>
    <row r="322" spans="1:21" s="23" customFormat="1" x14ac:dyDescent="0.35">
      <c r="A322" s="54">
        <v>0</v>
      </c>
      <c r="C322" s="23">
        <v>1004131</v>
      </c>
      <c r="D322" s="23">
        <v>1</v>
      </c>
      <c r="E322" s="23">
        <v>1004154</v>
      </c>
      <c r="F322" s="23" t="s">
        <v>1802</v>
      </c>
      <c r="G322" s="5">
        <v>20</v>
      </c>
      <c r="H322" s="23">
        <v>12</v>
      </c>
      <c r="I322" s="23">
        <v>0</v>
      </c>
      <c r="J322" s="23">
        <v>0</v>
      </c>
      <c r="K322" s="23" t="s">
        <v>24</v>
      </c>
      <c r="L322" s="23" t="s">
        <v>597</v>
      </c>
      <c r="M322" s="23" t="s">
        <v>1881</v>
      </c>
      <c r="N322" s="24">
        <v>45820</v>
      </c>
      <c r="O322" s="28">
        <v>1.3888888888888888E-2</v>
      </c>
      <c r="P322" s="3">
        <v>45810</v>
      </c>
      <c r="Q322" s="62">
        <v>45806.160972222235</v>
      </c>
      <c r="R322" s="72">
        <v>45806.174861111125</v>
      </c>
      <c r="S322" s="25">
        <v>0.17430555555555555</v>
      </c>
      <c r="T322" s="63">
        <v>3.999444444430992</v>
      </c>
      <c r="U322" s="47">
        <f>IFERROR(INDEX(NOVO!O:O,MATCH(PRINT!E214,NOVO!C:C,0)),"")</f>
        <v>227549</v>
      </c>
    </row>
    <row r="323" spans="1:21" s="23" customFormat="1" x14ac:dyDescent="0.35">
      <c r="A323" s="54">
        <v>0</v>
      </c>
      <c r="C323" s="23">
        <v>1004131</v>
      </c>
      <c r="D323" s="23">
        <v>1</v>
      </c>
      <c r="E323" s="23">
        <v>1004155</v>
      </c>
      <c r="F323" s="23" t="s">
        <v>1495</v>
      </c>
      <c r="G323" s="5">
        <v>30</v>
      </c>
      <c r="H323" s="23">
        <v>12</v>
      </c>
      <c r="I323" s="23">
        <v>0</v>
      </c>
      <c r="J323" s="23">
        <v>0</v>
      </c>
      <c r="K323" s="23" t="s">
        <v>24</v>
      </c>
      <c r="L323" s="23" t="s">
        <v>597</v>
      </c>
      <c r="M323" s="23" t="s">
        <v>1881</v>
      </c>
      <c r="N323" s="24">
        <v>45820</v>
      </c>
      <c r="O323" s="28">
        <v>2.0833333333333332E-2</v>
      </c>
      <c r="P323" s="3">
        <v>45810</v>
      </c>
      <c r="Q323" s="62">
        <v>45806.140138888899</v>
      </c>
      <c r="R323" s="72">
        <v>45806.160972222235</v>
      </c>
      <c r="S323" s="25">
        <v>0.16041666666666668</v>
      </c>
      <c r="T323" s="63">
        <v>3.999444444430992</v>
      </c>
      <c r="U323" s="47">
        <f>IFERROR(INDEX(NOVO!O:O,MATCH(PRINT!E213,NOVO!C:C,0)),"")</f>
        <v>227566</v>
      </c>
    </row>
    <row r="324" spans="1:21" s="23" customFormat="1" x14ac:dyDescent="0.35">
      <c r="A324" s="54">
        <v>0</v>
      </c>
      <c r="C324" s="23">
        <v>1004130</v>
      </c>
      <c r="D324" s="23">
        <v>1</v>
      </c>
      <c r="E324" s="23">
        <v>1004154</v>
      </c>
      <c r="F324" s="23" t="s">
        <v>1802</v>
      </c>
      <c r="G324" s="5">
        <v>20</v>
      </c>
      <c r="H324" s="23">
        <v>12</v>
      </c>
      <c r="I324" s="23">
        <v>0</v>
      </c>
      <c r="J324" s="23">
        <v>0</v>
      </c>
      <c r="K324" s="23" t="s">
        <v>24</v>
      </c>
      <c r="L324" s="23" t="s">
        <v>597</v>
      </c>
      <c r="M324" s="23" t="s">
        <v>1881</v>
      </c>
      <c r="N324" s="24">
        <v>45820</v>
      </c>
      <c r="O324" s="28">
        <v>1.3888888888888888E-2</v>
      </c>
      <c r="P324" s="3">
        <v>45810</v>
      </c>
      <c r="Q324" s="62">
        <v>45806.126250000008</v>
      </c>
      <c r="R324" s="72">
        <v>45806.140138888899</v>
      </c>
      <c r="S324" s="25">
        <v>0.13958333333333334</v>
      </c>
      <c r="T324" s="63">
        <v>3.999444444430992</v>
      </c>
      <c r="U324" s="47">
        <f>IFERROR(INDEX(NOVO!O:O,MATCH(PRINT!E212,NOVO!C:C,0)),"")</f>
        <v>227549</v>
      </c>
    </row>
    <row r="325" spans="1:21" s="23" customFormat="1" x14ac:dyDescent="0.35">
      <c r="A325" s="54">
        <v>0</v>
      </c>
      <c r="C325" s="23">
        <v>1004130</v>
      </c>
      <c r="D325" s="23">
        <v>1</v>
      </c>
      <c r="E325" s="23">
        <v>1004155</v>
      </c>
      <c r="F325" s="23" t="s">
        <v>1495</v>
      </c>
      <c r="G325" s="5">
        <v>30</v>
      </c>
      <c r="H325" s="23">
        <v>12</v>
      </c>
      <c r="I325" s="23">
        <v>0</v>
      </c>
      <c r="J325" s="23">
        <v>0</v>
      </c>
      <c r="K325" s="23" t="s">
        <v>24</v>
      </c>
      <c r="L325" s="23" t="s">
        <v>597</v>
      </c>
      <c r="M325" s="23" t="s">
        <v>1881</v>
      </c>
      <c r="N325" s="24">
        <v>45820</v>
      </c>
      <c r="O325" s="28">
        <v>2.0833333333333332E-2</v>
      </c>
      <c r="P325" s="3">
        <v>45810</v>
      </c>
      <c r="Q325" s="62">
        <v>45806.105416666673</v>
      </c>
      <c r="R325" s="72">
        <v>45806.126250000008</v>
      </c>
      <c r="S325" s="25">
        <v>0.12569444444444444</v>
      </c>
      <c r="T325" s="63">
        <v>3.999444444438268</v>
      </c>
      <c r="U325" s="47">
        <f>IFERROR(INDEX(NOVO!O:O,MATCH(PRINT!E211,NOVO!C:C,0)),"")</f>
        <v>227566</v>
      </c>
    </row>
    <row r="326" spans="1:21" s="23" customFormat="1" x14ac:dyDescent="0.35">
      <c r="A326" s="54">
        <v>0</v>
      </c>
      <c r="C326" s="23">
        <v>1004129</v>
      </c>
      <c r="D326" s="23">
        <v>1</v>
      </c>
      <c r="E326" s="23">
        <v>1004155</v>
      </c>
      <c r="F326" s="23" t="s">
        <v>1495</v>
      </c>
      <c r="G326" s="5">
        <v>1</v>
      </c>
      <c r="H326" s="23">
        <v>12</v>
      </c>
      <c r="I326" s="23">
        <v>0</v>
      </c>
      <c r="J326" s="23">
        <v>0</v>
      </c>
      <c r="K326" s="23" t="s">
        <v>24</v>
      </c>
      <c r="L326" s="23" t="s">
        <v>597</v>
      </c>
      <c r="M326" s="23" t="s">
        <v>1881</v>
      </c>
      <c r="N326" s="24">
        <v>45820</v>
      </c>
      <c r="O326" s="28">
        <v>1.25E-3</v>
      </c>
      <c r="P326" s="3">
        <v>45810</v>
      </c>
      <c r="Q326" s="62">
        <v>45806.104166666672</v>
      </c>
      <c r="R326" s="72">
        <v>45806.105416666673</v>
      </c>
      <c r="S326" s="25">
        <v>0.10486111111111111</v>
      </c>
      <c r="T326" s="63">
        <v>3.999444444438268</v>
      </c>
      <c r="U326" s="47">
        <f>IFERROR(INDEX(NOVO!O:O,MATCH(PRINT!E210,NOVO!C:C,0)),"")</f>
        <v>227549</v>
      </c>
    </row>
    <row r="327" spans="1:21" s="23" customFormat="1" x14ac:dyDescent="0.35">
      <c r="A327" s="54"/>
      <c r="G327" s="5"/>
      <c r="N327" s="24" t="s">
        <v>198</v>
      </c>
      <c r="O327" s="28">
        <v>2.0833333333333332E-2</v>
      </c>
      <c r="P327" s="3">
        <v>45810</v>
      </c>
      <c r="Q327" s="62">
        <v>45806.083333333336</v>
      </c>
      <c r="R327" s="72">
        <v>45806.104166666672</v>
      </c>
      <c r="S327" s="25">
        <v>0.10416666666666667</v>
      </c>
      <c r="T327" s="63">
        <v>3.999999999992724</v>
      </c>
      <c r="U327" s="47">
        <f>IFERROR(INDEX(NOVO!O:O,MATCH(PRINT!E209,NOVO!C:C,0)),"")</f>
        <v>227566</v>
      </c>
    </row>
    <row r="328" spans="1:21" s="23" customFormat="1" x14ac:dyDescent="0.35">
      <c r="A328" s="54">
        <v>0</v>
      </c>
      <c r="C328" s="23">
        <v>1004129</v>
      </c>
      <c r="D328" s="23">
        <v>1</v>
      </c>
      <c r="E328" s="23">
        <v>1004155</v>
      </c>
      <c r="F328" s="23" t="s">
        <v>1495</v>
      </c>
      <c r="G328" s="5">
        <v>28</v>
      </c>
      <c r="H328" s="23">
        <v>12</v>
      </c>
      <c r="I328" s="23">
        <v>0</v>
      </c>
      <c r="J328" s="23">
        <v>0</v>
      </c>
      <c r="K328" s="23" t="s">
        <v>24</v>
      </c>
      <c r="L328" s="23" t="s">
        <v>597</v>
      </c>
      <c r="M328" s="23" t="s">
        <v>1881</v>
      </c>
      <c r="N328" s="24">
        <v>45820</v>
      </c>
      <c r="O328" s="28">
        <v>1.9583333334594499E-2</v>
      </c>
      <c r="P328" s="3">
        <v>45810</v>
      </c>
      <c r="Q328" s="62">
        <v>45806.063750000001</v>
      </c>
      <c r="R328" s="72">
        <v>45806.083333333336</v>
      </c>
      <c r="S328" s="25">
        <v>8.3333333333333329E-2</v>
      </c>
      <c r="T328" s="63">
        <v>4</v>
      </c>
      <c r="U328" s="47" t="str">
        <f>IFERROR(INDEX(NOVO!O:O,MATCH(PRINT!E208,NOVO!C:C,0)),"")</f>
        <v/>
      </c>
    </row>
    <row r="329" spans="1:21" s="23" customFormat="1" x14ac:dyDescent="0.35">
      <c r="A329" s="54">
        <v>0</v>
      </c>
      <c r="C329" s="23">
        <v>1004129</v>
      </c>
      <c r="D329" s="23">
        <v>1</v>
      </c>
      <c r="E329" s="23">
        <v>1004154</v>
      </c>
      <c r="F329" s="23" t="s">
        <v>1802</v>
      </c>
      <c r="G329" s="5">
        <v>20</v>
      </c>
      <c r="H329" s="23">
        <v>12</v>
      </c>
      <c r="I329" s="23">
        <v>0</v>
      </c>
      <c r="J329" s="23">
        <v>0</v>
      </c>
      <c r="K329" s="23" t="s">
        <v>24</v>
      </c>
      <c r="L329" s="23" t="s">
        <v>597</v>
      </c>
      <c r="M329" s="23" t="s">
        <v>1881</v>
      </c>
      <c r="N329" s="24">
        <v>45820</v>
      </c>
      <c r="O329" s="28">
        <v>1.3888888888888888E-2</v>
      </c>
      <c r="P329" s="3">
        <v>45810</v>
      </c>
      <c r="Q329" s="62">
        <v>45806.049861111111</v>
      </c>
      <c r="R329" s="72">
        <v>45806.063750000001</v>
      </c>
      <c r="S329" s="25">
        <v>6.3194444444444442E-2</v>
      </c>
      <c r="T329" s="63">
        <v>3.9994444444455439</v>
      </c>
      <c r="U329" s="47">
        <f>IFERROR(INDEX(NOVO!O:O,MATCH(PRINT!E207,NOVO!C:C,0)),"")</f>
        <v>227566</v>
      </c>
    </row>
    <row r="330" spans="1:21" s="23" customFormat="1" x14ac:dyDescent="0.35">
      <c r="A330" s="54">
        <v>0</v>
      </c>
      <c r="C330" s="23">
        <v>1004128</v>
      </c>
      <c r="D330" s="23">
        <v>1</v>
      </c>
      <c r="E330" s="23">
        <v>1004155</v>
      </c>
      <c r="F330" s="23" t="s">
        <v>1495</v>
      </c>
      <c r="G330" s="5">
        <v>30</v>
      </c>
      <c r="H330" s="23">
        <v>12</v>
      </c>
      <c r="I330" s="23">
        <v>0</v>
      </c>
      <c r="J330" s="23">
        <v>0</v>
      </c>
      <c r="K330" s="23" t="s">
        <v>24</v>
      </c>
      <c r="L330" s="23" t="s">
        <v>597</v>
      </c>
      <c r="M330" s="23" t="s">
        <v>1881</v>
      </c>
      <c r="N330" s="24">
        <v>45820</v>
      </c>
      <c r="O330" s="28">
        <v>2.0833333333333332E-2</v>
      </c>
      <c r="P330" s="3">
        <v>45810</v>
      </c>
      <c r="Q330" s="62">
        <v>45806.029027777775</v>
      </c>
      <c r="R330" s="72">
        <v>45806.049861111111</v>
      </c>
      <c r="S330" s="25">
        <v>4.9305555555555554E-2</v>
      </c>
      <c r="T330" s="63">
        <v>3.9994444444455439</v>
      </c>
      <c r="U330" s="47">
        <f>IFERROR(INDEX(NOVO!O:O,MATCH(PRINT!E206,NOVO!C:C,0)),"")</f>
        <v>155692</v>
      </c>
    </row>
    <row r="331" spans="1:21" s="23" customFormat="1" x14ac:dyDescent="0.35">
      <c r="A331" s="54">
        <v>0</v>
      </c>
      <c r="C331" s="23">
        <v>1004128</v>
      </c>
      <c r="D331" s="23">
        <v>1</v>
      </c>
      <c r="E331" s="23">
        <v>1004154</v>
      </c>
      <c r="F331" s="23" t="s">
        <v>1802</v>
      </c>
      <c r="G331" s="5">
        <v>20</v>
      </c>
      <c r="H331" s="23">
        <v>12</v>
      </c>
      <c r="I331" s="23">
        <v>0</v>
      </c>
      <c r="J331" s="23">
        <v>0</v>
      </c>
      <c r="K331" s="23" t="s">
        <v>24</v>
      </c>
      <c r="L331" s="23" t="s">
        <v>597</v>
      </c>
      <c r="M331" s="23" t="s">
        <v>1881</v>
      </c>
      <c r="N331" s="24">
        <v>45820</v>
      </c>
      <c r="O331" s="28">
        <v>1.3888888888888888E-2</v>
      </c>
      <c r="P331" s="3">
        <v>45810</v>
      </c>
      <c r="Q331" s="62">
        <v>45806.015138888884</v>
      </c>
      <c r="R331" s="72">
        <v>45806.029027777775</v>
      </c>
      <c r="S331" s="25">
        <v>2.8472222222222222E-2</v>
      </c>
      <c r="T331" s="63">
        <v>3.9994444444455439</v>
      </c>
      <c r="U331" s="47">
        <f>IFERROR(INDEX(NOVO!O:O,MATCH(PRINT!E205,NOVO!C:C,0)),"")</f>
        <v>122306</v>
      </c>
    </row>
    <row r="332" spans="1:21" s="23" customFormat="1" x14ac:dyDescent="0.35">
      <c r="A332" s="54">
        <v>0</v>
      </c>
      <c r="C332" s="23">
        <v>1004126</v>
      </c>
      <c r="D332" s="23">
        <v>1</v>
      </c>
      <c r="E332" s="23">
        <v>1004154</v>
      </c>
      <c r="F332" s="23" t="s">
        <v>1802</v>
      </c>
      <c r="G332" s="5">
        <v>20</v>
      </c>
      <c r="H332" s="23">
        <v>12</v>
      </c>
      <c r="I332" s="23">
        <v>0</v>
      </c>
      <c r="J332" s="23">
        <v>0</v>
      </c>
      <c r="K332" s="23" t="s">
        <v>24</v>
      </c>
      <c r="L332" s="23" t="s">
        <v>597</v>
      </c>
      <c r="M332" s="23" t="s">
        <v>1881</v>
      </c>
      <c r="N332" s="24">
        <v>45820</v>
      </c>
      <c r="O332" s="28">
        <v>1.3888888888888888E-2</v>
      </c>
      <c r="P332" s="3">
        <v>45810</v>
      </c>
      <c r="Q332" s="62">
        <v>45806.001249999994</v>
      </c>
      <c r="R332" s="72">
        <v>45806.015138888884</v>
      </c>
      <c r="S332" s="25">
        <v>1.4583333333333334E-2</v>
      </c>
      <c r="T332" s="63">
        <v>3.9994444444455439</v>
      </c>
      <c r="U332" s="47">
        <f>IFERROR(INDEX(NOVO!O:O,MATCH(PRINT!E204,NOVO!C:C,0)),"")</f>
        <v>122307</v>
      </c>
    </row>
    <row r="333" spans="1:21" s="23" customFormat="1" x14ac:dyDescent="0.35">
      <c r="A333" s="54">
        <v>0</v>
      </c>
      <c r="C333" s="23">
        <v>1004126</v>
      </c>
      <c r="D333" s="23">
        <v>1</v>
      </c>
      <c r="E333" s="23">
        <v>1004155</v>
      </c>
      <c r="F333" s="23" t="s">
        <v>1495</v>
      </c>
      <c r="G333" s="5">
        <v>30</v>
      </c>
      <c r="H333" s="23">
        <v>12</v>
      </c>
      <c r="I333" s="23">
        <v>0</v>
      </c>
      <c r="J333" s="23">
        <v>0</v>
      </c>
      <c r="K333" s="23" t="s">
        <v>24</v>
      </c>
      <c r="L333" s="23" t="s">
        <v>597</v>
      </c>
      <c r="M333" s="23" t="s">
        <v>1881</v>
      </c>
      <c r="N333" s="24">
        <v>45820</v>
      </c>
      <c r="O333" s="28">
        <v>2.0833333333333332E-2</v>
      </c>
      <c r="P333" s="3">
        <v>45810</v>
      </c>
      <c r="Q333" s="62">
        <v>45805.980416666658</v>
      </c>
      <c r="R333" s="72">
        <v>45806.001249999994</v>
      </c>
      <c r="S333" s="25">
        <v>6.9444444444444447E-4</v>
      </c>
      <c r="T333" s="63">
        <v>3.9994444444528199</v>
      </c>
      <c r="U333" s="47">
        <f>IFERROR(INDEX(NOVO!O:O,MATCH(PRINT!E203,NOVO!C:C,0)),"")</f>
        <v>122293</v>
      </c>
    </row>
    <row r="334" spans="1:21" s="23" customFormat="1" x14ac:dyDescent="0.35">
      <c r="A334" s="54">
        <v>0</v>
      </c>
      <c r="C334" s="23">
        <v>1003767</v>
      </c>
      <c r="D334" s="23">
        <v>1</v>
      </c>
      <c r="E334" s="23">
        <v>1003788</v>
      </c>
      <c r="F334" s="23" t="s">
        <v>1754</v>
      </c>
      <c r="G334" s="5">
        <v>9</v>
      </c>
      <c r="H334" s="23">
        <v>12</v>
      </c>
      <c r="I334" s="23">
        <v>0</v>
      </c>
      <c r="J334" s="23">
        <v>0</v>
      </c>
      <c r="K334" s="23" t="s">
        <v>24</v>
      </c>
      <c r="L334" s="23" t="s">
        <v>597</v>
      </c>
      <c r="M334" s="23" t="s">
        <v>1880</v>
      </c>
      <c r="N334" s="24">
        <v>45820</v>
      </c>
      <c r="O334" s="28">
        <v>6.4120370370370373E-3</v>
      </c>
      <c r="P334" s="3">
        <v>45810</v>
      </c>
      <c r="Q334" s="62">
        <v>45805.974004629621</v>
      </c>
      <c r="R334" s="72">
        <v>45805.980416666658</v>
      </c>
      <c r="S334" s="25">
        <v>0.97986111111111107</v>
      </c>
      <c r="T334" s="63">
        <v>4.9994444444528199</v>
      </c>
      <c r="U334" s="47">
        <f>IFERROR(INDEX(NOVO!O:O,MATCH(PRINT!E202,NOVO!C:C,0)),"")</f>
        <v>144717</v>
      </c>
    </row>
    <row r="335" spans="1:21" s="23" customFormat="1" x14ac:dyDescent="0.35">
      <c r="A335" s="54">
        <v>0</v>
      </c>
      <c r="C335" s="23">
        <v>1003767</v>
      </c>
      <c r="D335" s="23">
        <v>1</v>
      </c>
      <c r="E335" s="23">
        <v>1003804</v>
      </c>
      <c r="F335" s="23" t="s">
        <v>1755</v>
      </c>
      <c r="G335" s="5">
        <v>50</v>
      </c>
      <c r="H335" s="23">
        <v>12</v>
      </c>
      <c r="I335" s="23">
        <v>0</v>
      </c>
      <c r="J335" s="23">
        <v>0</v>
      </c>
      <c r="K335" s="23" t="s">
        <v>24</v>
      </c>
      <c r="L335" s="23" t="s">
        <v>597</v>
      </c>
      <c r="M335" s="23" t="s">
        <v>1880</v>
      </c>
      <c r="N335" s="24">
        <v>45820</v>
      </c>
      <c r="O335" s="28">
        <v>3.5254629629629629E-2</v>
      </c>
      <c r="P335" s="3">
        <v>45810</v>
      </c>
      <c r="Q335" s="62">
        <v>45805.938749999994</v>
      </c>
      <c r="R335" s="72">
        <v>45805.974004629621</v>
      </c>
      <c r="S335" s="25">
        <v>0.97361111111111109</v>
      </c>
      <c r="T335" s="63">
        <v>4.9996064814913552</v>
      </c>
      <c r="U335" s="47">
        <f>IFERROR(INDEX(NOVO!O:O,MATCH(PRINT!E201,NOVO!C:C,0)),"")</f>
        <v>197954</v>
      </c>
    </row>
    <row r="336" spans="1:21" s="23" customFormat="1" x14ac:dyDescent="0.35">
      <c r="A336" s="54">
        <v>0</v>
      </c>
      <c r="C336" s="23">
        <v>1003766</v>
      </c>
      <c r="D336" s="23">
        <v>1</v>
      </c>
      <c r="E336" s="23">
        <v>1003788</v>
      </c>
      <c r="F336" s="23" t="s">
        <v>1754</v>
      </c>
      <c r="G336" s="5">
        <v>9</v>
      </c>
      <c r="H336" s="23">
        <v>12</v>
      </c>
      <c r="I336" s="23">
        <v>0</v>
      </c>
      <c r="J336" s="23">
        <v>0</v>
      </c>
      <c r="K336" s="23" t="s">
        <v>24</v>
      </c>
      <c r="L336" s="23" t="s">
        <v>597</v>
      </c>
      <c r="M336" s="23" t="s">
        <v>1880</v>
      </c>
      <c r="N336" s="24">
        <v>45820</v>
      </c>
      <c r="O336" s="28">
        <v>6.4120370370370373E-3</v>
      </c>
      <c r="P336" s="3">
        <v>45810</v>
      </c>
      <c r="Q336" s="62">
        <v>45805.932337962957</v>
      </c>
      <c r="R336" s="72">
        <v>45805.938749999994</v>
      </c>
      <c r="S336" s="25">
        <v>0.93819444444444444</v>
      </c>
      <c r="T336" s="63">
        <v>4.9994444444528199</v>
      </c>
      <c r="U336" s="47" t="str">
        <f>IFERROR(INDEX(NOVO!O:O,MATCH(PRINT!E200,NOVO!C:C,0)),"")</f>
        <v/>
      </c>
    </row>
    <row r="337" spans="1:21" s="23" customFormat="1" x14ac:dyDescent="0.35">
      <c r="A337" s="54">
        <v>0</v>
      </c>
      <c r="C337" s="23">
        <v>1003766</v>
      </c>
      <c r="D337" s="23">
        <v>1</v>
      </c>
      <c r="E337" s="23">
        <v>1003804</v>
      </c>
      <c r="F337" s="23" t="s">
        <v>1755</v>
      </c>
      <c r="G337" s="5">
        <v>50</v>
      </c>
      <c r="H337" s="23">
        <v>12</v>
      </c>
      <c r="I337" s="23">
        <v>0</v>
      </c>
      <c r="J337" s="23">
        <v>0</v>
      </c>
      <c r="K337" s="23" t="s">
        <v>24</v>
      </c>
      <c r="L337" s="23" t="s">
        <v>597</v>
      </c>
      <c r="M337" s="23" t="s">
        <v>1880</v>
      </c>
      <c r="N337" s="24">
        <v>45820</v>
      </c>
      <c r="O337" s="28">
        <v>3.5254629629629629E-2</v>
      </c>
      <c r="P337" s="3">
        <v>45810</v>
      </c>
      <c r="Q337" s="62">
        <v>45805.89708333333</v>
      </c>
      <c r="R337" s="72">
        <v>45805.932337962957</v>
      </c>
      <c r="S337" s="25">
        <v>0.93194444444444446</v>
      </c>
      <c r="T337" s="63">
        <v>4.9996064814840793</v>
      </c>
      <c r="U337" s="47">
        <f>IFERROR(INDEX(NOVO!O:O,MATCH(PRINT!E199,NOVO!C:C,0)),"")</f>
        <v>197954</v>
      </c>
    </row>
    <row r="338" spans="1:21" s="23" customFormat="1" x14ac:dyDescent="0.35">
      <c r="A338" s="54">
        <v>0</v>
      </c>
      <c r="C338" s="23">
        <v>1003765</v>
      </c>
      <c r="D338" s="23">
        <v>1</v>
      </c>
      <c r="E338" s="23">
        <v>1003804</v>
      </c>
      <c r="F338" s="23" t="s">
        <v>1755</v>
      </c>
      <c r="G338" s="5">
        <v>50</v>
      </c>
      <c r="H338" s="23">
        <v>12</v>
      </c>
      <c r="I338" s="23">
        <v>0</v>
      </c>
      <c r="J338" s="23">
        <v>0</v>
      </c>
      <c r="K338" s="23" t="s">
        <v>24</v>
      </c>
      <c r="L338" s="23" t="s">
        <v>597</v>
      </c>
      <c r="M338" s="23" t="s">
        <v>1880</v>
      </c>
      <c r="N338" s="24">
        <v>45820</v>
      </c>
      <c r="O338" s="28">
        <v>3.5254629629629629E-2</v>
      </c>
      <c r="P338" s="3">
        <v>45810</v>
      </c>
      <c r="Q338" s="62">
        <v>45805.861828703702</v>
      </c>
      <c r="R338" s="72">
        <v>45805.89708333333</v>
      </c>
      <c r="S338" s="25">
        <v>0.89652777777777781</v>
      </c>
      <c r="T338" s="63">
        <v>4.9994444444455439</v>
      </c>
      <c r="U338" s="47">
        <f>IFERROR(INDEX(NOVO!O:O,MATCH(PRINT!E198,NOVO!C:C,0)),"")</f>
        <v>227549</v>
      </c>
    </row>
    <row r="339" spans="1:21" s="23" customFormat="1" x14ac:dyDescent="0.35">
      <c r="A339" s="54">
        <v>0</v>
      </c>
      <c r="C339" s="23">
        <v>1003765</v>
      </c>
      <c r="D339" s="23">
        <v>1</v>
      </c>
      <c r="E339" s="23">
        <v>1003788</v>
      </c>
      <c r="F339" s="23" t="s">
        <v>1754</v>
      </c>
      <c r="G339" s="5">
        <v>9</v>
      </c>
      <c r="H339" s="23">
        <v>12</v>
      </c>
      <c r="I339" s="23">
        <v>0</v>
      </c>
      <c r="J339" s="23">
        <v>0</v>
      </c>
      <c r="K339" s="23" t="s">
        <v>24</v>
      </c>
      <c r="L339" s="23" t="s">
        <v>597</v>
      </c>
      <c r="M339" s="23" t="s">
        <v>1880</v>
      </c>
      <c r="N339" s="24">
        <v>45820</v>
      </c>
      <c r="O339" s="28">
        <v>6.4120370370370373E-3</v>
      </c>
      <c r="P339" s="3">
        <v>45810</v>
      </c>
      <c r="Q339" s="62">
        <v>45805.855416666665</v>
      </c>
      <c r="R339" s="72">
        <v>45805.861828703702</v>
      </c>
      <c r="S339" s="25">
        <v>0.8618055555555556</v>
      </c>
      <c r="T339" s="63">
        <v>4.9999768518537167</v>
      </c>
      <c r="U339" s="47">
        <f>IFERROR(INDEX(NOVO!O:O,MATCH(PRINT!E197,NOVO!C:C,0)),"")</f>
        <v>227566</v>
      </c>
    </row>
    <row r="340" spans="1:21" s="23" customFormat="1" x14ac:dyDescent="0.35">
      <c r="A340" s="54">
        <v>0</v>
      </c>
      <c r="C340" s="23">
        <v>1003764</v>
      </c>
      <c r="D340" s="23">
        <v>1</v>
      </c>
      <c r="E340" s="23">
        <v>1003788</v>
      </c>
      <c r="F340" s="23" t="s">
        <v>1754</v>
      </c>
      <c r="G340" s="5">
        <v>9</v>
      </c>
      <c r="H340" s="23">
        <v>12</v>
      </c>
      <c r="I340" s="23">
        <v>0</v>
      </c>
      <c r="J340" s="23">
        <v>0</v>
      </c>
      <c r="K340" s="23" t="s">
        <v>24</v>
      </c>
      <c r="L340" s="23" t="s">
        <v>597</v>
      </c>
      <c r="M340" s="23" t="s">
        <v>1880</v>
      </c>
      <c r="N340" s="24">
        <v>45820</v>
      </c>
      <c r="O340" s="28">
        <v>6.4120370370370373E-3</v>
      </c>
      <c r="P340" s="3">
        <v>45810</v>
      </c>
      <c r="Q340" s="62">
        <v>45805.849004629628</v>
      </c>
      <c r="R340" s="72">
        <v>45805.855416666665</v>
      </c>
      <c r="S340" s="25">
        <v>0.85486111111111107</v>
      </c>
      <c r="T340" s="63">
        <v>4.9994444444455439</v>
      </c>
      <c r="U340" s="47" t="str">
        <f>IFERROR(INDEX(NOVO!O:O,MATCH(PRINT!E196,NOVO!C:C,0)),"")</f>
        <v/>
      </c>
    </row>
    <row r="341" spans="1:21" s="23" customFormat="1" x14ac:dyDescent="0.35">
      <c r="A341" s="54">
        <v>0</v>
      </c>
      <c r="C341" s="23">
        <v>1003764</v>
      </c>
      <c r="D341" s="23">
        <v>1</v>
      </c>
      <c r="E341" s="23">
        <v>1003804</v>
      </c>
      <c r="F341" s="23" t="s">
        <v>1755</v>
      </c>
      <c r="G341" s="5">
        <v>50</v>
      </c>
      <c r="H341" s="23">
        <v>12</v>
      </c>
      <c r="I341" s="23">
        <v>0</v>
      </c>
      <c r="J341" s="23">
        <v>0</v>
      </c>
      <c r="K341" s="23" t="s">
        <v>24</v>
      </c>
      <c r="L341" s="23" t="s">
        <v>597</v>
      </c>
      <c r="M341" s="23" t="s">
        <v>1880</v>
      </c>
      <c r="N341" s="24">
        <v>45820</v>
      </c>
      <c r="O341" s="28">
        <v>3.5254629629629629E-2</v>
      </c>
      <c r="P341" s="3">
        <v>45810</v>
      </c>
      <c r="Q341" s="62">
        <v>45805.813750000001</v>
      </c>
      <c r="R341" s="72">
        <v>45805.849004629628</v>
      </c>
      <c r="S341" s="25">
        <v>0.84861111111111109</v>
      </c>
      <c r="T341" s="63">
        <v>4.9996064814840793</v>
      </c>
      <c r="U341" s="47">
        <f>IFERROR(INDEX(NOVO!O:O,MATCH(PRINT!E195,NOVO!C:C,0)),"")</f>
        <v>227566</v>
      </c>
    </row>
    <row r="342" spans="1:21" s="23" customFormat="1" x14ac:dyDescent="0.35">
      <c r="A342" s="54">
        <v>0</v>
      </c>
      <c r="C342" s="23">
        <v>1003763</v>
      </c>
      <c r="D342" s="23">
        <v>1</v>
      </c>
      <c r="E342" s="23">
        <v>1003804</v>
      </c>
      <c r="F342" s="23" t="s">
        <v>1755</v>
      </c>
      <c r="G342" s="5">
        <v>50</v>
      </c>
      <c r="H342" s="23">
        <v>12</v>
      </c>
      <c r="I342" s="23">
        <v>0</v>
      </c>
      <c r="J342" s="23">
        <v>0</v>
      </c>
      <c r="K342" s="23" t="s">
        <v>24</v>
      </c>
      <c r="L342" s="23" t="s">
        <v>597</v>
      </c>
      <c r="M342" s="23" t="s">
        <v>1880</v>
      </c>
      <c r="N342" s="24">
        <v>45820</v>
      </c>
      <c r="O342" s="28">
        <v>3.5254629629629629E-2</v>
      </c>
      <c r="P342" s="3">
        <v>45810</v>
      </c>
      <c r="Q342" s="62">
        <v>45805.778495370374</v>
      </c>
      <c r="R342" s="72">
        <v>45805.813750000001</v>
      </c>
      <c r="S342" s="25">
        <v>0.81319444444444444</v>
      </c>
      <c r="T342" s="63">
        <v>4.9994444444455439</v>
      </c>
      <c r="U342" s="47">
        <f>IFERROR(INDEX(NOVO!O:O,MATCH(PRINT!E194,NOVO!C:C,0)),"")</f>
        <v>227566</v>
      </c>
    </row>
    <row r="343" spans="1:21" s="23" customFormat="1" x14ac:dyDescent="0.35">
      <c r="A343" s="54">
        <v>0</v>
      </c>
      <c r="C343" s="23">
        <v>1003763</v>
      </c>
      <c r="D343" s="23">
        <v>1</v>
      </c>
      <c r="E343" s="23">
        <v>1003788</v>
      </c>
      <c r="F343" s="23" t="s">
        <v>1754</v>
      </c>
      <c r="G343" s="5">
        <v>9</v>
      </c>
      <c r="H343" s="23">
        <v>12</v>
      </c>
      <c r="I343" s="23">
        <v>0</v>
      </c>
      <c r="J343" s="23">
        <v>0</v>
      </c>
      <c r="K343" s="23" t="s">
        <v>24</v>
      </c>
      <c r="L343" s="23" t="s">
        <v>597</v>
      </c>
      <c r="M343" s="23" t="s">
        <v>1880</v>
      </c>
      <c r="N343" s="24">
        <v>45820</v>
      </c>
      <c r="O343" s="28">
        <v>6.4120370370370373E-3</v>
      </c>
      <c r="P343" s="3">
        <v>45810</v>
      </c>
      <c r="Q343" s="62">
        <v>45805.772083333337</v>
      </c>
      <c r="R343" s="72">
        <v>45805.778495370374</v>
      </c>
      <c r="S343" s="25">
        <v>0.77847222222222223</v>
      </c>
      <c r="T343" s="63">
        <v>4.9999768518464407</v>
      </c>
      <c r="U343" s="47">
        <f>IFERROR(INDEX(NOVO!O:O,MATCH(PRINT!E193,NOVO!C:C,0)),"")</f>
        <v>227549</v>
      </c>
    </row>
    <row r="344" spans="1:21" s="23" customFormat="1" x14ac:dyDescent="0.35">
      <c r="A344" s="54">
        <v>0</v>
      </c>
      <c r="C344" s="23">
        <v>1003762</v>
      </c>
      <c r="D344" s="23">
        <v>1</v>
      </c>
      <c r="E344" s="23">
        <v>1003788</v>
      </c>
      <c r="F344" s="23" t="s">
        <v>1754</v>
      </c>
      <c r="G344" s="5">
        <v>1</v>
      </c>
      <c r="H344" s="23">
        <v>12</v>
      </c>
      <c r="I344" s="23">
        <v>0</v>
      </c>
      <c r="J344" s="23">
        <v>0</v>
      </c>
      <c r="K344" s="23" t="s">
        <v>24</v>
      </c>
      <c r="L344" s="23" t="s">
        <v>597</v>
      </c>
      <c r="M344" s="23" t="s">
        <v>1880</v>
      </c>
      <c r="N344" s="24">
        <v>45820</v>
      </c>
      <c r="O344" s="28">
        <v>1.25E-3</v>
      </c>
      <c r="P344" s="3">
        <v>45810</v>
      </c>
      <c r="Q344" s="62">
        <v>45805.770833333336</v>
      </c>
      <c r="R344" s="72">
        <v>45805.772083333337</v>
      </c>
      <c r="S344" s="25">
        <v>0.77152777777777781</v>
      </c>
      <c r="T344" s="63">
        <v>4.999444444438268</v>
      </c>
      <c r="U344" s="47">
        <f>IFERROR(INDEX(NOVO!O:O,MATCH(PRINT!E192,NOVO!C:C,0)),"")</f>
        <v>227549</v>
      </c>
    </row>
    <row r="345" spans="1:21" s="23" customFormat="1" x14ac:dyDescent="0.35">
      <c r="A345" s="54"/>
      <c r="G345" s="5"/>
      <c r="N345" s="24" t="s">
        <v>198</v>
      </c>
      <c r="O345" s="28">
        <v>2.0833333333333332E-2</v>
      </c>
      <c r="P345" s="3">
        <v>45810</v>
      </c>
      <c r="Q345" s="62">
        <v>45805.75</v>
      </c>
      <c r="R345" s="72">
        <v>45805.770833333336</v>
      </c>
      <c r="S345" s="25">
        <v>0.77083333333333337</v>
      </c>
      <c r="T345" s="63">
        <v>5</v>
      </c>
      <c r="U345" s="47">
        <f>IFERROR(INDEX(NOVO!O:O,MATCH(PRINT!E191,NOVO!C:C,0)),"")</f>
        <v>227566</v>
      </c>
    </row>
    <row r="346" spans="1:21" s="23" customFormat="1" x14ac:dyDescent="0.35">
      <c r="A346" s="54">
        <v>0</v>
      </c>
      <c r="C346" s="23">
        <v>1003762</v>
      </c>
      <c r="D346" s="23">
        <v>1</v>
      </c>
      <c r="E346" s="23">
        <v>1003788</v>
      </c>
      <c r="F346" s="23" t="s">
        <v>1754</v>
      </c>
      <c r="G346" s="5">
        <v>7</v>
      </c>
      <c r="H346" s="23">
        <v>12</v>
      </c>
      <c r="I346" s="23">
        <v>0</v>
      </c>
      <c r="J346" s="23">
        <v>0</v>
      </c>
      <c r="K346" s="23" t="s">
        <v>24</v>
      </c>
      <c r="L346" s="23" t="s">
        <v>597</v>
      </c>
      <c r="M346" s="23" t="s">
        <v>1880</v>
      </c>
      <c r="N346" s="24">
        <v>45820</v>
      </c>
      <c r="O346" s="28">
        <v>5.1620370504679158E-3</v>
      </c>
      <c r="P346" s="3">
        <v>45810</v>
      </c>
      <c r="Q346" s="62">
        <v>45805.74483796295</v>
      </c>
      <c r="R346" s="72">
        <v>45805.75</v>
      </c>
      <c r="S346" s="25">
        <v>0.75</v>
      </c>
      <c r="T346" s="63">
        <v>5</v>
      </c>
      <c r="U346" s="47">
        <f>IFERROR(INDEX(NOVO!O:O,MATCH(PRINT!E190,NOVO!C:C,0)),"")</f>
        <v>227566</v>
      </c>
    </row>
    <row r="347" spans="1:21" s="23" customFormat="1" x14ac:dyDescent="0.35">
      <c r="A347" s="54">
        <v>0</v>
      </c>
      <c r="C347" s="23">
        <v>1003762</v>
      </c>
      <c r="D347" s="23">
        <v>1</v>
      </c>
      <c r="E347" s="23">
        <v>1003804</v>
      </c>
      <c r="F347" s="23" t="s">
        <v>1755</v>
      </c>
      <c r="G347" s="5">
        <v>50</v>
      </c>
      <c r="H347" s="23">
        <v>12</v>
      </c>
      <c r="I347" s="23">
        <v>0</v>
      </c>
      <c r="J347" s="23">
        <v>0</v>
      </c>
      <c r="K347" s="23" t="s">
        <v>24</v>
      </c>
      <c r="L347" s="23" t="s">
        <v>597</v>
      </c>
      <c r="M347" s="23" t="s">
        <v>1880</v>
      </c>
      <c r="N347" s="24">
        <v>45820</v>
      </c>
      <c r="O347" s="28">
        <v>3.5254629629629629E-2</v>
      </c>
      <c r="P347" s="3">
        <v>45810</v>
      </c>
      <c r="Q347" s="62">
        <v>45805.709583333322</v>
      </c>
      <c r="R347" s="72">
        <v>45805.74483796295</v>
      </c>
      <c r="S347" s="25">
        <v>0.74444444444444446</v>
      </c>
      <c r="T347" s="63">
        <v>4.9996064814913552</v>
      </c>
      <c r="U347" s="47">
        <f>IFERROR(INDEX(NOVO!O:O,MATCH(PRINT!E189,NOVO!C:C,0)),"")</f>
        <v>227549</v>
      </c>
    </row>
    <row r="348" spans="1:21" s="23" customFormat="1" x14ac:dyDescent="0.35">
      <c r="A348" s="54">
        <v>0</v>
      </c>
      <c r="C348" s="23">
        <v>1003761</v>
      </c>
      <c r="D348" s="23">
        <v>1</v>
      </c>
      <c r="E348" s="23">
        <v>1003804</v>
      </c>
      <c r="F348" s="23" t="s">
        <v>1755</v>
      </c>
      <c r="G348" s="5">
        <v>50</v>
      </c>
      <c r="H348" s="23">
        <v>12</v>
      </c>
      <c r="I348" s="23">
        <v>0</v>
      </c>
      <c r="J348" s="23">
        <v>0</v>
      </c>
      <c r="K348" s="23" t="s">
        <v>24</v>
      </c>
      <c r="L348" s="23" t="s">
        <v>597</v>
      </c>
      <c r="M348" s="23" t="s">
        <v>1880</v>
      </c>
      <c r="N348" s="24">
        <v>45820</v>
      </c>
      <c r="O348" s="28">
        <v>3.5254629629629629E-2</v>
      </c>
      <c r="P348" s="3">
        <v>45810</v>
      </c>
      <c r="Q348" s="62">
        <v>45805.674328703695</v>
      </c>
      <c r="R348" s="72">
        <v>45805.709583333322</v>
      </c>
      <c r="S348" s="25">
        <v>0.70902777777777781</v>
      </c>
      <c r="T348" s="63">
        <v>4.9994444444528199</v>
      </c>
      <c r="U348" s="47">
        <f>IFERROR(INDEX(NOVO!O:O,MATCH(PRINT!E188,NOVO!C:C,0)),"")</f>
        <v>227566</v>
      </c>
    </row>
    <row r="349" spans="1:21" s="23" customFormat="1" x14ac:dyDescent="0.35">
      <c r="A349" s="54">
        <v>0</v>
      </c>
      <c r="C349" s="23">
        <v>1003761</v>
      </c>
      <c r="D349" s="23">
        <v>1</v>
      </c>
      <c r="E349" s="23">
        <v>1003788</v>
      </c>
      <c r="F349" s="23" t="s">
        <v>1754</v>
      </c>
      <c r="G349" s="5">
        <v>9</v>
      </c>
      <c r="H349" s="23">
        <v>12</v>
      </c>
      <c r="I349" s="23">
        <v>0</v>
      </c>
      <c r="J349" s="23">
        <v>0</v>
      </c>
      <c r="K349" s="23" t="s">
        <v>24</v>
      </c>
      <c r="L349" s="23" t="s">
        <v>597</v>
      </c>
      <c r="M349" s="23" t="s">
        <v>1880</v>
      </c>
      <c r="N349" s="24">
        <v>45820</v>
      </c>
      <c r="O349" s="28">
        <v>6.4120370370370373E-3</v>
      </c>
      <c r="P349" s="3">
        <v>45810</v>
      </c>
      <c r="Q349" s="62">
        <v>45805.667916666658</v>
      </c>
      <c r="R349" s="72">
        <v>45805.674328703695</v>
      </c>
      <c r="S349" s="25">
        <v>0.6743055555555556</v>
      </c>
      <c r="T349" s="63">
        <v>4.9999768518609926</v>
      </c>
      <c r="U349" s="47">
        <f>IFERROR(INDEX(NOVO!O:O,MATCH(PRINT!E187,NOVO!C:C,0)),"")</f>
        <v>227549</v>
      </c>
    </row>
    <row r="350" spans="1:21" s="23" customFormat="1" x14ac:dyDescent="0.35">
      <c r="A350" s="54">
        <v>0</v>
      </c>
      <c r="C350" s="23">
        <v>1003760</v>
      </c>
      <c r="D350" s="23">
        <v>1</v>
      </c>
      <c r="E350" s="23">
        <v>1003788</v>
      </c>
      <c r="F350" s="23" t="s">
        <v>1754</v>
      </c>
      <c r="G350" s="5">
        <v>9</v>
      </c>
      <c r="H350" s="23">
        <v>12</v>
      </c>
      <c r="I350" s="23">
        <v>0</v>
      </c>
      <c r="J350" s="23">
        <v>0</v>
      </c>
      <c r="K350" s="23" t="s">
        <v>24</v>
      </c>
      <c r="L350" s="23" t="s">
        <v>597</v>
      </c>
      <c r="M350" s="23" t="s">
        <v>1880</v>
      </c>
      <c r="N350" s="24">
        <v>45820</v>
      </c>
      <c r="O350" s="28">
        <v>6.4120370370370373E-3</v>
      </c>
      <c r="P350" s="3">
        <v>45810</v>
      </c>
      <c r="Q350" s="62">
        <v>45805.661504629621</v>
      </c>
      <c r="R350" s="72">
        <v>45805.667916666658</v>
      </c>
      <c r="S350" s="25">
        <v>0.66736111111111107</v>
      </c>
      <c r="T350" s="63">
        <v>4.9994444444528199</v>
      </c>
      <c r="U350" s="47">
        <f>IFERROR(INDEX(NOVO!O:O,MATCH(PRINT!E186,NOVO!C:C,0)),"")</f>
        <v>227566</v>
      </c>
    </row>
    <row r="351" spans="1:21" s="23" customFormat="1" x14ac:dyDescent="0.35">
      <c r="A351" s="54">
        <v>0</v>
      </c>
      <c r="C351" s="23">
        <v>1003760</v>
      </c>
      <c r="D351" s="23">
        <v>1</v>
      </c>
      <c r="E351" s="23">
        <v>1003804</v>
      </c>
      <c r="F351" s="23" t="s">
        <v>1755</v>
      </c>
      <c r="G351" s="5">
        <v>50</v>
      </c>
      <c r="H351" s="23">
        <v>12</v>
      </c>
      <c r="I351" s="23">
        <v>0</v>
      </c>
      <c r="J351" s="23">
        <v>0</v>
      </c>
      <c r="K351" s="23" t="s">
        <v>24</v>
      </c>
      <c r="L351" s="23" t="s">
        <v>597</v>
      </c>
      <c r="M351" s="23" t="s">
        <v>1880</v>
      </c>
      <c r="N351" s="24">
        <v>45820</v>
      </c>
      <c r="O351" s="28">
        <v>3.5254629629629629E-2</v>
      </c>
      <c r="P351" s="3">
        <v>45810</v>
      </c>
      <c r="Q351" s="62">
        <v>45805.626249999994</v>
      </c>
      <c r="R351" s="72">
        <v>45805.661504629621</v>
      </c>
      <c r="S351" s="25">
        <v>0.66111111111111109</v>
      </c>
      <c r="T351" s="63">
        <v>4.9996064814913552</v>
      </c>
      <c r="U351" s="47">
        <f>IFERROR(INDEX(NOVO!O:O,MATCH(PRINT!E185,NOVO!C:C,0)),"")</f>
        <v>227549</v>
      </c>
    </row>
    <row r="352" spans="1:21" s="23" customFormat="1" x14ac:dyDescent="0.35">
      <c r="A352" s="54">
        <v>0</v>
      </c>
      <c r="C352" s="23">
        <v>1003759</v>
      </c>
      <c r="D352" s="23">
        <v>1</v>
      </c>
      <c r="E352" s="23">
        <v>1003788</v>
      </c>
      <c r="F352" s="23" t="s">
        <v>1754</v>
      </c>
      <c r="G352" s="5">
        <v>9</v>
      </c>
      <c r="H352" s="23">
        <v>12</v>
      </c>
      <c r="I352" s="23">
        <v>0</v>
      </c>
      <c r="J352" s="23">
        <v>0</v>
      </c>
      <c r="K352" s="23" t="s">
        <v>24</v>
      </c>
      <c r="L352" s="23" t="s">
        <v>597</v>
      </c>
      <c r="M352" s="23" t="s">
        <v>1880</v>
      </c>
      <c r="N352" s="24">
        <v>45820</v>
      </c>
      <c r="O352" s="28">
        <v>6.4120370370370373E-3</v>
      </c>
      <c r="P352" s="3">
        <v>45810</v>
      </c>
      <c r="Q352" s="62">
        <v>45805.619837962957</v>
      </c>
      <c r="R352" s="72">
        <v>45805.626249999994</v>
      </c>
      <c r="S352" s="25">
        <v>0.62569444444444444</v>
      </c>
      <c r="T352" s="63">
        <v>4.9994444444528199</v>
      </c>
      <c r="U352" s="47">
        <f>IFERROR(INDEX(NOVO!O:O,MATCH(PRINT!E184,NOVO!C:C,0)),"")</f>
        <v>227549</v>
      </c>
    </row>
    <row r="353" spans="1:21" s="23" customFormat="1" x14ac:dyDescent="0.35">
      <c r="A353" s="54">
        <v>0</v>
      </c>
      <c r="C353" s="23">
        <v>1003759</v>
      </c>
      <c r="D353" s="23">
        <v>1</v>
      </c>
      <c r="E353" s="23">
        <v>1003804</v>
      </c>
      <c r="F353" s="23" t="s">
        <v>1755</v>
      </c>
      <c r="G353" s="5">
        <v>50</v>
      </c>
      <c r="H353" s="23">
        <v>12</v>
      </c>
      <c r="I353" s="23">
        <v>0</v>
      </c>
      <c r="J353" s="23">
        <v>0</v>
      </c>
      <c r="K353" s="23" t="s">
        <v>24</v>
      </c>
      <c r="L353" s="23" t="s">
        <v>597</v>
      </c>
      <c r="M353" s="23" t="s">
        <v>1880</v>
      </c>
      <c r="N353" s="24">
        <v>45820</v>
      </c>
      <c r="O353" s="28">
        <v>3.5254629629629629E-2</v>
      </c>
      <c r="P353" s="3">
        <v>45810</v>
      </c>
      <c r="Q353" s="62">
        <v>45805.58458333333</v>
      </c>
      <c r="R353" s="72">
        <v>45805.619837962957</v>
      </c>
      <c r="S353" s="25">
        <v>0.61944444444444446</v>
      </c>
      <c r="T353" s="63">
        <v>4.9996064814840793</v>
      </c>
      <c r="U353" s="47">
        <f>IFERROR(INDEX(NOVO!O:O,MATCH(PRINT!E183,NOVO!C:C,0)),"")</f>
        <v>227566</v>
      </c>
    </row>
    <row r="354" spans="1:21" s="23" customFormat="1" x14ac:dyDescent="0.35">
      <c r="A354" s="54">
        <v>0</v>
      </c>
      <c r="C354" s="23">
        <v>1003758</v>
      </c>
      <c r="D354" s="23">
        <v>1</v>
      </c>
      <c r="E354" s="23">
        <v>1003788</v>
      </c>
      <c r="F354" s="23" t="s">
        <v>1754</v>
      </c>
      <c r="G354" s="5">
        <v>9</v>
      </c>
      <c r="H354" s="23">
        <v>12</v>
      </c>
      <c r="I354" s="23">
        <v>0</v>
      </c>
      <c r="J354" s="23">
        <v>0</v>
      </c>
      <c r="K354" s="23" t="s">
        <v>24</v>
      </c>
      <c r="L354" s="23" t="s">
        <v>597</v>
      </c>
      <c r="M354" s="23" t="s">
        <v>1880</v>
      </c>
      <c r="N354" s="24">
        <v>45820</v>
      </c>
      <c r="O354" s="28">
        <v>6.4120370370370373E-3</v>
      </c>
      <c r="P354" s="3">
        <v>45810</v>
      </c>
      <c r="Q354" s="62">
        <v>45805.578171296293</v>
      </c>
      <c r="R354" s="72">
        <v>45805.58458333333</v>
      </c>
      <c r="S354" s="25">
        <v>0.58402777777777781</v>
      </c>
      <c r="T354" s="63">
        <v>4.9994444444455439</v>
      </c>
      <c r="U354" s="47">
        <f>IFERROR(INDEX(NOVO!O:O,MATCH(PRINT!E182,NOVO!C:C,0)),"")</f>
        <v>227566</v>
      </c>
    </row>
    <row r="355" spans="1:21" s="23" customFormat="1" x14ac:dyDescent="0.35">
      <c r="A355" s="54">
        <v>0</v>
      </c>
      <c r="C355" s="23">
        <v>1003758</v>
      </c>
      <c r="D355" s="23">
        <v>1</v>
      </c>
      <c r="E355" s="23">
        <v>1003804</v>
      </c>
      <c r="F355" s="23" t="s">
        <v>1755</v>
      </c>
      <c r="G355" s="5">
        <v>50</v>
      </c>
      <c r="H355" s="23">
        <v>12</v>
      </c>
      <c r="I355" s="23">
        <v>0</v>
      </c>
      <c r="J355" s="23">
        <v>0</v>
      </c>
      <c r="K355" s="23" t="s">
        <v>24</v>
      </c>
      <c r="L355" s="23" t="s">
        <v>597</v>
      </c>
      <c r="M355" s="23" t="s">
        <v>1880</v>
      </c>
      <c r="N355" s="24">
        <v>45820</v>
      </c>
      <c r="O355" s="28">
        <v>3.5254629629629629E-2</v>
      </c>
      <c r="P355" s="3">
        <v>45810</v>
      </c>
      <c r="Q355" s="62">
        <v>45805.542916666665</v>
      </c>
      <c r="R355" s="72">
        <v>45805.578171296293</v>
      </c>
      <c r="S355" s="25">
        <v>0.57777777777777772</v>
      </c>
      <c r="T355" s="63">
        <v>4.9996064814840793</v>
      </c>
      <c r="U355" s="47" t="str">
        <f>IFERROR(INDEX(NOVO!O:O,MATCH(PRINT!E181,NOVO!C:C,0)),"")</f>
        <v/>
      </c>
    </row>
    <row r="356" spans="1:21" s="23" customFormat="1" x14ac:dyDescent="0.35">
      <c r="A356" s="54">
        <v>0</v>
      </c>
      <c r="C356" s="23">
        <v>1003757</v>
      </c>
      <c r="D356" s="23">
        <v>1</v>
      </c>
      <c r="E356" s="23">
        <v>1003788</v>
      </c>
      <c r="F356" s="23" t="s">
        <v>1754</v>
      </c>
      <c r="G356" s="5">
        <v>9</v>
      </c>
      <c r="H356" s="23">
        <v>12</v>
      </c>
      <c r="I356" s="23">
        <v>0</v>
      </c>
      <c r="J356" s="23">
        <v>0</v>
      </c>
      <c r="K356" s="23" t="s">
        <v>24</v>
      </c>
      <c r="L356" s="23" t="s">
        <v>597</v>
      </c>
      <c r="M356" s="23" t="s">
        <v>1880</v>
      </c>
      <c r="N356" s="24">
        <v>45820</v>
      </c>
      <c r="O356" s="28">
        <v>6.4120370370370373E-3</v>
      </c>
      <c r="P356" s="3">
        <v>45810</v>
      </c>
      <c r="Q356" s="62">
        <v>45805.536504629628</v>
      </c>
      <c r="R356" s="72">
        <v>45805.542916666665</v>
      </c>
      <c r="S356" s="25">
        <v>0.54236111111111107</v>
      </c>
      <c r="T356" s="63">
        <v>4.9994444444455439</v>
      </c>
      <c r="U356" s="47">
        <f>IFERROR(INDEX(NOVO!O:O,MATCH(PRINT!E180,NOVO!C:C,0)),"")</f>
        <v>227566</v>
      </c>
    </row>
    <row r="357" spans="1:21" s="23" customFormat="1" x14ac:dyDescent="0.35">
      <c r="A357" s="54">
        <v>0</v>
      </c>
      <c r="C357" s="23">
        <v>1003757</v>
      </c>
      <c r="D357" s="23">
        <v>1</v>
      </c>
      <c r="E357" s="23">
        <v>1003804</v>
      </c>
      <c r="F357" s="23" t="s">
        <v>1755</v>
      </c>
      <c r="G357" s="5">
        <v>50</v>
      </c>
      <c r="H357" s="23">
        <v>12</v>
      </c>
      <c r="I357" s="23">
        <v>0</v>
      </c>
      <c r="J357" s="23">
        <v>0</v>
      </c>
      <c r="K357" s="23" t="s">
        <v>24</v>
      </c>
      <c r="L357" s="23" t="s">
        <v>597</v>
      </c>
      <c r="M357" s="23" t="s">
        <v>1880</v>
      </c>
      <c r="N357" s="24">
        <v>45820</v>
      </c>
      <c r="O357" s="28">
        <v>3.5254629629629629E-2</v>
      </c>
      <c r="P357" s="3">
        <v>45810</v>
      </c>
      <c r="Q357" s="62">
        <v>45805.501250000001</v>
      </c>
      <c r="R357" s="72">
        <v>45805.536504629628</v>
      </c>
      <c r="S357" s="25">
        <v>0.53611111111111109</v>
      </c>
      <c r="T357" s="63">
        <v>4.9996064814840793</v>
      </c>
      <c r="U357" s="47">
        <f>IFERROR(INDEX(NOVO!O:O,MATCH(PRINT!E179,NOVO!C:C,0)),"")</f>
        <v>227549</v>
      </c>
    </row>
    <row r="358" spans="1:21" s="23" customFormat="1" x14ac:dyDescent="0.35">
      <c r="A358" s="54">
        <v>0</v>
      </c>
      <c r="C358" s="23">
        <v>1003756</v>
      </c>
      <c r="D358" s="23">
        <v>2</v>
      </c>
      <c r="E358" s="23">
        <v>1003788</v>
      </c>
      <c r="F358" s="23" t="s">
        <v>1754</v>
      </c>
      <c r="G358" s="5">
        <v>18</v>
      </c>
      <c r="H358" s="23">
        <v>12</v>
      </c>
      <c r="I358" s="23">
        <v>0</v>
      </c>
      <c r="J358" s="23">
        <v>0</v>
      </c>
      <c r="K358" s="23" t="s">
        <v>24</v>
      </c>
      <c r="L358" s="23" t="s">
        <v>597</v>
      </c>
      <c r="M358" s="23" t="s">
        <v>1880</v>
      </c>
      <c r="N358" s="24">
        <v>45820</v>
      </c>
      <c r="O358" s="28">
        <v>1.2824074074074075E-2</v>
      </c>
      <c r="P358" s="3">
        <v>45810</v>
      </c>
      <c r="Q358" s="62">
        <v>45805.488425925927</v>
      </c>
      <c r="R358" s="72">
        <v>45805.501250000001</v>
      </c>
      <c r="S358" s="25">
        <v>0.50069444444444444</v>
      </c>
      <c r="T358" s="63">
        <v>4.9994444444455439</v>
      </c>
      <c r="U358" s="47">
        <f>IFERROR(INDEX(NOVO!O:O,MATCH(PRINT!E178,NOVO!C:C,0)),"")</f>
        <v>227566</v>
      </c>
    </row>
    <row r="359" spans="1:21" s="23" customFormat="1" x14ac:dyDescent="0.35">
      <c r="A359" s="54">
        <v>0</v>
      </c>
      <c r="C359" s="23">
        <v>1003756</v>
      </c>
      <c r="D359" s="23">
        <v>2</v>
      </c>
      <c r="E359" s="23">
        <v>1003804</v>
      </c>
      <c r="F359" s="23" t="s">
        <v>1755</v>
      </c>
      <c r="G359" s="5">
        <v>73</v>
      </c>
      <c r="H359" s="23">
        <v>12</v>
      </c>
      <c r="I359" s="23">
        <v>0</v>
      </c>
      <c r="J359" s="23">
        <v>0</v>
      </c>
      <c r="K359" s="23" t="s">
        <v>24</v>
      </c>
      <c r="L359" s="23" t="s">
        <v>597</v>
      </c>
      <c r="M359" s="23" t="s">
        <v>1880</v>
      </c>
      <c r="N359" s="24">
        <v>45820</v>
      </c>
      <c r="O359" s="28">
        <v>5.0925925925925923E-2</v>
      </c>
      <c r="P359" s="3">
        <v>45810</v>
      </c>
      <c r="Q359" s="62">
        <v>45805.4375</v>
      </c>
      <c r="R359" s="72">
        <v>45805.488425925927</v>
      </c>
      <c r="S359" s="25">
        <v>0.48819444444444443</v>
      </c>
      <c r="T359" s="63">
        <v>4.9997685185153387</v>
      </c>
      <c r="U359" s="47">
        <f>IFERROR(INDEX(NOVO!O:O,MATCH(PRINT!E177,NOVO!C:C,0)),"")</f>
        <v>227549</v>
      </c>
    </row>
    <row r="360" spans="1:21" s="23" customFormat="1" x14ac:dyDescent="0.35">
      <c r="A360" s="54"/>
      <c r="G360" s="5"/>
      <c r="N360" s="24" t="s">
        <v>198</v>
      </c>
      <c r="O360" s="28">
        <v>2.0833333333333332E-2</v>
      </c>
      <c r="P360" s="3">
        <v>45810</v>
      </c>
      <c r="Q360" s="62">
        <v>45805.416666666664</v>
      </c>
      <c r="R360" s="72">
        <v>45805.4375</v>
      </c>
      <c r="S360" s="25">
        <v>0.4375</v>
      </c>
      <c r="T360" s="63">
        <v>5</v>
      </c>
      <c r="U360" s="47">
        <f>IFERROR(INDEX(NOVO!O:O,MATCH(PRINT!E176,NOVO!C:C,0)),"")</f>
        <v>227566</v>
      </c>
    </row>
    <row r="361" spans="1:21" s="23" customFormat="1" x14ac:dyDescent="0.35">
      <c r="A361" s="54">
        <v>0</v>
      </c>
      <c r="C361" s="23">
        <v>1003756</v>
      </c>
      <c r="D361" s="23">
        <v>2</v>
      </c>
      <c r="E361" s="23">
        <v>1003804</v>
      </c>
      <c r="F361" s="23" t="s">
        <v>1755</v>
      </c>
      <c r="G361" s="5">
        <v>28</v>
      </c>
      <c r="H361" s="23">
        <v>12</v>
      </c>
      <c r="I361" s="23">
        <v>0</v>
      </c>
      <c r="J361" s="23">
        <v>0</v>
      </c>
      <c r="K361" s="23" t="s">
        <v>24</v>
      </c>
      <c r="L361" s="23" t="s">
        <v>597</v>
      </c>
      <c r="M361" s="23" t="s">
        <v>1880</v>
      </c>
      <c r="N361" s="24">
        <v>45820</v>
      </c>
      <c r="O361" s="28">
        <v>1.9583333320042584E-2</v>
      </c>
      <c r="P361" s="3">
        <v>45810</v>
      </c>
      <c r="Q361" s="62">
        <v>45805.397083333344</v>
      </c>
      <c r="R361" s="72">
        <v>45805.416666666664</v>
      </c>
      <c r="S361" s="25">
        <v>0.41666666666666669</v>
      </c>
      <c r="T361" s="63">
        <v>5</v>
      </c>
      <c r="U361" s="47">
        <f>IFERROR(INDEX(NOVO!O:O,MATCH(PRINT!E175,NOVO!C:C,0)),"")</f>
        <v>227549</v>
      </c>
    </row>
    <row r="362" spans="1:21" s="23" customFormat="1" x14ac:dyDescent="0.35">
      <c r="A362" s="54">
        <v>0</v>
      </c>
      <c r="C362" s="23">
        <v>1002949</v>
      </c>
      <c r="D362" s="23">
        <v>1</v>
      </c>
      <c r="E362" s="23">
        <v>1002950</v>
      </c>
      <c r="F362" s="23" t="s">
        <v>1878</v>
      </c>
      <c r="G362" s="5">
        <v>30</v>
      </c>
      <c r="H362" s="23">
        <v>1</v>
      </c>
      <c r="I362" s="23">
        <v>0</v>
      </c>
      <c r="J362" s="23">
        <v>0</v>
      </c>
      <c r="K362" s="23" t="s">
        <v>24</v>
      </c>
      <c r="L362" s="23" t="s">
        <v>597</v>
      </c>
      <c r="M362" s="23" t="s">
        <v>1879</v>
      </c>
      <c r="N362" s="24">
        <v>45838</v>
      </c>
      <c r="O362" s="28">
        <v>2.0833333333333332E-2</v>
      </c>
      <c r="P362" s="3">
        <v>45810</v>
      </c>
      <c r="Q362" s="62">
        <v>45805.376250000008</v>
      </c>
      <c r="R362" s="72">
        <v>45805.397083333344</v>
      </c>
      <c r="S362" s="25">
        <v>0.39652777777777776</v>
      </c>
      <c r="T362" s="63">
        <v>4.999444444430992</v>
      </c>
      <c r="U362" s="47">
        <f>IFERROR(INDEX(NOVO!O:O,MATCH(PRINT!E174,NOVO!C:C,0)),"")</f>
        <v>227549</v>
      </c>
    </row>
    <row r="363" spans="1:21" s="23" customFormat="1" x14ac:dyDescent="0.35">
      <c r="A363" s="54">
        <v>0</v>
      </c>
      <c r="C363" s="23">
        <v>1002939</v>
      </c>
      <c r="D363" s="23">
        <v>1</v>
      </c>
      <c r="E363" s="23">
        <v>1002940</v>
      </c>
      <c r="F363" s="23" t="s">
        <v>1876</v>
      </c>
      <c r="G363" s="5">
        <v>30</v>
      </c>
      <c r="H363" s="23">
        <v>1</v>
      </c>
      <c r="I363" s="23">
        <v>0</v>
      </c>
      <c r="J363" s="23">
        <v>0</v>
      </c>
      <c r="K363" s="23" t="s">
        <v>24</v>
      </c>
      <c r="L363" s="23" t="s">
        <v>597</v>
      </c>
      <c r="M363" s="23" t="s">
        <v>1877</v>
      </c>
      <c r="N363" s="24">
        <v>45838</v>
      </c>
      <c r="O363" s="28">
        <v>2.0833333333333332E-2</v>
      </c>
      <c r="P363" s="3">
        <v>45810</v>
      </c>
      <c r="Q363" s="62">
        <v>45805.355416666673</v>
      </c>
      <c r="R363" s="72">
        <v>45805.376250000008</v>
      </c>
      <c r="S363" s="25">
        <v>0.37569444444444444</v>
      </c>
      <c r="T363" s="63">
        <v>4.999444444438268</v>
      </c>
      <c r="U363" s="47">
        <f>IFERROR(INDEX(NOVO!O:O,MATCH(PRINT!E173,NOVO!C:C,0)),"")</f>
        <v>227566</v>
      </c>
    </row>
    <row r="364" spans="1:21" s="23" customFormat="1" x14ac:dyDescent="0.35">
      <c r="A364" s="54">
        <v>0</v>
      </c>
      <c r="C364" s="23">
        <v>1028129</v>
      </c>
      <c r="D364" s="23">
        <v>1</v>
      </c>
      <c r="E364" s="23">
        <v>1028135</v>
      </c>
      <c r="F364" s="23" t="s">
        <v>1874</v>
      </c>
      <c r="G364" s="5">
        <v>30</v>
      </c>
      <c r="H364" s="23">
        <v>2</v>
      </c>
      <c r="I364" s="23">
        <v>0</v>
      </c>
      <c r="J364" s="23">
        <v>0</v>
      </c>
      <c r="K364" s="23" t="s">
        <v>24</v>
      </c>
      <c r="L364" s="23" t="s">
        <v>597</v>
      </c>
      <c r="M364" s="23" t="s">
        <v>1875</v>
      </c>
      <c r="N364" s="24">
        <v>45826</v>
      </c>
      <c r="O364" s="28">
        <v>2.0833333333333332E-2</v>
      </c>
      <c r="P364" s="3">
        <v>45807</v>
      </c>
      <c r="Q364" s="62">
        <v>45805.334583333337</v>
      </c>
      <c r="R364" s="72">
        <v>45805.355416666673</v>
      </c>
      <c r="S364" s="25">
        <v>0.35486111111111113</v>
      </c>
      <c r="T364" s="63">
        <v>1.999444444438268</v>
      </c>
      <c r="U364" s="47">
        <f>IFERROR(INDEX(NOVO!O:O,MATCH(PRINT!E172,NOVO!C:C,0)),"")</f>
        <v>227549</v>
      </c>
    </row>
    <row r="365" spans="1:21" s="23" customFormat="1" x14ac:dyDescent="0.35">
      <c r="A365" s="54">
        <v>0</v>
      </c>
      <c r="C365" s="23">
        <v>1012730</v>
      </c>
      <c r="D365" s="23">
        <v>1</v>
      </c>
      <c r="E365" s="23">
        <v>1012731</v>
      </c>
      <c r="F365" s="23" t="s">
        <v>1131</v>
      </c>
      <c r="G365" s="5">
        <v>65</v>
      </c>
      <c r="H365" s="23">
        <v>1</v>
      </c>
      <c r="I365" s="23">
        <v>0</v>
      </c>
      <c r="J365" s="23">
        <v>0</v>
      </c>
      <c r="K365" s="23" t="s">
        <v>24</v>
      </c>
      <c r="L365" s="23" t="s">
        <v>597</v>
      </c>
      <c r="M365" s="23" t="s">
        <v>1873</v>
      </c>
      <c r="N365" s="24">
        <v>45819</v>
      </c>
      <c r="O365" s="28">
        <v>4.5138888888888888E-2</v>
      </c>
      <c r="P365" s="3">
        <v>45805</v>
      </c>
      <c r="Q365" s="62">
        <v>45805.289444444446</v>
      </c>
      <c r="R365" s="72">
        <v>45805.334583333337</v>
      </c>
      <c r="S365" s="25">
        <v>0.33402777777777776</v>
      </c>
      <c r="T365" s="63">
        <v>-5.5555556173203513E-4</v>
      </c>
      <c r="U365" s="47">
        <f>IFERROR(INDEX(NOVO!O:O,MATCH(PRINT!E171,NOVO!C:C,0)),"")</f>
        <v>227566</v>
      </c>
    </row>
    <row r="366" spans="1:21" s="23" customFormat="1" x14ac:dyDescent="0.35">
      <c r="A366" s="54">
        <v>0</v>
      </c>
      <c r="C366" s="23">
        <v>1027509</v>
      </c>
      <c r="D366" s="23">
        <v>4</v>
      </c>
      <c r="E366" s="23">
        <v>1027510</v>
      </c>
      <c r="F366" s="23" t="s">
        <v>1079</v>
      </c>
      <c r="G366" s="5">
        <v>266</v>
      </c>
      <c r="H366" s="23">
        <v>8</v>
      </c>
      <c r="I366" s="23">
        <v>0</v>
      </c>
      <c r="J366" s="23">
        <v>0</v>
      </c>
      <c r="K366" s="23" t="s">
        <v>24</v>
      </c>
      <c r="L366" s="23" t="s">
        <v>597</v>
      </c>
      <c r="M366" s="23" t="s">
        <v>1872</v>
      </c>
      <c r="N366" s="24">
        <v>45820</v>
      </c>
      <c r="O366" s="28">
        <v>0.18527777777777779</v>
      </c>
      <c r="P366" s="3">
        <v>45804</v>
      </c>
      <c r="Q366" s="62">
        <v>45805.104166666672</v>
      </c>
      <c r="R366" s="72">
        <v>45805.289444444446</v>
      </c>
      <c r="S366" s="25">
        <v>0.28888888888888886</v>
      </c>
      <c r="T366" s="63">
        <v>-1.0005555555544561</v>
      </c>
      <c r="U366" s="47">
        <f>IFERROR(INDEX(NOVO!O:O,MATCH(PRINT!E170,NOVO!C:C,0)),"")</f>
        <v>227775</v>
      </c>
    </row>
    <row r="367" spans="1:21" s="23" customFormat="1" x14ac:dyDescent="0.35">
      <c r="A367" s="54"/>
      <c r="G367" s="5"/>
      <c r="N367" s="24" t="s">
        <v>198</v>
      </c>
      <c r="O367" s="28">
        <v>2.0833333333333332E-2</v>
      </c>
      <c r="P367" s="3">
        <v>45804</v>
      </c>
      <c r="Q367" s="62">
        <v>45805.083333333336</v>
      </c>
      <c r="R367" s="72">
        <v>45805.104166666672</v>
      </c>
      <c r="S367" s="25">
        <v>0.10416666666666667</v>
      </c>
      <c r="T367" s="63">
        <v>-1.000000000007276</v>
      </c>
      <c r="U367" s="47">
        <f>IFERROR(INDEX(NOVO!O:O,MATCH(PRINT!E169,NOVO!C:C,0)),"")</f>
        <v>227779</v>
      </c>
    </row>
    <row r="368" spans="1:21" s="23" customFormat="1" x14ac:dyDescent="0.35">
      <c r="A368" s="54">
        <v>0</v>
      </c>
      <c r="C368" s="23">
        <v>1027509</v>
      </c>
      <c r="D368" s="23">
        <v>4</v>
      </c>
      <c r="E368" s="23">
        <v>1027510</v>
      </c>
      <c r="F368" s="23" t="s">
        <v>1079</v>
      </c>
      <c r="G368" s="5">
        <v>53</v>
      </c>
      <c r="H368" s="23">
        <v>8</v>
      </c>
      <c r="I368" s="23">
        <v>0</v>
      </c>
      <c r="J368" s="23">
        <v>0</v>
      </c>
      <c r="K368" s="23" t="s">
        <v>24</v>
      </c>
      <c r="L368" s="23" t="s">
        <v>597</v>
      </c>
      <c r="M368" s="23" t="s">
        <v>1872</v>
      </c>
      <c r="N368" s="24">
        <v>45820</v>
      </c>
      <c r="O368" s="28">
        <v>3.6944444444088731E-2</v>
      </c>
      <c r="P368" s="3">
        <v>45804</v>
      </c>
      <c r="Q368" s="62">
        <v>45805.046388888892</v>
      </c>
      <c r="R368" s="72">
        <v>45805.083333333336</v>
      </c>
      <c r="S368" s="25">
        <v>8.3333333333333329E-2</v>
      </c>
      <c r="T368" s="63">
        <v>-1</v>
      </c>
      <c r="U368" s="47">
        <f>IFERROR(INDEX(NOVO!O:O,MATCH(PRINT!E168,NOVO!C:C,0)),"")</f>
        <v>227792</v>
      </c>
    </row>
    <row r="369" spans="1:21" s="23" customFormat="1" x14ac:dyDescent="0.35">
      <c r="A369" s="54">
        <v>0</v>
      </c>
      <c r="C369" s="23">
        <v>1027505</v>
      </c>
      <c r="D369" s="23">
        <v>1</v>
      </c>
      <c r="E369" s="23">
        <v>1027506</v>
      </c>
      <c r="F369" s="23" t="s">
        <v>1079</v>
      </c>
      <c r="G369" s="5">
        <v>80</v>
      </c>
      <c r="H369" s="23">
        <v>2</v>
      </c>
      <c r="I369" s="23">
        <v>0</v>
      </c>
      <c r="J369" s="23">
        <v>0</v>
      </c>
      <c r="K369" s="23" t="s">
        <v>24</v>
      </c>
      <c r="L369" s="23" t="s">
        <v>597</v>
      </c>
      <c r="M369" s="23" t="s">
        <v>1871</v>
      </c>
      <c r="N369" s="24">
        <v>45820</v>
      </c>
      <c r="O369" s="28">
        <v>5.5555555555555552E-2</v>
      </c>
      <c r="P369" s="3">
        <v>45804</v>
      </c>
      <c r="Q369" s="62">
        <v>45804.990833333337</v>
      </c>
      <c r="R369" s="72">
        <v>45805.046388888892</v>
      </c>
      <c r="S369" s="25">
        <v>4.583333333333333E-2</v>
      </c>
      <c r="T369" s="63">
        <v>-1.000555555561732</v>
      </c>
      <c r="U369" s="47">
        <f>IFERROR(INDEX(NOVO!O:O,MATCH(PRINT!E167,NOVO!C:C,0)),"")</f>
        <v>227775</v>
      </c>
    </row>
    <row r="370" spans="1:21" s="23" customFormat="1" x14ac:dyDescent="0.35">
      <c r="A370" s="54">
        <v>0</v>
      </c>
      <c r="C370" s="23">
        <v>1024565</v>
      </c>
      <c r="D370" s="23">
        <v>8</v>
      </c>
      <c r="E370" s="23">
        <v>1024546</v>
      </c>
      <c r="F370" s="23" t="s">
        <v>243</v>
      </c>
      <c r="G370" s="5">
        <v>80</v>
      </c>
      <c r="H370" s="23">
        <v>8</v>
      </c>
      <c r="I370" s="23">
        <v>0</v>
      </c>
      <c r="J370" s="23">
        <v>0</v>
      </c>
      <c r="K370" s="23" t="s">
        <v>24</v>
      </c>
      <c r="L370" s="23" t="s">
        <v>597</v>
      </c>
      <c r="M370" s="23" t="s">
        <v>1870</v>
      </c>
      <c r="N370" s="24">
        <v>45819</v>
      </c>
      <c r="O370" s="28">
        <v>5.5555555555555552E-2</v>
      </c>
      <c r="P370" s="3">
        <v>45803</v>
      </c>
      <c r="Q370" s="62">
        <v>45804.935277777782</v>
      </c>
      <c r="R370" s="72">
        <v>45804.990833333337</v>
      </c>
      <c r="S370" s="25">
        <v>0.99027777777777781</v>
      </c>
      <c r="T370" s="63">
        <v>-1.000555555561732</v>
      </c>
      <c r="U370" s="47">
        <f>IFERROR(INDEX(NOVO!O:O,MATCH(PRINT!E166,NOVO!C:C,0)),"")</f>
        <v>227792</v>
      </c>
    </row>
    <row r="371" spans="1:21" s="23" customFormat="1" x14ac:dyDescent="0.35">
      <c r="A371" s="54">
        <v>50</v>
      </c>
      <c r="C371" s="23">
        <v>1024565</v>
      </c>
      <c r="D371" s="23">
        <v>8</v>
      </c>
      <c r="E371" s="23">
        <v>1024560</v>
      </c>
      <c r="F371" s="23" t="s">
        <v>239</v>
      </c>
      <c r="G371" s="5">
        <v>80</v>
      </c>
      <c r="H371" s="23">
        <v>8</v>
      </c>
      <c r="I371" s="23">
        <v>5</v>
      </c>
      <c r="J371" s="23">
        <v>50</v>
      </c>
      <c r="K371" s="23" t="s">
        <v>24</v>
      </c>
      <c r="L371" s="23" t="s">
        <v>597</v>
      </c>
      <c r="M371" s="23" t="s">
        <v>1870</v>
      </c>
      <c r="N371" s="24">
        <v>45819</v>
      </c>
      <c r="O371" s="28">
        <v>5.5555555555555552E-2</v>
      </c>
      <c r="P371" s="3">
        <v>45803</v>
      </c>
      <c r="Q371" s="62">
        <v>45804.879722222227</v>
      </c>
      <c r="R371" s="72">
        <v>45804.935277777782</v>
      </c>
      <c r="S371" s="25">
        <v>0.93472222222222223</v>
      </c>
      <c r="T371" s="63">
        <v>-1.000555555561732</v>
      </c>
      <c r="U371" s="47">
        <f>IFERROR(INDEX(NOVO!O:O,MATCH(PRINT!E165,NOVO!C:C,0)),"")</f>
        <v>227779</v>
      </c>
    </row>
    <row r="372" spans="1:21" s="23" customFormat="1" x14ac:dyDescent="0.35">
      <c r="A372" s="54">
        <v>0</v>
      </c>
      <c r="C372" s="23">
        <v>1021509</v>
      </c>
      <c r="D372" s="23">
        <v>1</v>
      </c>
      <c r="E372" s="23">
        <v>1021566</v>
      </c>
      <c r="F372" s="23" t="s">
        <v>1865</v>
      </c>
      <c r="G372" s="5">
        <v>15</v>
      </c>
      <c r="H372" s="23">
        <v>1</v>
      </c>
      <c r="I372" s="23">
        <v>0</v>
      </c>
      <c r="J372" s="23">
        <v>0</v>
      </c>
      <c r="K372" s="23" t="s">
        <v>24</v>
      </c>
      <c r="L372" s="23" t="s">
        <v>597</v>
      </c>
      <c r="M372" s="23" t="s">
        <v>1869</v>
      </c>
      <c r="N372" s="24">
        <v>45820</v>
      </c>
      <c r="O372" s="28">
        <v>1.0416666666666666E-2</v>
      </c>
      <c r="P372" s="3">
        <v>45803</v>
      </c>
      <c r="Q372" s="62">
        <v>45804.869305555563</v>
      </c>
      <c r="R372" s="72">
        <v>45804.879722222227</v>
      </c>
      <c r="S372" s="25">
        <v>0.87916666666666665</v>
      </c>
      <c r="T372" s="63">
        <v>-1.000555555561732</v>
      </c>
      <c r="U372" s="47">
        <f>IFERROR(INDEX(NOVO!O:O,MATCH(PRINT!E164,NOVO!C:C,0)),"")</f>
        <v>227792</v>
      </c>
    </row>
    <row r="373" spans="1:21" s="23" customFormat="1" x14ac:dyDescent="0.35">
      <c r="A373" s="54">
        <v>0</v>
      </c>
      <c r="C373" s="23">
        <v>1020045</v>
      </c>
      <c r="D373" s="23">
        <v>1</v>
      </c>
      <c r="E373" s="23">
        <v>1020099</v>
      </c>
      <c r="F373" s="23" t="s">
        <v>1609</v>
      </c>
      <c r="G373" s="5">
        <v>50</v>
      </c>
      <c r="H373" s="23">
        <v>2</v>
      </c>
      <c r="I373" s="23">
        <v>0</v>
      </c>
      <c r="J373" s="23">
        <v>0</v>
      </c>
      <c r="K373" s="23" t="s">
        <v>24</v>
      </c>
      <c r="L373" s="23" t="s">
        <v>597</v>
      </c>
      <c r="M373" s="23" t="s">
        <v>1868</v>
      </c>
      <c r="N373" s="24">
        <v>45822</v>
      </c>
      <c r="O373" s="28">
        <v>3.4722222222222224E-2</v>
      </c>
      <c r="P373" s="3">
        <v>45803</v>
      </c>
      <c r="Q373" s="62">
        <v>45804.834583333344</v>
      </c>
      <c r="R373" s="72">
        <v>45804.869305555563</v>
      </c>
      <c r="S373" s="25">
        <v>0.86875000000000002</v>
      </c>
      <c r="T373" s="63">
        <v>-1.000555555561732</v>
      </c>
      <c r="U373" s="47">
        <f>IFERROR(INDEX(NOVO!O:O,MATCH(PRINT!E163,NOVO!C:C,0)),"")</f>
        <v>227779</v>
      </c>
    </row>
    <row r="374" spans="1:21" s="23" customFormat="1" x14ac:dyDescent="0.35">
      <c r="A374" s="54">
        <v>0</v>
      </c>
      <c r="C374" s="23">
        <v>1020045</v>
      </c>
      <c r="D374" s="23">
        <v>1</v>
      </c>
      <c r="E374" s="23">
        <v>1020091</v>
      </c>
      <c r="F374" s="23" t="s">
        <v>1766</v>
      </c>
      <c r="G374" s="5">
        <v>30</v>
      </c>
      <c r="H374" s="23">
        <v>1</v>
      </c>
      <c r="I374" s="23">
        <v>0</v>
      </c>
      <c r="J374" s="23">
        <v>0</v>
      </c>
      <c r="K374" s="23" t="s">
        <v>24</v>
      </c>
      <c r="L374" s="23" t="s">
        <v>597</v>
      </c>
      <c r="M374" s="23" t="s">
        <v>1868</v>
      </c>
      <c r="N374" s="24">
        <v>45822</v>
      </c>
      <c r="O374" s="28">
        <v>2.0833333333333332E-2</v>
      </c>
      <c r="P374" s="3">
        <v>45803</v>
      </c>
      <c r="Q374" s="62">
        <v>45804.813750000008</v>
      </c>
      <c r="R374" s="72">
        <v>45804.834583333344</v>
      </c>
      <c r="S374" s="25">
        <v>0.83402777777777781</v>
      </c>
      <c r="T374" s="63">
        <v>-1.000555555569008</v>
      </c>
      <c r="U374" s="47">
        <f>IFERROR(INDEX(NOVO!O:O,MATCH(PRINT!E162,NOVO!C:C,0)),"")</f>
        <v>227775</v>
      </c>
    </row>
    <row r="375" spans="1:21" x14ac:dyDescent="0.35">
      <c r="A375" s="54">
        <v>0</v>
      </c>
      <c r="B375" s="23"/>
      <c r="C375" s="23">
        <v>1020045</v>
      </c>
      <c r="D375" s="23">
        <v>1</v>
      </c>
      <c r="E375" s="23">
        <v>1020090</v>
      </c>
      <c r="F375" s="23" t="s">
        <v>1767</v>
      </c>
      <c r="G375" s="5">
        <v>30</v>
      </c>
      <c r="H375" s="23">
        <v>1</v>
      </c>
      <c r="I375" s="23">
        <v>0</v>
      </c>
      <c r="J375" s="23">
        <v>0</v>
      </c>
      <c r="K375" s="23" t="s">
        <v>24</v>
      </c>
      <c r="L375" s="23" t="s">
        <v>597</v>
      </c>
      <c r="M375" s="23" t="s">
        <v>1868</v>
      </c>
      <c r="N375" s="24">
        <v>45822</v>
      </c>
      <c r="O375" s="28">
        <v>2.0833333333333332E-2</v>
      </c>
      <c r="P375" s="3">
        <v>45803</v>
      </c>
      <c r="Q375" s="62">
        <v>45804.792916666673</v>
      </c>
      <c r="R375" s="72">
        <v>45804.813750000008</v>
      </c>
      <c r="S375" s="25">
        <v>0.81319444444444444</v>
      </c>
      <c r="T375" s="63">
        <v>-1.000555555561732</v>
      </c>
      <c r="U375" s="47">
        <f>IFERROR(INDEX(NOVO!O:O,MATCH(PRINT!E161,NOVO!C:C,0)),"")</f>
        <v>227779</v>
      </c>
    </row>
    <row r="376" spans="1:21" x14ac:dyDescent="0.35">
      <c r="A376" s="54">
        <v>0</v>
      </c>
      <c r="B376" s="23"/>
      <c r="C376" s="23">
        <v>1018650</v>
      </c>
      <c r="D376" s="23">
        <v>1</v>
      </c>
      <c r="E376" s="23">
        <v>1018634</v>
      </c>
      <c r="F376" s="23" t="s">
        <v>1052</v>
      </c>
      <c r="G376" s="5">
        <v>31</v>
      </c>
      <c r="H376" s="23">
        <v>1</v>
      </c>
      <c r="I376" s="23">
        <v>0</v>
      </c>
      <c r="J376" s="23">
        <v>0</v>
      </c>
      <c r="K376" s="23" t="s">
        <v>24</v>
      </c>
      <c r="L376" s="23" t="s">
        <v>597</v>
      </c>
      <c r="M376" s="23" t="s">
        <v>1867</v>
      </c>
      <c r="N376" s="24">
        <v>45821</v>
      </c>
      <c r="O376" s="28">
        <v>2.2083333333333333E-2</v>
      </c>
      <c r="P376" s="3">
        <v>45803</v>
      </c>
      <c r="Q376" s="62">
        <v>45804.770833333336</v>
      </c>
      <c r="R376" s="72">
        <v>45804.792916666673</v>
      </c>
      <c r="S376" s="25">
        <v>0.79236111111111107</v>
      </c>
      <c r="T376" s="63">
        <v>-1.000555555561732</v>
      </c>
      <c r="U376" s="47" t="str">
        <f>IFERROR(INDEX(NOVO!O:O,MATCH(PRINT!E160,NOVO!C:C,0)),"")</f>
        <v/>
      </c>
    </row>
    <row r="377" spans="1:21" x14ac:dyDescent="0.35">
      <c r="A377" s="54"/>
      <c r="B377" s="23"/>
      <c r="C377" s="23"/>
      <c r="D377" s="23"/>
      <c r="E377" s="23"/>
      <c r="F377" s="23"/>
      <c r="G377" s="5"/>
      <c r="H377" s="23"/>
      <c r="I377" s="23"/>
      <c r="J377" s="23"/>
      <c r="K377" s="23"/>
      <c r="L377" s="23"/>
      <c r="M377" s="23"/>
      <c r="N377" s="24" t="s">
        <v>198</v>
      </c>
      <c r="O377" s="28">
        <v>2.0833333333333332E-2</v>
      </c>
      <c r="P377" s="3">
        <v>45803</v>
      </c>
      <c r="Q377" s="62">
        <v>45804.75</v>
      </c>
      <c r="R377" s="72">
        <v>45804.770833333336</v>
      </c>
      <c r="S377" s="25">
        <v>0.77083333333333337</v>
      </c>
      <c r="T377" s="63">
        <v>-1</v>
      </c>
      <c r="U377" s="47">
        <f>IFERROR(INDEX(NOVO!O:O,MATCH(PRINT!E159,NOVO!C:C,0)),"")</f>
        <v>227779</v>
      </c>
    </row>
    <row r="378" spans="1:21" x14ac:dyDescent="0.35">
      <c r="A378" s="54">
        <v>0</v>
      </c>
      <c r="B378" s="23"/>
      <c r="C378" s="23">
        <v>1018650</v>
      </c>
      <c r="D378" s="23">
        <v>1</v>
      </c>
      <c r="E378" s="23">
        <v>1018634</v>
      </c>
      <c r="F378" s="23" t="s">
        <v>1052</v>
      </c>
      <c r="G378" s="5">
        <v>18</v>
      </c>
      <c r="H378" s="23">
        <v>1</v>
      </c>
      <c r="I378" s="23">
        <v>0</v>
      </c>
      <c r="J378" s="23">
        <v>0</v>
      </c>
      <c r="K378" s="23" t="s">
        <v>24</v>
      </c>
      <c r="L378" s="23" t="s">
        <v>597</v>
      </c>
      <c r="M378" s="23" t="s">
        <v>1867</v>
      </c>
      <c r="N378" s="24">
        <v>45821</v>
      </c>
      <c r="O378" s="28">
        <v>1.2638888896617573E-2</v>
      </c>
      <c r="P378" s="3">
        <v>45803</v>
      </c>
      <c r="Q378" s="62">
        <v>45804.737361111103</v>
      </c>
      <c r="R378" s="72">
        <v>45804.75</v>
      </c>
      <c r="S378" s="25">
        <v>0.75</v>
      </c>
      <c r="T378" s="63">
        <v>-1</v>
      </c>
      <c r="U378" s="47">
        <f>IFERROR(INDEX(NOVO!O:O,MATCH(PRINT!E158,NOVO!C:C,0)),"")</f>
        <v>227775</v>
      </c>
    </row>
    <row r="379" spans="1:21" x14ac:dyDescent="0.35">
      <c r="A379" s="54">
        <v>0</v>
      </c>
      <c r="B379" s="23"/>
      <c r="C379" s="23">
        <v>1018313</v>
      </c>
      <c r="D379" s="23">
        <v>1</v>
      </c>
      <c r="E379" s="23">
        <v>1018388</v>
      </c>
      <c r="F379" s="23" t="s">
        <v>979</v>
      </c>
      <c r="G379" s="5">
        <v>10</v>
      </c>
      <c r="H379" s="23">
        <v>1</v>
      </c>
      <c r="I379" s="23">
        <v>0</v>
      </c>
      <c r="J379" s="23">
        <v>0</v>
      </c>
      <c r="K379" s="23" t="s">
        <v>24</v>
      </c>
      <c r="L379" s="23" t="s">
        <v>597</v>
      </c>
      <c r="M379" s="23" t="s">
        <v>1866</v>
      </c>
      <c r="N379" s="24">
        <v>45820</v>
      </c>
      <c r="O379" s="28">
        <v>6.9444444444444441E-3</v>
      </c>
      <c r="P379" s="3">
        <v>45803</v>
      </c>
      <c r="Q379" s="62">
        <v>45804.730416666658</v>
      </c>
      <c r="R379" s="72">
        <v>45804.737361111103</v>
      </c>
      <c r="S379" s="25">
        <v>0.7368055555555556</v>
      </c>
      <c r="T379" s="63">
        <v>-1.0005555555471801</v>
      </c>
      <c r="U379" s="47">
        <f>IFERROR(INDEX(NOVO!O:O,MATCH(PRINT!E157,NOVO!C:C,0)),"")</f>
        <v>227792</v>
      </c>
    </row>
    <row r="380" spans="1:21" x14ac:dyDescent="0.35">
      <c r="A380" s="54">
        <v>0</v>
      </c>
      <c r="B380" s="23"/>
      <c r="C380" s="23">
        <v>1018313</v>
      </c>
      <c r="D380" s="23">
        <v>1</v>
      </c>
      <c r="E380" s="23">
        <v>1018370</v>
      </c>
      <c r="F380" s="23" t="s">
        <v>1865</v>
      </c>
      <c r="G380" s="5">
        <v>15</v>
      </c>
      <c r="H380" s="23">
        <v>1</v>
      </c>
      <c r="I380" s="23">
        <v>0</v>
      </c>
      <c r="J380" s="23">
        <v>0</v>
      </c>
      <c r="K380" s="23" t="s">
        <v>24</v>
      </c>
      <c r="L380" s="23" t="s">
        <v>597</v>
      </c>
      <c r="M380" s="23" t="s">
        <v>1866</v>
      </c>
      <c r="N380" s="24">
        <v>45820</v>
      </c>
      <c r="O380" s="28">
        <v>1.0416666666666666E-2</v>
      </c>
      <c r="P380" s="3">
        <v>45803</v>
      </c>
      <c r="Q380" s="62">
        <v>45804.719999999994</v>
      </c>
      <c r="R380" s="72">
        <v>45804.730416666658</v>
      </c>
      <c r="S380" s="25">
        <v>0.72986111111111107</v>
      </c>
      <c r="T380" s="63">
        <v>-1.0005555555471801</v>
      </c>
      <c r="U380" s="47">
        <f>IFERROR(INDEX(NOVO!O:O,MATCH(PRINT!E156,NOVO!C:C,0)),"")</f>
        <v>227775</v>
      </c>
    </row>
    <row r="381" spans="1:21" x14ac:dyDescent="0.35">
      <c r="A381" s="54">
        <v>0</v>
      </c>
      <c r="B381" s="23"/>
      <c r="C381" s="23">
        <v>1016622</v>
      </c>
      <c r="D381" s="23">
        <v>1</v>
      </c>
      <c r="E381" s="23">
        <v>1016624</v>
      </c>
      <c r="F381" s="23" t="s">
        <v>1862</v>
      </c>
      <c r="G381" s="5">
        <v>45</v>
      </c>
      <c r="H381" s="23">
        <v>3</v>
      </c>
      <c r="I381" s="23">
        <v>0</v>
      </c>
      <c r="J381" s="23">
        <v>0</v>
      </c>
      <c r="K381" s="23" t="s">
        <v>24</v>
      </c>
      <c r="L381" s="23" t="s">
        <v>597</v>
      </c>
      <c r="M381" s="23" t="s">
        <v>1864</v>
      </c>
      <c r="N381" s="24">
        <v>45815</v>
      </c>
      <c r="O381" s="28">
        <v>3.125E-2</v>
      </c>
      <c r="P381" s="3">
        <v>45803</v>
      </c>
      <c r="Q381" s="62">
        <v>45804.688749999994</v>
      </c>
      <c r="R381" s="72">
        <v>45804.719999999994</v>
      </c>
      <c r="S381" s="25">
        <v>0.71944444444444444</v>
      </c>
      <c r="T381" s="63">
        <v>-1.0005555555471801</v>
      </c>
      <c r="U381" s="47">
        <f>IFERROR(INDEX(NOVO!O:O,MATCH(PRINT!E155,NOVO!C:C,0)),"")</f>
        <v>227779</v>
      </c>
    </row>
    <row r="382" spans="1:21" x14ac:dyDescent="0.35">
      <c r="A382" s="54">
        <v>0</v>
      </c>
      <c r="B382" s="23"/>
      <c r="C382" s="23">
        <v>1016621</v>
      </c>
      <c r="D382" s="23">
        <v>1</v>
      </c>
      <c r="E382" s="23">
        <v>1016624</v>
      </c>
      <c r="F382" s="23" t="s">
        <v>1862</v>
      </c>
      <c r="G382" s="5">
        <v>45</v>
      </c>
      <c r="H382" s="23">
        <v>3</v>
      </c>
      <c r="I382" s="23">
        <v>0</v>
      </c>
      <c r="J382" s="23">
        <v>0</v>
      </c>
      <c r="K382" s="23" t="s">
        <v>24</v>
      </c>
      <c r="L382" s="23" t="s">
        <v>597</v>
      </c>
      <c r="M382" s="23" t="s">
        <v>1864</v>
      </c>
      <c r="N382" s="24">
        <v>45815</v>
      </c>
      <c r="O382" s="28">
        <v>3.125E-2</v>
      </c>
      <c r="P382" s="3">
        <v>45803</v>
      </c>
      <c r="Q382" s="62">
        <v>45804.657499999994</v>
      </c>
      <c r="R382" s="72">
        <v>45804.688749999994</v>
      </c>
      <c r="S382" s="25">
        <v>0.68819444444444444</v>
      </c>
      <c r="T382" s="63">
        <v>-1.0005555555471801</v>
      </c>
      <c r="U382" s="47">
        <f>IFERROR(INDEX(NOVO!O:O,MATCH(PRINT!E154,NOVO!C:C,0)),"")</f>
        <v>227792</v>
      </c>
    </row>
    <row r="383" spans="1:21" x14ac:dyDescent="0.35">
      <c r="A383" s="54">
        <v>0</v>
      </c>
      <c r="B383" s="23"/>
      <c r="C383" s="23">
        <v>1016620</v>
      </c>
      <c r="D383" s="23">
        <v>1</v>
      </c>
      <c r="E383" s="23">
        <v>1016624</v>
      </c>
      <c r="F383" s="23" t="s">
        <v>1862</v>
      </c>
      <c r="G383" s="5">
        <v>45</v>
      </c>
      <c r="H383" s="23">
        <v>3</v>
      </c>
      <c r="I383" s="23">
        <v>0</v>
      </c>
      <c r="J383" s="23">
        <v>0</v>
      </c>
      <c r="K383" s="23" t="s">
        <v>24</v>
      </c>
      <c r="L383" s="23" t="s">
        <v>597</v>
      </c>
      <c r="M383" s="23" t="s">
        <v>1864</v>
      </c>
      <c r="N383" s="24">
        <v>45815</v>
      </c>
      <c r="O383" s="28">
        <v>3.125E-2</v>
      </c>
      <c r="P383" s="3">
        <v>45803</v>
      </c>
      <c r="Q383" s="62">
        <v>45804.626249999994</v>
      </c>
      <c r="R383" s="72">
        <v>45804.657499999994</v>
      </c>
      <c r="S383" s="25">
        <v>0.65694444444444444</v>
      </c>
      <c r="T383" s="63">
        <v>-1.0005555555471801</v>
      </c>
      <c r="U383" s="47">
        <f>IFERROR(INDEX(NOVO!O:O,MATCH(PRINT!E153,NOVO!C:C,0)),"")</f>
        <v>227792</v>
      </c>
    </row>
    <row r="384" spans="1:21" x14ac:dyDescent="0.35">
      <c r="A384" s="54">
        <v>0</v>
      </c>
      <c r="B384" s="23"/>
      <c r="C384" s="23">
        <v>1016441</v>
      </c>
      <c r="D384" s="23">
        <v>1</v>
      </c>
      <c r="E384" s="23">
        <v>1016443</v>
      </c>
      <c r="F384" s="23" t="s">
        <v>1862</v>
      </c>
      <c r="G384" s="5">
        <v>45</v>
      </c>
      <c r="H384" s="23">
        <v>1</v>
      </c>
      <c r="I384" s="23">
        <v>0</v>
      </c>
      <c r="J384" s="23">
        <v>0</v>
      </c>
      <c r="K384" s="23" t="s">
        <v>24</v>
      </c>
      <c r="L384" s="23" t="s">
        <v>597</v>
      </c>
      <c r="M384" s="23" t="s">
        <v>1863</v>
      </c>
      <c r="N384" s="24">
        <v>45815</v>
      </c>
      <c r="O384" s="28">
        <v>3.125E-2</v>
      </c>
      <c r="P384" s="3">
        <v>45803</v>
      </c>
      <c r="Q384" s="62">
        <v>45804.594999999994</v>
      </c>
      <c r="R384" s="72">
        <v>45804.626249999994</v>
      </c>
      <c r="S384" s="25">
        <v>0.62569444444444444</v>
      </c>
      <c r="T384" s="63">
        <v>-1.0005555555471801</v>
      </c>
      <c r="U384" s="47">
        <f>IFERROR(INDEX(NOVO!O:O,MATCH(PRINT!E152,NOVO!C:C,0)),"")</f>
        <v>227779</v>
      </c>
    </row>
    <row r="385" spans="1:21" x14ac:dyDescent="0.35">
      <c r="A385" s="54">
        <v>0</v>
      </c>
      <c r="B385" s="23"/>
      <c r="C385" s="23">
        <v>1015986</v>
      </c>
      <c r="D385" s="23">
        <v>1</v>
      </c>
      <c r="E385" s="23">
        <v>1016011</v>
      </c>
      <c r="F385" s="23" t="s">
        <v>1861</v>
      </c>
      <c r="G385" s="5">
        <v>60</v>
      </c>
      <c r="H385" s="23">
        <v>1</v>
      </c>
      <c r="I385" s="23">
        <v>0</v>
      </c>
      <c r="J385" s="23">
        <v>0</v>
      </c>
      <c r="K385" s="23" t="s">
        <v>24</v>
      </c>
      <c r="L385" s="23" t="s">
        <v>597</v>
      </c>
      <c r="M385" s="23" t="s">
        <v>1859</v>
      </c>
      <c r="N385" s="24">
        <v>45825</v>
      </c>
      <c r="O385" s="28">
        <v>4.1666666666666664E-2</v>
      </c>
      <c r="P385" s="3">
        <v>45803</v>
      </c>
      <c r="Q385" s="62">
        <v>45804.55333333333</v>
      </c>
      <c r="R385" s="72">
        <v>45804.594999999994</v>
      </c>
      <c r="S385" s="25">
        <v>0.59444444444444444</v>
      </c>
      <c r="T385" s="63">
        <v>-1.0005555555471801</v>
      </c>
      <c r="U385" s="47">
        <f>IFERROR(INDEX(NOVO!O:O,MATCH(PRINT!E151,NOVO!C:C,0)),"")</f>
        <v>227775</v>
      </c>
    </row>
    <row r="386" spans="1:21" x14ac:dyDescent="0.35">
      <c r="A386" s="54">
        <v>0</v>
      </c>
      <c r="B386" s="23"/>
      <c r="C386" s="23">
        <v>1015986</v>
      </c>
      <c r="D386" s="23">
        <v>1</v>
      </c>
      <c r="E386" s="23">
        <v>1016031</v>
      </c>
      <c r="F386" s="23" t="s">
        <v>1860</v>
      </c>
      <c r="G386" s="5">
        <v>60</v>
      </c>
      <c r="H386" s="23">
        <v>1</v>
      </c>
      <c r="I386" s="23">
        <v>0</v>
      </c>
      <c r="J386" s="23">
        <v>0</v>
      </c>
      <c r="K386" s="23" t="s">
        <v>24</v>
      </c>
      <c r="L386" s="23" t="s">
        <v>597</v>
      </c>
      <c r="M386" s="23" t="s">
        <v>1859</v>
      </c>
      <c r="N386" s="24">
        <v>45825</v>
      </c>
      <c r="O386" s="28">
        <v>4.1666666666666664E-2</v>
      </c>
      <c r="P386" s="3">
        <v>45803</v>
      </c>
      <c r="Q386" s="62">
        <v>45804.511666666665</v>
      </c>
      <c r="R386" s="72">
        <v>45804.55333333333</v>
      </c>
      <c r="S386" s="25">
        <v>0.55277777777777781</v>
      </c>
      <c r="T386" s="63">
        <v>-1.0005555555544561</v>
      </c>
      <c r="U386" s="47">
        <f>IFERROR(INDEX(NOVO!O:O,MATCH(PRINT!E150,NOVO!C:C,0)),"")</f>
        <v>178144</v>
      </c>
    </row>
    <row r="387" spans="1:21" x14ac:dyDescent="0.35">
      <c r="A387" s="54">
        <v>0</v>
      </c>
      <c r="B387" s="23"/>
      <c r="C387" s="23">
        <v>1015986</v>
      </c>
      <c r="D387" s="23">
        <v>1</v>
      </c>
      <c r="E387" s="23">
        <v>1016057</v>
      </c>
      <c r="F387" s="23" t="s">
        <v>1832</v>
      </c>
      <c r="G387" s="5">
        <v>7</v>
      </c>
      <c r="H387" s="23">
        <v>1</v>
      </c>
      <c r="I387" s="23">
        <v>0</v>
      </c>
      <c r="J387" s="23">
        <v>0</v>
      </c>
      <c r="K387" s="23" t="s">
        <v>24</v>
      </c>
      <c r="L387" s="23" t="s">
        <v>597</v>
      </c>
      <c r="M387" s="23" t="s">
        <v>1859</v>
      </c>
      <c r="N387" s="24">
        <v>45825</v>
      </c>
      <c r="O387" s="28">
        <v>4.8611111111111112E-3</v>
      </c>
      <c r="P387" s="3">
        <v>45803</v>
      </c>
      <c r="Q387" s="62">
        <v>45804.506805555553</v>
      </c>
      <c r="R387" s="72">
        <v>45804.511666666665</v>
      </c>
      <c r="S387" s="25">
        <v>0.51111111111111107</v>
      </c>
      <c r="T387" s="63">
        <v>-1.0005555555544561</v>
      </c>
      <c r="U387" s="47">
        <f>IFERROR(INDEX(NOVO!O:O,MATCH(PRINT!E149,NOVO!C:C,0)),"")</f>
        <v>178161</v>
      </c>
    </row>
    <row r="388" spans="1:21" x14ac:dyDescent="0.35">
      <c r="A388" s="54">
        <v>0</v>
      </c>
      <c r="B388" s="23"/>
      <c r="C388" s="23">
        <v>1013612</v>
      </c>
      <c r="D388" s="23">
        <v>1</v>
      </c>
      <c r="E388" s="23">
        <v>1013708</v>
      </c>
      <c r="F388" s="23" t="s">
        <v>453</v>
      </c>
      <c r="G388" s="5">
        <v>30</v>
      </c>
      <c r="H388" s="23">
        <v>1</v>
      </c>
      <c r="I388" s="23">
        <v>0</v>
      </c>
      <c r="J388" s="23">
        <v>0</v>
      </c>
      <c r="K388" s="23" t="s">
        <v>24</v>
      </c>
      <c r="L388" s="23" t="s">
        <v>597</v>
      </c>
      <c r="M388" s="23" t="s">
        <v>1858</v>
      </c>
      <c r="N388" s="24">
        <v>45820</v>
      </c>
      <c r="O388" s="28">
        <v>2.0833333333333332E-2</v>
      </c>
      <c r="P388" s="3">
        <v>45803</v>
      </c>
      <c r="Q388" s="62">
        <v>45804.485972222217</v>
      </c>
      <c r="R388" s="72">
        <v>45804.506805555553</v>
      </c>
      <c r="S388" s="25">
        <v>0.50624999999999998</v>
      </c>
      <c r="T388" s="63">
        <v>-1.0005555555544561</v>
      </c>
      <c r="U388" s="47">
        <f>IFERROR(INDEX(NOVO!O:O,MATCH(PRINT!E148,NOVO!C:C,0)),"")</f>
        <v>178161</v>
      </c>
    </row>
    <row r="389" spans="1:21" x14ac:dyDescent="0.35">
      <c r="A389" s="54">
        <v>0</v>
      </c>
      <c r="B389" s="23"/>
      <c r="C389" s="23">
        <v>1013612</v>
      </c>
      <c r="D389" s="23">
        <v>1</v>
      </c>
      <c r="E389" s="23">
        <v>1013633</v>
      </c>
      <c r="F389" s="23" t="s">
        <v>451</v>
      </c>
      <c r="G389" s="5">
        <v>15</v>
      </c>
      <c r="H389" s="23">
        <v>1</v>
      </c>
      <c r="I389" s="23">
        <v>0</v>
      </c>
      <c r="J389" s="23">
        <v>0</v>
      </c>
      <c r="K389" s="23" t="s">
        <v>24</v>
      </c>
      <c r="L389" s="23" t="s">
        <v>597</v>
      </c>
      <c r="M389" s="23" t="s">
        <v>1858</v>
      </c>
      <c r="N389" s="24">
        <v>45820</v>
      </c>
      <c r="O389" s="28">
        <v>1.0416666666666666E-2</v>
      </c>
      <c r="P389" s="3">
        <v>45803</v>
      </c>
      <c r="Q389" s="62">
        <v>45804.475555555553</v>
      </c>
      <c r="R389" s="72">
        <v>45804.485972222217</v>
      </c>
      <c r="S389" s="25">
        <v>0.48541666666666666</v>
      </c>
      <c r="T389" s="63">
        <v>-1.0005555555471801</v>
      </c>
      <c r="U389" s="47">
        <f>IFERROR(INDEX(NOVO!O:O,MATCH(PRINT!E147,NOVO!C:C,0)),"")</f>
        <v>178144</v>
      </c>
    </row>
    <row r="390" spans="1:21" x14ac:dyDescent="0.35">
      <c r="A390" s="54">
        <v>0</v>
      </c>
      <c r="B390" s="23"/>
      <c r="C390" s="23">
        <v>1013477</v>
      </c>
      <c r="D390" s="23">
        <v>1</v>
      </c>
      <c r="E390" s="23">
        <v>1013498</v>
      </c>
      <c r="F390" s="23" t="s">
        <v>451</v>
      </c>
      <c r="G390" s="5">
        <v>15</v>
      </c>
      <c r="H390" s="23">
        <v>1</v>
      </c>
      <c r="I390" s="23">
        <v>0</v>
      </c>
      <c r="J390" s="23">
        <v>0</v>
      </c>
      <c r="K390" s="23" t="s">
        <v>24</v>
      </c>
      <c r="L390" s="23" t="s">
        <v>597</v>
      </c>
      <c r="M390" s="23" t="s">
        <v>1857</v>
      </c>
      <c r="N390" s="24">
        <v>45820</v>
      </c>
      <c r="O390" s="28">
        <v>1.0416666666666666E-2</v>
      </c>
      <c r="P390" s="3">
        <v>45803</v>
      </c>
      <c r="Q390" s="62">
        <v>45804.465138888889</v>
      </c>
      <c r="R390" s="72">
        <v>45804.475555555553</v>
      </c>
      <c r="S390" s="25">
        <v>0.47499999999999998</v>
      </c>
      <c r="T390" s="63">
        <v>-1.0005555555544561</v>
      </c>
      <c r="U390" s="47">
        <f>IFERROR(INDEX(NOVO!O:O,MATCH(PRINT!E146,NOVO!C:C,0)),"")</f>
        <v>175904</v>
      </c>
    </row>
    <row r="391" spans="1:21" x14ac:dyDescent="0.35">
      <c r="A391" s="54">
        <v>0</v>
      </c>
      <c r="B391" s="23"/>
      <c r="C391" s="23">
        <v>1013477</v>
      </c>
      <c r="D391" s="23">
        <v>1</v>
      </c>
      <c r="E391" s="23">
        <v>1013573</v>
      </c>
      <c r="F391" s="23" t="s">
        <v>453</v>
      </c>
      <c r="G391" s="5">
        <v>30</v>
      </c>
      <c r="H391" s="23">
        <v>1</v>
      </c>
      <c r="I391" s="23">
        <v>0</v>
      </c>
      <c r="J391" s="23">
        <v>0</v>
      </c>
      <c r="K391" s="23" t="s">
        <v>24</v>
      </c>
      <c r="L391" s="23" t="s">
        <v>597</v>
      </c>
      <c r="M391" s="23" t="s">
        <v>1857</v>
      </c>
      <c r="N391" s="24">
        <v>45820</v>
      </c>
      <c r="O391" s="28">
        <v>2.0833333333333332E-2</v>
      </c>
      <c r="P391" s="3">
        <v>45803</v>
      </c>
      <c r="Q391" s="62">
        <v>45804.444305555553</v>
      </c>
      <c r="R391" s="72">
        <v>45804.465138888889</v>
      </c>
      <c r="S391" s="25">
        <v>0.46458333333333335</v>
      </c>
      <c r="T391" s="63">
        <v>-1.0005555555544561</v>
      </c>
      <c r="U391" s="47">
        <f>IFERROR(INDEX(NOVO!O:O,MATCH(PRINT!E145,NOVO!C:C,0)),"")</f>
        <v>175898</v>
      </c>
    </row>
    <row r="392" spans="1:21" x14ac:dyDescent="0.35">
      <c r="A392" s="54">
        <v>0</v>
      </c>
      <c r="B392" s="23"/>
      <c r="C392" s="23">
        <v>1019959</v>
      </c>
      <c r="D392" s="23">
        <v>1</v>
      </c>
      <c r="E392" s="23">
        <v>1019979</v>
      </c>
      <c r="F392" s="23" t="s">
        <v>1855</v>
      </c>
      <c r="G392" s="5">
        <v>9</v>
      </c>
      <c r="H392" s="23">
        <v>8</v>
      </c>
      <c r="I392" s="23">
        <v>0</v>
      </c>
      <c r="J392" s="23">
        <v>0</v>
      </c>
      <c r="K392" s="23" t="s">
        <v>24</v>
      </c>
      <c r="L392" s="23" t="s">
        <v>597</v>
      </c>
      <c r="M392" s="23" t="s">
        <v>1856</v>
      </c>
      <c r="N392" s="24">
        <v>45822</v>
      </c>
      <c r="O392" s="28">
        <v>6.8055555555555551E-3</v>
      </c>
      <c r="P392" s="3">
        <v>45799</v>
      </c>
      <c r="Q392" s="62">
        <v>45804.4375</v>
      </c>
      <c r="R392" s="72">
        <v>45804.444305555553</v>
      </c>
      <c r="S392" s="25">
        <v>0.44374999999999998</v>
      </c>
      <c r="T392" s="63">
        <v>-5.0005555555544561</v>
      </c>
      <c r="U392" s="47">
        <f>IFERROR(INDEX(NOVO!O:O,MATCH(PRINT!E144,NOVO!C:C,0)),"")</f>
        <v>175819</v>
      </c>
    </row>
    <row r="393" spans="1:21" x14ac:dyDescent="0.35">
      <c r="A393" s="54"/>
      <c r="B393" s="23"/>
      <c r="C393" s="23"/>
      <c r="D393" s="23"/>
      <c r="E393" s="23"/>
      <c r="F393" s="23"/>
      <c r="G393" s="5"/>
      <c r="H393" s="23"/>
      <c r="I393" s="23"/>
      <c r="J393" s="23"/>
      <c r="K393" s="23"/>
      <c r="L393" s="23"/>
      <c r="M393" s="23"/>
      <c r="N393" s="24" t="s">
        <v>198</v>
      </c>
      <c r="O393" s="28">
        <v>2.0833333333333332E-2</v>
      </c>
      <c r="P393" s="3">
        <v>45799</v>
      </c>
      <c r="Q393" s="62">
        <v>45804.416666666664</v>
      </c>
      <c r="R393" s="72">
        <v>45804.4375</v>
      </c>
      <c r="S393" s="25">
        <v>0.4375</v>
      </c>
      <c r="T393" s="63">
        <v>-5</v>
      </c>
      <c r="U393" s="47">
        <f>IFERROR(INDEX(NOVO!O:O,MATCH(PRINT!E143,NOVO!C:C,0)),"")</f>
        <v>175901</v>
      </c>
    </row>
    <row r="394" spans="1:21" x14ac:dyDescent="0.35">
      <c r="A394" s="54">
        <v>0</v>
      </c>
      <c r="B394" s="23"/>
      <c r="C394" s="23">
        <v>1019959</v>
      </c>
      <c r="D394" s="23">
        <v>1</v>
      </c>
      <c r="E394" s="23">
        <v>1019979</v>
      </c>
      <c r="F394" s="23" t="s">
        <v>1855</v>
      </c>
      <c r="G394" s="5">
        <v>10</v>
      </c>
      <c r="H394" s="23">
        <v>8</v>
      </c>
      <c r="I394" s="23">
        <v>0</v>
      </c>
      <c r="J394" s="23">
        <v>0</v>
      </c>
      <c r="K394" s="23" t="s">
        <v>24</v>
      </c>
      <c r="L394" s="23" t="s">
        <v>597</v>
      </c>
      <c r="M394" s="23" t="s">
        <v>1856</v>
      </c>
      <c r="N394" s="24">
        <v>45822</v>
      </c>
      <c r="O394" s="28">
        <v>7.0833333302289248E-3</v>
      </c>
      <c r="P394" s="3">
        <v>45799</v>
      </c>
      <c r="Q394" s="62">
        <v>45804.409583333334</v>
      </c>
      <c r="R394" s="72">
        <v>45804.416666666664</v>
      </c>
      <c r="S394" s="25">
        <v>0.41666666666666669</v>
      </c>
      <c r="T394" s="63">
        <v>-5</v>
      </c>
      <c r="U394" s="47">
        <f>IFERROR(INDEX(NOVO!O:O,MATCH(PRINT!E142,NOVO!C:C,0)),"")</f>
        <v>175819</v>
      </c>
    </row>
    <row r="395" spans="1:21" x14ac:dyDescent="0.35">
      <c r="A395" s="54">
        <v>0</v>
      </c>
      <c r="B395" s="23"/>
      <c r="C395" s="23">
        <v>1019959</v>
      </c>
      <c r="D395" s="23">
        <v>1</v>
      </c>
      <c r="E395" s="23">
        <v>1019974</v>
      </c>
      <c r="F395" s="23" t="s">
        <v>1770</v>
      </c>
      <c r="G395" s="5">
        <v>30</v>
      </c>
      <c r="H395" s="23">
        <v>4</v>
      </c>
      <c r="I395" s="23">
        <v>0</v>
      </c>
      <c r="J395" s="23">
        <v>0</v>
      </c>
      <c r="K395" s="23" t="s">
        <v>24</v>
      </c>
      <c r="L395" s="23" t="s">
        <v>597</v>
      </c>
      <c r="M395" s="23" t="s">
        <v>1856</v>
      </c>
      <c r="N395" s="24">
        <v>45822</v>
      </c>
      <c r="O395" s="28">
        <v>2.0833333333333332E-2</v>
      </c>
      <c r="P395" s="3">
        <v>45799</v>
      </c>
      <c r="Q395" s="62">
        <v>45804.388749999998</v>
      </c>
      <c r="R395" s="72">
        <v>45804.409583333334</v>
      </c>
      <c r="S395" s="25">
        <v>0.40902777777777777</v>
      </c>
      <c r="T395" s="63">
        <v>-5.0005555555544561</v>
      </c>
      <c r="U395" s="47">
        <f>IFERROR(INDEX(NOVO!O:O,MATCH(PRINT!E141,NOVO!C:C,0)),"")</f>
        <v>175898</v>
      </c>
    </row>
    <row r="396" spans="1:21" x14ac:dyDescent="0.35">
      <c r="A396" s="54">
        <v>0</v>
      </c>
      <c r="B396" s="23"/>
      <c r="C396" s="23">
        <v>1019959</v>
      </c>
      <c r="D396" s="23">
        <v>1</v>
      </c>
      <c r="E396" s="23">
        <v>1019973</v>
      </c>
      <c r="F396" s="23" t="s">
        <v>977</v>
      </c>
      <c r="G396" s="5">
        <v>25</v>
      </c>
      <c r="H396" s="23">
        <v>4</v>
      </c>
      <c r="I396" s="23">
        <v>0</v>
      </c>
      <c r="J396" s="23">
        <v>0</v>
      </c>
      <c r="K396" s="23" t="s">
        <v>24</v>
      </c>
      <c r="L396" s="23" t="s">
        <v>597</v>
      </c>
      <c r="M396" s="23" t="s">
        <v>1856</v>
      </c>
      <c r="N396" s="24">
        <v>45822</v>
      </c>
      <c r="O396" s="28">
        <v>1.7361111111111112E-2</v>
      </c>
      <c r="P396" s="3">
        <v>45799</v>
      </c>
      <c r="Q396" s="62">
        <v>45804.371388888889</v>
      </c>
      <c r="R396" s="72">
        <v>45804.388749999998</v>
      </c>
      <c r="S396" s="25">
        <v>0.38819444444444445</v>
      </c>
      <c r="T396" s="63">
        <v>-5.0005555555544561</v>
      </c>
      <c r="U396" s="47">
        <f>IFERROR(INDEX(NOVO!O:O,MATCH(PRINT!E140,NOVO!C:C,0)),"")</f>
        <v>175904</v>
      </c>
    </row>
    <row r="397" spans="1:21" x14ac:dyDescent="0.35">
      <c r="A397" s="54">
        <v>0</v>
      </c>
      <c r="B397" s="23"/>
      <c r="C397" s="23">
        <v>1019959</v>
      </c>
      <c r="D397" s="23">
        <v>1</v>
      </c>
      <c r="E397" s="23">
        <v>1019970</v>
      </c>
      <c r="F397" s="23" t="s">
        <v>1771</v>
      </c>
      <c r="G397" s="5">
        <v>15</v>
      </c>
      <c r="H397" s="23">
        <v>4</v>
      </c>
      <c r="I397" s="23">
        <v>0</v>
      </c>
      <c r="J397" s="23">
        <v>0</v>
      </c>
      <c r="K397" s="23" t="s">
        <v>24</v>
      </c>
      <c r="L397" s="23" t="s">
        <v>597</v>
      </c>
      <c r="M397" s="23" t="s">
        <v>1856</v>
      </c>
      <c r="N397" s="24">
        <v>45822</v>
      </c>
      <c r="O397" s="28">
        <v>1.0416666666666666E-2</v>
      </c>
      <c r="P397" s="3">
        <v>45799</v>
      </c>
      <c r="Q397" s="62">
        <v>45804.360972222225</v>
      </c>
      <c r="R397" s="72">
        <v>45804.371388888889</v>
      </c>
      <c r="S397" s="25">
        <v>0.37083333333333335</v>
      </c>
      <c r="T397" s="63">
        <v>-5.0005555555544561</v>
      </c>
      <c r="U397" s="47">
        <f>IFERROR(INDEX(NOVO!O:O,MATCH(PRINT!E139,NOVO!C:C,0)),"")</f>
        <v>160884</v>
      </c>
    </row>
    <row r="398" spans="1:21" x14ac:dyDescent="0.35">
      <c r="A398" s="54">
        <v>0</v>
      </c>
      <c r="B398" s="23"/>
      <c r="C398" s="23">
        <v>1019958</v>
      </c>
      <c r="D398" s="23">
        <v>1</v>
      </c>
      <c r="E398" s="23">
        <v>1019973</v>
      </c>
      <c r="F398" s="23" t="s">
        <v>977</v>
      </c>
      <c r="G398" s="5">
        <v>25</v>
      </c>
      <c r="H398" s="23">
        <v>4</v>
      </c>
      <c r="I398" s="23">
        <v>0</v>
      </c>
      <c r="J398" s="23">
        <v>0</v>
      </c>
      <c r="K398" s="23" t="s">
        <v>24</v>
      </c>
      <c r="L398" s="23" t="s">
        <v>597</v>
      </c>
      <c r="M398" s="23" t="s">
        <v>1856</v>
      </c>
      <c r="N398" s="24">
        <v>45822</v>
      </c>
      <c r="O398" s="28">
        <v>1.7361111111111112E-2</v>
      </c>
      <c r="P398" s="3">
        <v>45799</v>
      </c>
      <c r="Q398" s="62">
        <v>45804.343611111115</v>
      </c>
      <c r="R398" s="72">
        <v>45804.360972222225</v>
      </c>
      <c r="S398" s="25">
        <v>0.36041666666666666</v>
      </c>
      <c r="T398" s="63">
        <v>-5.0005555555544561</v>
      </c>
      <c r="U398" s="47">
        <f>IFERROR(INDEX(NOVO!O:O,MATCH(PRINT!E138,NOVO!C:C,0)),"")</f>
        <v>160883</v>
      </c>
    </row>
    <row r="399" spans="1:21" x14ac:dyDescent="0.35">
      <c r="A399" s="54">
        <v>0</v>
      </c>
      <c r="B399" s="23"/>
      <c r="C399" s="23">
        <v>1019958</v>
      </c>
      <c r="D399" s="23">
        <v>1</v>
      </c>
      <c r="E399" s="23">
        <v>1019970</v>
      </c>
      <c r="F399" s="23" t="s">
        <v>1771</v>
      </c>
      <c r="G399" s="5">
        <v>15</v>
      </c>
      <c r="H399" s="23">
        <v>4</v>
      </c>
      <c r="I399" s="23">
        <v>0</v>
      </c>
      <c r="J399" s="23">
        <v>0</v>
      </c>
      <c r="K399" s="23" t="s">
        <v>24</v>
      </c>
      <c r="L399" s="23" t="s">
        <v>597</v>
      </c>
      <c r="M399" s="23" t="s">
        <v>1856</v>
      </c>
      <c r="N399" s="24">
        <v>45822</v>
      </c>
      <c r="O399" s="28">
        <v>1.0416666666666666E-2</v>
      </c>
      <c r="P399" s="3">
        <v>45799</v>
      </c>
      <c r="Q399" s="62">
        <v>45804.333194444451</v>
      </c>
      <c r="R399" s="72">
        <v>45804.343611111115</v>
      </c>
      <c r="S399" s="25">
        <v>0.34305555555555556</v>
      </c>
      <c r="T399" s="63">
        <v>-5.000555555561732</v>
      </c>
      <c r="U399" s="47">
        <f>IFERROR(INDEX(NOVO!O:O,MATCH(PRINT!E137,NOVO!C:C,0)),"")</f>
        <v>160883</v>
      </c>
    </row>
    <row r="400" spans="1:21" x14ac:dyDescent="0.35">
      <c r="A400" s="54">
        <v>0</v>
      </c>
      <c r="B400" s="23"/>
      <c r="C400" s="23">
        <v>1019958</v>
      </c>
      <c r="D400" s="23">
        <v>1</v>
      </c>
      <c r="E400" s="23">
        <v>1019979</v>
      </c>
      <c r="F400" s="23" t="s">
        <v>1855</v>
      </c>
      <c r="G400" s="5">
        <v>20</v>
      </c>
      <c r="H400" s="23">
        <v>8</v>
      </c>
      <c r="I400" s="23">
        <v>0</v>
      </c>
      <c r="J400" s="23">
        <v>0</v>
      </c>
      <c r="K400" s="23" t="s">
        <v>24</v>
      </c>
      <c r="L400" s="23" t="s">
        <v>597</v>
      </c>
      <c r="M400" s="23" t="s">
        <v>1856</v>
      </c>
      <c r="N400" s="24">
        <v>45822</v>
      </c>
      <c r="O400" s="28">
        <v>1.3888888888888888E-2</v>
      </c>
      <c r="P400" s="3">
        <v>45799</v>
      </c>
      <c r="Q400" s="62">
        <v>45804.31930555556</v>
      </c>
      <c r="R400" s="72">
        <v>45804.333194444451</v>
      </c>
      <c r="S400" s="25">
        <v>0.33263888888888887</v>
      </c>
      <c r="T400" s="63">
        <v>-5.000555555561732</v>
      </c>
      <c r="U400" s="47">
        <f>IFERROR(INDEX(NOVO!O:O,MATCH(PRINT!E136,NOVO!C:C,0)),"")</f>
        <v>160884</v>
      </c>
    </row>
    <row r="401" spans="1:21" x14ac:dyDescent="0.35">
      <c r="A401" s="54">
        <v>0</v>
      </c>
      <c r="B401" s="23"/>
      <c r="C401" s="23">
        <v>1019958</v>
      </c>
      <c r="D401" s="23">
        <v>1</v>
      </c>
      <c r="E401" s="23">
        <v>1019974</v>
      </c>
      <c r="F401" s="23" t="s">
        <v>1770</v>
      </c>
      <c r="G401" s="5">
        <v>30</v>
      </c>
      <c r="H401" s="23">
        <v>4</v>
      </c>
      <c r="I401" s="23">
        <v>0</v>
      </c>
      <c r="J401" s="23">
        <v>0</v>
      </c>
      <c r="K401" s="23" t="s">
        <v>24</v>
      </c>
      <c r="L401" s="23" t="s">
        <v>597</v>
      </c>
      <c r="M401" s="23" t="s">
        <v>1856</v>
      </c>
      <c r="N401" s="24">
        <v>45822</v>
      </c>
      <c r="O401" s="28">
        <v>2.0833333333333332E-2</v>
      </c>
      <c r="P401" s="3">
        <v>45799</v>
      </c>
      <c r="Q401" s="62">
        <v>45804.298472222225</v>
      </c>
      <c r="R401" s="72">
        <v>45804.31930555556</v>
      </c>
      <c r="S401" s="25">
        <v>0.31874999999999998</v>
      </c>
      <c r="T401" s="63">
        <v>-5.000555555561732</v>
      </c>
      <c r="U401" s="47">
        <f>IFERROR(INDEX(NOVO!O:O,MATCH(PRINT!E135,NOVO!C:C,0)),"")</f>
        <v>160884</v>
      </c>
    </row>
    <row r="402" spans="1:21" x14ac:dyDescent="0.35">
      <c r="A402" s="54">
        <v>0</v>
      </c>
      <c r="B402" s="23"/>
      <c r="C402" s="23">
        <v>1019957</v>
      </c>
      <c r="D402" s="23">
        <v>1</v>
      </c>
      <c r="E402" s="23">
        <v>1019970</v>
      </c>
      <c r="F402" s="23" t="s">
        <v>1771</v>
      </c>
      <c r="G402" s="5">
        <v>15</v>
      </c>
      <c r="H402" s="23">
        <v>4</v>
      </c>
      <c r="I402" s="23">
        <v>0</v>
      </c>
      <c r="J402" s="23">
        <v>0</v>
      </c>
      <c r="K402" s="23" t="s">
        <v>24</v>
      </c>
      <c r="L402" s="23" t="s">
        <v>597</v>
      </c>
      <c r="M402" s="23" t="s">
        <v>1856</v>
      </c>
      <c r="N402" s="24">
        <v>45822</v>
      </c>
      <c r="O402" s="28">
        <v>1.0416666666666666E-2</v>
      </c>
      <c r="P402" s="3">
        <v>45799</v>
      </c>
      <c r="Q402" s="62">
        <v>45804.28805555556</v>
      </c>
      <c r="R402" s="72">
        <v>45804.298472222225</v>
      </c>
      <c r="S402" s="25">
        <v>0.29791666666666666</v>
      </c>
      <c r="T402" s="63">
        <v>-5.0005555555544561</v>
      </c>
      <c r="U402" s="47">
        <f>IFERROR(INDEX(NOVO!O:O,MATCH(PRINT!E134,NOVO!C:C,0)),"")</f>
        <v>160883</v>
      </c>
    </row>
    <row r="403" spans="1:21" x14ac:dyDescent="0.35">
      <c r="A403" s="54">
        <v>0</v>
      </c>
      <c r="B403" s="23"/>
      <c r="C403" s="23">
        <v>1019957</v>
      </c>
      <c r="D403" s="23">
        <v>1</v>
      </c>
      <c r="E403" s="23">
        <v>1019973</v>
      </c>
      <c r="F403" s="23" t="s">
        <v>977</v>
      </c>
      <c r="G403" s="5">
        <v>25</v>
      </c>
      <c r="H403" s="23">
        <v>4</v>
      </c>
      <c r="I403" s="23">
        <v>0</v>
      </c>
      <c r="J403" s="23">
        <v>0</v>
      </c>
      <c r="K403" s="23" t="s">
        <v>24</v>
      </c>
      <c r="L403" s="23" t="s">
        <v>597</v>
      </c>
      <c r="M403" s="23" t="s">
        <v>1856</v>
      </c>
      <c r="N403" s="24">
        <v>45822</v>
      </c>
      <c r="O403" s="28">
        <v>1.7361111111111112E-2</v>
      </c>
      <c r="P403" s="3">
        <v>45799</v>
      </c>
      <c r="Q403" s="62">
        <v>45804.270694444451</v>
      </c>
      <c r="R403" s="72">
        <v>45804.28805555556</v>
      </c>
      <c r="S403" s="25">
        <v>0.28749999999999998</v>
      </c>
      <c r="T403" s="63">
        <v>-5.000555555561732</v>
      </c>
      <c r="U403" s="47">
        <f>IFERROR(INDEX(NOVO!O:O,MATCH(PRINT!E133,NOVO!C:C,0)),"")</f>
        <v>118355</v>
      </c>
    </row>
    <row r="404" spans="1:21" x14ac:dyDescent="0.35">
      <c r="A404" s="54">
        <v>0</v>
      </c>
      <c r="B404" s="23"/>
      <c r="C404" s="23">
        <v>1019957</v>
      </c>
      <c r="D404" s="23">
        <v>1</v>
      </c>
      <c r="E404" s="23">
        <v>1019974</v>
      </c>
      <c r="F404" s="23" t="s">
        <v>1770</v>
      </c>
      <c r="G404" s="5">
        <v>30</v>
      </c>
      <c r="H404" s="23">
        <v>4</v>
      </c>
      <c r="I404" s="23">
        <v>0</v>
      </c>
      <c r="J404" s="23">
        <v>0</v>
      </c>
      <c r="K404" s="23" t="s">
        <v>24</v>
      </c>
      <c r="L404" s="23" t="s">
        <v>597</v>
      </c>
      <c r="M404" s="23" t="s">
        <v>1856</v>
      </c>
      <c r="N404" s="24">
        <v>45822</v>
      </c>
      <c r="O404" s="28">
        <v>2.0833333333333332E-2</v>
      </c>
      <c r="P404" s="3">
        <v>45799</v>
      </c>
      <c r="Q404" s="62">
        <v>45804.249861111115</v>
      </c>
      <c r="R404" s="72">
        <v>45804.270694444451</v>
      </c>
      <c r="S404" s="25">
        <v>0.27013888888888887</v>
      </c>
      <c r="T404" s="63">
        <v>-5.000555555561732</v>
      </c>
      <c r="U404" s="47" t="str">
        <f>IFERROR(INDEX(NOVO!O:O,MATCH(PRINT!E132,NOVO!C:C,0)),"")</f>
        <v/>
      </c>
    </row>
    <row r="405" spans="1:21" x14ac:dyDescent="0.35">
      <c r="A405" s="54">
        <v>0</v>
      </c>
      <c r="B405" s="23"/>
      <c r="C405" s="23">
        <v>1019957</v>
      </c>
      <c r="D405" s="23">
        <v>1</v>
      </c>
      <c r="E405" s="23">
        <v>1019979</v>
      </c>
      <c r="F405" s="23" t="s">
        <v>1855</v>
      </c>
      <c r="G405" s="5">
        <v>20</v>
      </c>
      <c r="H405" s="23">
        <v>8</v>
      </c>
      <c r="I405" s="23">
        <v>0</v>
      </c>
      <c r="J405" s="23">
        <v>0</v>
      </c>
      <c r="K405" s="23" t="s">
        <v>24</v>
      </c>
      <c r="L405" s="23" t="s">
        <v>597</v>
      </c>
      <c r="M405" s="23" t="s">
        <v>1856</v>
      </c>
      <c r="N405" s="24">
        <v>45822</v>
      </c>
      <c r="O405" s="28">
        <v>1.3888888888888888E-2</v>
      </c>
      <c r="P405" s="3">
        <v>45799</v>
      </c>
      <c r="Q405" s="62">
        <v>45804.235972222225</v>
      </c>
      <c r="R405" s="72">
        <v>45804.249861111115</v>
      </c>
      <c r="S405" s="25">
        <v>0.24930555555555556</v>
      </c>
      <c r="T405" s="63">
        <v>-5.000555555561732</v>
      </c>
      <c r="U405" s="47">
        <f>IFERROR(INDEX(NOVO!O:O,MATCH(PRINT!E131,NOVO!C:C,0)),"")</f>
        <v>118355</v>
      </c>
    </row>
    <row r="406" spans="1:21" x14ac:dyDescent="0.35">
      <c r="A406" s="54">
        <v>0</v>
      </c>
      <c r="B406" s="23"/>
      <c r="C406" s="23">
        <v>1019956</v>
      </c>
      <c r="D406" s="23">
        <v>1</v>
      </c>
      <c r="E406" s="23">
        <v>1019970</v>
      </c>
      <c r="F406" s="23" t="s">
        <v>1771</v>
      </c>
      <c r="G406" s="5">
        <v>15</v>
      </c>
      <c r="H406" s="23">
        <v>4</v>
      </c>
      <c r="I406" s="23">
        <v>0</v>
      </c>
      <c r="J406" s="23">
        <v>0</v>
      </c>
      <c r="K406" s="23" t="s">
        <v>24</v>
      </c>
      <c r="L406" s="23" t="s">
        <v>597</v>
      </c>
      <c r="M406" s="23" t="s">
        <v>1856</v>
      </c>
      <c r="N406" s="24">
        <v>45822</v>
      </c>
      <c r="O406" s="28">
        <v>1.0416666666666666E-2</v>
      </c>
      <c r="P406" s="3">
        <v>45799</v>
      </c>
      <c r="Q406" s="62">
        <v>45804.22555555556</v>
      </c>
      <c r="R406" s="72">
        <v>45804.235972222225</v>
      </c>
      <c r="S406" s="25">
        <v>0.23541666666666666</v>
      </c>
      <c r="T406" s="63">
        <v>-5.0005555555544561</v>
      </c>
      <c r="U406" s="47">
        <f>IFERROR(INDEX(NOVO!O:O,MATCH(PRINT!E130,NOVO!C:C,0)),"")</f>
        <v>118356</v>
      </c>
    </row>
    <row r="407" spans="1:21" x14ac:dyDescent="0.35">
      <c r="A407" s="54">
        <v>0</v>
      </c>
      <c r="B407" s="23"/>
      <c r="C407" s="23">
        <v>1019956</v>
      </c>
      <c r="D407" s="23">
        <v>1</v>
      </c>
      <c r="E407" s="23">
        <v>1019973</v>
      </c>
      <c r="F407" s="23" t="s">
        <v>977</v>
      </c>
      <c r="G407" s="5">
        <v>25</v>
      </c>
      <c r="H407" s="23">
        <v>4</v>
      </c>
      <c r="I407" s="23">
        <v>0</v>
      </c>
      <c r="J407" s="23">
        <v>0</v>
      </c>
      <c r="K407" s="23" t="s">
        <v>24</v>
      </c>
      <c r="L407" s="23" t="s">
        <v>597</v>
      </c>
      <c r="M407" s="23" t="s">
        <v>1856</v>
      </c>
      <c r="N407" s="24">
        <v>45822</v>
      </c>
      <c r="O407" s="28">
        <v>1.7361111111111112E-2</v>
      </c>
      <c r="P407" s="3">
        <v>45799</v>
      </c>
      <c r="Q407" s="62">
        <v>45804.208194444451</v>
      </c>
      <c r="R407" s="72">
        <v>45804.22555555556</v>
      </c>
      <c r="S407" s="25">
        <v>0.22500000000000001</v>
      </c>
      <c r="T407" s="63">
        <v>-5.000555555561732</v>
      </c>
      <c r="U407" s="47">
        <f>IFERROR(INDEX(NOVO!O:O,MATCH(PRINT!E129,NOVO!C:C,0)),"")</f>
        <v>118641</v>
      </c>
    </row>
    <row r="408" spans="1:21" x14ac:dyDescent="0.35">
      <c r="A408" s="54">
        <v>0</v>
      </c>
      <c r="B408" s="23"/>
      <c r="C408" s="23">
        <v>1019956</v>
      </c>
      <c r="D408" s="23">
        <v>1</v>
      </c>
      <c r="E408" s="23">
        <v>1019974</v>
      </c>
      <c r="F408" s="23" t="s">
        <v>1770</v>
      </c>
      <c r="G408" s="5">
        <v>30</v>
      </c>
      <c r="H408" s="23">
        <v>4</v>
      </c>
      <c r="I408" s="23">
        <v>0</v>
      </c>
      <c r="J408" s="23">
        <v>0</v>
      </c>
      <c r="K408" s="23" t="s">
        <v>24</v>
      </c>
      <c r="L408" s="23" t="s">
        <v>597</v>
      </c>
      <c r="M408" s="23" t="s">
        <v>1856</v>
      </c>
      <c r="N408" s="24">
        <v>45822</v>
      </c>
      <c r="O408" s="28">
        <v>2.0833333333333332E-2</v>
      </c>
      <c r="P408" s="3">
        <v>45799</v>
      </c>
      <c r="Q408" s="62">
        <v>45804.187361111115</v>
      </c>
      <c r="R408" s="72">
        <v>45804.208194444451</v>
      </c>
      <c r="S408" s="25">
        <v>0.2076388888888889</v>
      </c>
      <c r="T408" s="63">
        <v>-5.000555555561732</v>
      </c>
      <c r="U408" s="47">
        <f>IFERROR(INDEX(NOVO!O:O,MATCH(PRINT!E128,NOVO!C:C,0)),"")</f>
        <v>135508</v>
      </c>
    </row>
    <row r="409" spans="1:21" x14ac:dyDescent="0.35">
      <c r="A409" s="54">
        <v>0</v>
      </c>
      <c r="B409" s="23"/>
      <c r="C409" s="23">
        <v>1019956</v>
      </c>
      <c r="D409" s="23">
        <v>1</v>
      </c>
      <c r="E409" s="23">
        <v>1019979</v>
      </c>
      <c r="F409" s="23" t="s">
        <v>1855</v>
      </c>
      <c r="G409" s="5">
        <v>20</v>
      </c>
      <c r="H409" s="23">
        <v>8</v>
      </c>
      <c r="I409" s="23">
        <v>0</v>
      </c>
      <c r="J409" s="23">
        <v>0</v>
      </c>
      <c r="K409" s="23" t="s">
        <v>24</v>
      </c>
      <c r="L409" s="23" t="s">
        <v>597</v>
      </c>
      <c r="M409" s="23" t="s">
        <v>1856</v>
      </c>
      <c r="N409" s="24">
        <v>45822</v>
      </c>
      <c r="O409" s="28">
        <v>1.3888888888888888E-2</v>
      </c>
      <c r="P409" s="3">
        <v>45799</v>
      </c>
      <c r="Q409" s="62">
        <v>45804.173472222225</v>
      </c>
      <c r="R409" s="72">
        <v>45804.187361111115</v>
      </c>
      <c r="S409" s="25">
        <v>0.18680555555555556</v>
      </c>
      <c r="T409" s="63">
        <v>-5.000555555561732</v>
      </c>
      <c r="U409" s="47">
        <f>IFERROR(INDEX(NOVO!O:O,MATCH(PRINT!E127,NOVO!C:C,0)),"")</f>
        <v>135515</v>
      </c>
    </row>
    <row r="410" spans="1:21" x14ac:dyDescent="0.35">
      <c r="A410" s="54">
        <v>0</v>
      </c>
      <c r="B410" s="23"/>
      <c r="C410" s="23">
        <v>1027030</v>
      </c>
      <c r="D410" s="23">
        <v>1</v>
      </c>
      <c r="E410" s="23">
        <v>1027041</v>
      </c>
      <c r="F410" s="23" t="s">
        <v>1776</v>
      </c>
      <c r="G410" s="5">
        <v>15</v>
      </c>
      <c r="H410" s="23">
        <v>3</v>
      </c>
      <c r="I410" s="23">
        <v>0</v>
      </c>
      <c r="J410" s="23">
        <v>0</v>
      </c>
      <c r="K410" s="23" t="s">
        <v>24</v>
      </c>
      <c r="L410" s="23" t="s">
        <v>597</v>
      </c>
      <c r="M410" s="23" t="s">
        <v>1854</v>
      </c>
      <c r="N410" s="24">
        <v>45821</v>
      </c>
      <c r="O410" s="28">
        <v>1.0416666666666666E-2</v>
      </c>
      <c r="P410" s="3">
        <v>45798</v>
      </c>
      <c r="Q410" s="62">
        <v>45804.16305555556</v>
      </c>
      <c r="R410" s="72">
        <v>45804.173472222225</v>
      </c>
      <c r="S410" s="25">
        <v>0.17291666666666666</v>
      </c>
      <c r="T410" s="63">
        <v>-6.0005555555544561</v>
      </c>
      <c r="U410" s="47">
        <f>IFERROR(INDEX(NOVO!O:O,MATCH(PRINT!E126,NOVO!C:C,0)),"")</f>
        <v>135507</v>
      </c>
    </row>
    <row r="411" spans="1:21" x14ac:dyDescent="0.35">
      <c r="A411" s="54">
        <v>0</v>
      </c>
      <c r="B411" s="23"/>
      <c r="C411" s="23">
        <v>1027030</v>
      </c>
      <c r="D411" s="23">
        <v>1</v>
      </c>
      <c r="E411" s="23">
        <v>1027039</v>
      </c>
      <c r="F411" s="23" t="s">
        <v>947</v>
      </c>
      <c r="G411" s="5">
        <v>20</v>
      </c>
      <c r="H411" s="23">
        <v>3</v>
      </c>
      <c r="I411" s="23">
        <v>0</v>
      </c>
      <c r="J411" s="23">
        <v>0</v>
      </c>
      <c r="K411" s="23" t="s">
        <v>24</v>
      </c>
      <c r="L411" s="23" t="s">
        <v>597</v>
      </c>
      <c r="M411" s="23" t="s">
        <v>1854</v>
      </c>
      <c r="N411" s="24">
        <v>45821</v>
      </c>
      <c r="O411" s="28">
        <v>1.3888888888888888E-2</v>
      </c>
      <c r="P411" s="3">
        <v>45798</v>
      </c>
      <c r="Q411" s="62">
        <v>45804.14916666667</v>
      </c>
      <c r="R411" s="72">
        <v>45804.16305555556</v>
      </c>
      <c r="S411" s="25">
        <v>0.16250000000000001</v>
      </c>
      <c r="T411" s="63">
        <v>-6.000555555561732</v>
      </c>
      <c r="U411" s="47">
        <f>IFERROR(INDEX(NOVO!O:O,MATCH(PRINT!E125,NOVO!C:C,0)),"")</f>
        <v>182176</v>
      </c>
    </row>
    <row r="412" spans="1:21" x14ac:dyDescent="0.35">
      <c r="A412" s="54">
        <v>0</v>
      </c>
      <c r="B412" s="23"/>
      <c r="C412" s="23">
        <v>1027030</v>
      </c>
      <c r="D412" s="23">
        <v>1</v>
      </c>
      <c r="E412" s="23">
        <v>1027040</v>
      </c>
      <c r="F412" s="23" t="s">
        <v>1775</v>
      </c>
      <c r="G412" s="5">
        <v>13</v>
      </c>
      <c r="H412" s="23">
        <v>3</v>
      </c>
      <c r="I412" s="23">
        <v>0</v>
      </c>
      <c r="J412" s="23">
        <v>0</v>
      </c>
      <c r="K412" s="23" t="s">
        <v>24</v>
      </c>
      <c r="L412" s="23" t="s">
        <v>597</v>
      </c>
      <c r="M412" s="23" t="s">
        <v>1854</v>
      </c>
      <c r="N412" s="24">
        <v>45821</v>
      </c>
      <c r="O412" s="28">
        <v>9.0277777777777769E-3</v>
      </c>
      <c r="P412" s="3">
        <v>45798</v>
      </c>
      <c r="Q412" s="62">
        <v>45804.140138888892</v>
      </c>
      <c r="R412" s="72">
        <v>45804.14916666667</v>
      </c>
      <c r="S412" s="25">
        <v>0.14861111111111111</v>
      </c>
      <c r="T412" s="63">
        <v>-6.000555555561732</v>
      </c>
      <c r="U412" s="47">
        <f>IFERROR(INDEX(NOVO!O:O,MATCH(PRINT!E124,NOVO!C:C,0)),"")</f>
        <v>182183</v>
      </c>
    </row>
    <row r="413" spans="1:21" x14ac:dyDescent="0.35">
      <c r="A413" s="54">
        <v>0</v>
      </c>
      <c r="B413" s="23"/>
      <c r="C413" s="23">
        <v>1027030</v>
      </c>
      <c r="D413" s="23">
        <v>1</v>
      </c>
      <c r="E413" s="23">
        <v>1027038</v>
      </c>
      <c r="F413" s="23" t="s">
        <v>1774</v>
      </c>
      <c r="G413" s="5">
        <v>15</v>
      </c>
      <c r="H413" s="23">
        <v>3</v>
      </c>
      <c r="I413" s="23">
        <v>0</v>
      </c>
      <c r="J413" s="23">
        <v>0</v>
      </c>
      <c r="K413" s="23" t="s">
        <v>24</v>
      </c>
      <c r="L413" s="23" t="s">
        <v>597</v>
      </c>
      <c r="M413" s="23" t="s">
        <v>1854</v>
      </c>
      <c r="N413" s="24">
        <v>45821</v>
      </c>
      <c r="O413" s="28">
        <v>1.0416666666666666E-2</v>
      </c>
      <c r="P413" s="3">
        <v>45798</v>
      </c>
      <c r="Q413" s="62">
        <v>45804.129722222227</v>
      </c>
      <c r="R413" s="72">
        <v>45804.140138888892</v>
      </c>
      <c r="S413" s="25">
        <v>0.13958333333333334</v>
      </c>
      <c r="T413" s="63">
        <v>-6.000555555561732</v>
      </c>
      <c r="U413" s="47">
        <f>IFERROR(INDEX(NOVO!O:O,MATCH(PRINT!E123,NOVO!C:C,0)),"")</f>
        <v>182184</v>
      </c>
    </row>
    <row r="414" spans="1:21" x14ac:dyDescent="0.35">
      <c r="A414" s="54">
        <v>0</v>
      </c>
      <c r="B414" s="23"/>
      <c r="C414" s="23">
        <v>1027030</v>
      </c>
      <c r="D414" s="23">
        <v>1</v>
      </c>
      <c r="E414" s="23">
        <v>1027044</v>
      </c>
      <c r="F414" s="23" t="s">
        <v>1773</v>
      </c>
      <c r="G414" s="5">
        <v>15</v>
      </c>
      <c r="H414" s="23">
        <v>3</v>
      </c>
      <c r="I414" s="23">
        <v>0</v>
      </c>
      <c r="J414" s="23">
        <v>0</v>
      </c>
      <c r="K414" s="23" t="s">
        <v>24</v>
      </c>
      <c r="L414" s="23" t="s">
        <v>597</v>
      </c>
      <c r="M414" s="23" t="s">
        <v>1854</v>
      </c>
      <c r="N414" s="24">
        <v>45821</v>
      </c>
      <c r="O414" s="28">
        <v>1.0416666666666666E-2</v>
      </c>
      <c r="P414" s="3">
        <v>45798</v>
      </c>
      <c r="Q414" s="62">
        <v>45804.119305555563</v>
      </c>
      <c r="R414" s="72">
        <v>45804.129722222227</v>
      </c>
      <c r="S414" s="25">
        <v>0.12916666666666668</v>
      </c>
      <c r="T414" s="63">
        <v>-6.000555555561732</v>
      </c>
      <c r="U414" s="47">
        <f>IFERROR(INDEX(NOVO!O:O,MATCH(PRINT!E122,NOVO!C:C,0)),"")</f>
        <v>182181</v>
      </c>
    </row>
    <row r="415" spans="1:21" x14ac:dyDescent="0.35">
      <c r="A415" s="54">
        <v>0</v>
      </c>
      <c r="B415" s="23"/>
      <c r="C415" s="23">
        <v>1027030</v>
      </c>
      <c r="D415" s="23">
        <v>1</v>
      </c>
      <c r="E415" s="23">
        <v>1027055</v>
      </c>
      <c r="F415" s="23" t="s">
        <v>1487</v>
      </c>
      <c r="G415" s="5">
        <v>21</v>
      </c>
      <c r="H415" s="23">
        <v>6</v>
      </c>
      <c r="I415" s="23">
        <v>0</v>
      </c>
      <c r="J415" s="23">
        <v>0</v>
      </c>
      <c r="K415" s="23" t="s">
        <v>24</v>
      </c>
      <c r="L415" s="23" t="s">
        <v>597</v>
      </c>
      <c r="M415" s="23" t="s">
        <v>1854</v>
      </c>
      <c r="N415" s="24">
        <v>45821</v>
      </c>
      <c r="O415" s="28">
        <v>1.5138888888888889E-2</v>
      </c>
      <c r="P415" s="3">
        <v>45798</v>
      </c>
      <c r="Q415" s="62">
        <v>45804.104166666672</v>
      </c>
      <c r="R415" s="72">
        <v>45804.119305555563</v>
      </c>
      <c r="S415" s="25">
        <v>0.11874999999999999</v>
      </c>
      <c r="T415" s="63">
        <v>-6.000555555561732</v>
      </c>
      <c r="U415" s="47">
        <f>IFERROR(INDEX(NOVO!O:O,MATCH(PRINT!E121,NOVO!C:C,0)),"")</f>
        <v>182182</v>
      </c>
    </row>
    <row r="416" spans="1:21" x14ac:dyDescent="0.35">
      <c r="A416" s="54"/>
      <c r="B416" s="23"/>
      <c r="C416" s="23"/>
      <c r="D416" s="23"/>
      <c r="E416" s="23"/>
      <c r="F416" s="23"/>
      <c r="G416" s="5"/>
      <c r="H416" s="23"/>
      <c r="I416" s="23"/>
      <c r="J416" s="23"/>
      <c r="K416" s="23"/>
      <c r="L416" s="23"/>
      <c r="M416" s="23"/>
      <c r="N416" s="24" t="s">
        <v>198</v>
      </c>
      <c r="O416" s="28">
        <v>2.0833333333333332E-2</v>
      </c>
      <c r="P416" s="3">
        <v>45798</v>
      </c>
      <c r="Q416" s="62">
        <v>45804.083333333336</v>
      </c>
      <c r="R416" s="72">
        <v>45804.104166666672</v>
      </c>
      <c r="S416" s="25">
        <v>0.10416666666666667</v>
      </c>
      <c r="T416" s="63">
        <v>-6.000000000007276</v>
      </c>
      <c r="U416" s="47">
        <f>IFERROR(INDEX(NOVO!O:O,MATCH(PRINT!E120,NOVO!C:C,0)),"")</f>
        <v>182176</v>
      </c>
    </row>
    <row r="417" spans="1:21" x14ac:dyDescent="0.35">
      <c r="A417" s="54">
        <v>0</v>
      </c>
      <c r="B417" s="23"/>
      <c r="C417" s="23">
        <v>1027030</v>
      </c>
      <c r="D417" s="23">
        <v>1</v>
      </c>
      <c r="E417" s="23">
        <v>1027055</v>
      </c>
      <c r="F417" s="23" t="s">
        <v>1487</v>
      </c>
      <c r="G417" s="5">
        <v>48</v>
      </c>
      <c r="H417" s="23">
        <v>6</v>
      </c>
      <c r="I417" s="23">
        <v>0</v>
      </c>
      <c r="J417" s="23">
        <v>0</v>
      </c>
      <c r="K417" s="23" t="s">
        <v>24</v>
      </c>
      <c r="L417" s="23" t="s">
        <v>597</v>
      </c>
      <c r="M417" s="23" t="s">
        <v>1854</v>
      </c>
      <c r="N417" s="24">
        <v>45821</v>
      </c>
      <c r="O417" s="28">
        <v>3.3472222239652183E-2</v>
      </c>
      <c r="P417" s="3">
        <v>45798</v>
      </c>
      <c r="Q417" s="62">
        <v>45804.049861111096</v>
      </c>
      <c r="R417" s="72">
        <v>45804.083333333336</v>
      </c>
      <c r="S417" s="25">
        <v>8.3333333333333329E-2</v>
      </c>
      <c r="T417" s="63">
        <v>-6</v>
      </c>
      <c r="U417" s="47">
        <f>IFERROR(INDEX(NOVO!O:O,MATCH(PRINT!E119,NOVO!C:C,0)),"")</f>
        <v>182181</v>
      </c>
    </row>
    <row r="418" spans="1:21" x14ac:dyDescent="0.35">
      <c r="A418" s="54">
        <v>0</v>
      </c>
      <c r="B418" s="23"/>
      <c r="C418" s="23">
        <v>1027030</v>
      </c>
      <c r="D418" s="23">
        <v>1</v>
      </c>
      <c r="E418" s="23">
        <v>1027056</v>
      </c>
      <c r="F418" s="23" t="s">
        <v>1033</v>
      </c>
      <c r="G418" s="5">
        <v>60</v>
      </c>
      <c r="H418" s="23">
        <v>6</v>
      </c>
      <c r="I418" s="23">
        <v>0</v>
      </c>
      <c r="J418" s="23">
        <v>0</v>
      </c>
      <c r="K418" s="23" t="s">
        <v>24</v>
      </c>
      <c r="L418" s="23" t="s">
        <v>597</v>
      </c>
      <c r="M418" s="23" t="s">
        <v>1854</v>
      </c>
      <c r="N418" s="24">
        <v>45821</v>
      </c>
      <c r="O418" s="28">
        <v>4.1666666666666664E-2</v>
      </c>
      <c r="P418" s="3">
        <v>45798</v>
      </c>
      <c r="Q418" s="62">
        <v>45804.008194444432</v>
      </c>
      <c r="R418" s="72">
        <v>45804.049861111096</v>
      </c>
      <c r="S418" s="25">
        <v>4.9305555555555554E-2</v>
      </c>
      <c r="T418" s="63">
        <v>-6.0005555555399042</v>
      </c>
      <c r="U418" s="47">
        <f>IFERROR(INDEX(NOVO!O:O,MATCH(PRINT!E118,NOVO!C:C,0)),"")</f>
        <v>182182</v>
      </c>
    </row>
    <row r="419" spans="1:21" x14ac:dyDescent="0.35">
      <c r="A419" s="54">
        <v>0</v>
      </c>
      <c r="B419" s="23"/>
      <c r="C419" s="23">
        <v>1027029</v>
      </c>
      <c r="D419" s="23">
        <v>1</v>
      </c>
      <c r="E419" s="23">
        <v>1027039</v>
      </c>
      <c r="F419" s="23" t="s">
        <v>947</v>
      </c>
      <c r="G419" s="5">
        <v>20</v>
      </c>
      <c r="H419" s="23">
        <v>3</v>
      </c>
      <c r="I419" s="23">
        <v>0</v>
      </c>
      <c r="J419" s="23">
        <v>0</v>
      </c>
      <c r="K419" s="23" t="s">
        <v>24</v>
      </c>
      <c r="L419" s="23" t="s">
        <v>597</v>
      </c>
      <c r="M419" s="23" t="s">
        <v>1854</v>
      </c>
      <c r="N419" s="24">
        <v>45821</v>
      </c>
      <c r="O419" s="28">
        <v>1.3888888888888888E-2</v>
      </c>
      <c r="P419" s="3">
        <v>45798</v>
      </c>
      <c r="Q419" s="62">
        <v>45803.994305555541</v>
      </c>
      <c r="R419" s="72">
        <v>45804.008194444432</v>
      </c>
      <c r="S419" s="25">
        <v>7.6388888888888886E-3</v>
      </c>
      <c r="T419" s="63">
        <v>-6.0005555555399042</v>
      </c>
      <c r="U419" s="47">
        <f>IFERROR(INDEX(NOVO!O:O,MATCH(PRINT!E117,NOVO!C:C,0)),"")</f>
        <v>182183</v>
      </c>
    </row>
    <row r="420" spans="1:21" x14ac:dyDescent="0.35">
      <c r="A420" s="54">
        <v>0</v>
      </c>
      <c r="B420" s="23"/>
      <c r="C420" s="23">
        <v>1027029</v>
      </c>
      <c r="D420" s="23">
        <v>1</v>
      </c>
      <c r="E420" s="23">
        <v>1027056</v>
      </c>
      <c r="F420" s="23" t="s">
        <v>1033</v>
      </c>
      <c r="G420" s="5">
        <v>60</v>
      </c>
      <c r="H420" s="23">
        <v>6</v>
      </c>
      <c r="I420" s="23">
        <v>0</v>
      </c>
      <c r="J420" s="23">
        <v>0</v>
      </c>
      <c r="K420" s="23" t="s">
        <v>24</v>
      </c>
      <c r="L420" s="23" t="s">
        <v>597</v>
      </c>
      <c r="M420" s="23" t="s">
        <v>1854</v>
      </c>
      <c r="N420" s="24">
        <v>45821</v>
      </c>
      <c r="O420" s="28">
        <v>4.1666666666666664E-2</v>
      </c>
      <c r="P420" s="3">
        <v>45798</v>
      </c>
      <c r="Q420" s="62">
        <v>45803.952638888877</v>
      </c>
      <c r="R420" s="72">
        <v>45803.994305555541</v>
      </c>
      <c r="S420" s="25">
        <v>0.99375000000000002</v>
      </c>
      <c r="T420" s="63">
        <v>-5.0005555555399042</v>
      </c>
      <c r="U420" s="47">
        <f>IFERROR(INDEX(NOVO!O:O,MATCH(PRINT!E116,NOVO!C:C,0)),"")</f>
        <v>182184</v>
      </c>
    </row>
    <row r="421" spans="1:21" x14ac:dyDescent="0.35">
      <c r="A421" s="54">
        <v>0</v>
      </c>
      <c r="B421" s="23"/>
      <c r="C421" s="23">
        <v>1027029</v>
      </c>
      <c r="D421" s="23">
        <v>1</v>
      </c>
      <c r="E421" s="23">
        <v>1027055</v>
      </c>
      <c r="F421" s="23" t="s">
        <v>1487</v>
      </c>
      <c r="G421" s="5">
        <v>70</v>
      </c>
      <c r="H421" s="23">
        <v>6</v>
      </c>
      <c r="I421" s="23">
        <v>0</v>
      </c>
      <c r="J421" s="23">
        <v>0</v>
      </c>
      <c r="K421" s="23" t="s">
        <v>24</v>
      </c>
      <c r="L421" s="23" t="s">
        <v>597</v>
      </c>
      <c r="M421" s="23" t="s">
        <v>1854</v>
      </c>
      <c r="N421" s="24">
        <v>45821</v>
      </c>
      <c r="O421" s="28">
        <v>4.8611111111111112E-2</v>
      </c>
      <c r="P421" s="3">
        <v>45798</v>
      </c>
      <c r="Q421" s="62">
        <v>45803.904027777768</v>
      </c>
      <c r="R421" s="72">
        <v>45803.952638888877</v>
      </c>
      <c r="S421" s="25">
        <v>0.95208333333333328</v>
      </c>
      <c r="T421" s="63">
        <v>-5.0005555555471801</v>
      </c>
      <c r="U421" s="47">
        <f>IFERROR(INDEX(NOVO!O:O,MATCH(PRINT!E115,NOVO!C:C,0)),"")</f>
        <v>166301</v>
      </c>
    </row>
    <row r="422" spans="1:21" x14ac:dyDescent="0.35">
      <c r="A422" s="54">
        <v>0</v>
      </c>
      <c r="B422" s="23"/>
      <c r="C422" s="23">
        <v>1027029</v>
      </c>
      <c r="D422" s="23">
        <v>1</v>
      </c>
      <c r="E422" s="23">
        <v>1027041</v>
      </c>
      <c r="F422" s="23" t="s">
        <v>1776</v>
      </c>
      <c r="G422" s="5">
        <v>15</v>
      </c>
      <c r="H422" s="23">
        <v>3</v>
      </c>
      <c r="I422" s="23">
        <v>0</v>
      </c>
      <c r="J422" s="23">
        <v>0</v>
      </c>
      <c r="K422" s="23" t="s">
        <v>24</v>
      </c>
      <c r="L422" s="23" t="s">
        <v>597</v>
      </c>
      <c r="M422" s="23" t="s">
        <v>1854</v>
      </c>
      <c r="N422" s="24">
        <v>45821</v>
      </c>
      <c r="O422" s="28">
        <v>1.0416666666666666E-2</v>
      </c>
      <c r="P422" s="3">
        <v>45798</v>
      </c>
      <c r="Q422" s="62">
        <v>45803.893611111103</v>
      </c>
      <c r="R422" s="72">
        <v>45803.904027777768</v>
      </c>
      <c r="S422" s="25">
        <v>0.90347222222222223</v>
      </c>
      <c r="T422" s="63">
        <v>-5.0005555555471801</v>
      </c>
      <c r="U422" s="47" t="str">
        <f>IFERROR(INDEX(NOVO!O:O,MATCH(PRINT!E114,NOVO!C:C,0)),"")</f>
        <v/>
      </c>
    </row>
    <row r="423" spans="1:21" x14ac:dyDescent="0.35">
      <c r="A423" s="54">
        <v>0</v>
      </c>
      <c r="B423" s="23"/>
      <c r="C423" s="23">
        <v>1027029</v>
      </c>
      <c r="D423" s="23">
        <v>1</v>
      </c>
      <c r="E423" s="23">
        <v>1027040</v>
      </c>
      <c r="F423" s="23" t="s">
        <v>1775</v>
      </c>
      <c r="G423" s="5">
        <v>13</v>
      </c>
      <c r="H423" s="23">
        <v>3</v>
      </c>
      <c r="I423" s="23">
        <v>0</v>
      </c>
      <c r="J423" s="23">
        <v>0</v>
      </c>
      <c r="K423" s="23" t="s">
        <v>24</v>
      </c>
      <c r="L423" s="23" t="s">
        <v>597</v>
      </c>
      <c r="M423" s="23" t="s">
        <v>1854</v>
      </c>
      <c r="N423" s="24">
        <v>45821</v>
      </c>
      <c r="O423" s="28">
        <v>9.0277777777777769E-3</v>
      </c>
      <c r="P423" s="3">
        <v>45798</v>
      </c>
      <c r="Q423" s="62">
        <v>45803.884583333325</v>
      </c>
      <c r="R423" s="72">
        <v>45803.893611111103</v>
      </c>
      <c r="S423" s="25">
        <v>0.8930555555555556</v>
      </c>
      <c r="T423" s="63">
        <v>-5.0005555555471801</v>
      </c>
      <c r="U423" s="47">
        <f>IFERROR(INDEX(NOVO!O:O,MATCH(PRINT!E113,NOVO!C:C,0)),"")</f>
        <v>166301</v>
      </c>
    </row>
    <row r="424" spans="1:21" x14ac:dyDescent="0.35">
      <c r="A424" s="54">
        <v>0</v>
      </c>
      <c r="B424" s="23"/>
      <c r="C424" s="23">
        <v>1027029</v>
      </c>
      <c r="D424" s="23">
        <v>1</v>
      </c>
      <c r="E424" s="23">
        <v>1027044</v>
      </c>
      <c r="F424" s="23" t="s">
        <v>1773</v>
      </c>
      <c r="G424" s="5">
        <v>15</v>
      </c>
      <c r="H424" s="23">
        <v>3</v>
      </c>
      <c r="I424" s="23">
        <v>0</v>
      </c>
      <c r="J424" s="23">
        <v>0</v>
      </c>
      <c r="K424" s="23" t="s">
        <v>24</v>
      </c>
      <c r="L424" s="23" t="s">
        <v>597</v>
      </c>
      <c r="M424" s="23" t="s">
        <v>1854</v>
      </c>
      <c r="N424" s="24">
        <v>45821</v>
      </c>
      <c r="O424" s="28">
        <v>1.0416666666666666E-2</v>
      </c>
      <c r="P424" s="3">
        <v>45798</v>
      </c>
      <c r="Q424" s="62">
        <v>45803.874166666661</v>
      </c>
      <c r="R424" s="72">
        <v>45803.884583333325</v>
      </c>
      <c r="S424" s="25">
        <v>0.88402777777777775</v>
      </c>
      <c r="T424" s="63">
        <v>-5.0005555555471801</v>
      </c>
      <c r="U424" s="47">
        <f>IFERROR(INDEX(NOVO!O:O,MATCH(PRINT!E112,NOVO!C:C,0)),"")</f>
        <v>166302</v>
      </c>
    </row>
    <row r="425" spans="1:21" x14ac:dyDescent="0.35">
      <c r="A425" s="54">
        <v>0</v>
      </c>
      <c r="B425" s="23"/>
      <c r="C425" s="23">
        <v>1027029</v>
      </c>
      <c r="D425" s="23">
        <v>1</v>
      </c>
      <c r="E425" s="23">
        <v>1027038</v>
      </c>
      <c r="F425" s="23" t="s">
        <v>1774</v>
      </c>
      <c r="G425" s="5">
        <v>15</v>
      </c>
      <c r="H425" s="23">
        <v>3</v>
      </c>
      <c r="I425" s="23">
        <v>0</v>
      </c>
      <c r="J425" s="23">
        <v>0</v>
      </c>
      <c r="K425" s="23" t="s">
        <v>24</v>
      </c>
      <c r="L425" s="23" t="s">
        <v>597</v>
      </c>
      <c r="M425" s="23" t="s">
        <v>1854</v>
      </c>
      <c r="N425" s="24">
        <v>45821</v>
      </c>
      <c r="O425" s="28">
        <v>1.0416666666666666E-2</v>
      </c>
      <c r="P425" s="3">
        <v>45798</v>
      </c>
      <c r="Q425" s="62">
        <v>45803.863749999997</v>
      </c>
      <c r="R425" s="72">
        <v>45803.874166666661</v>
      </c>
      <c r="S425" s="25">
        <v>0.87361111111111112</v>
      </c>
      <c r="T425" s="63">
        <v>-5.0005555555471801</v>
      </c>
      <c r="U425" s="47">
        <f>IFERROR(INDEX(NOVO!O:O,MATCH(PRINT!E111,NOVO!C:C,0)),"")</f>
        <v>166303</v>
      </c>
    </row>
    <row r="426" spans="1:21" x14ac:dyDescent="0.35">
      <c r="A426" s="54">
        <v>0</v>
      </c>
      <c r="B426" s="23"/>
      <c r="C426" s="23">
        <v>1027028</v>
      </c>
      <c r="D426" s="23">
        <v>1</v>
      </c>
      <c r="E426" s="23">
        <v>1027038</v>
      </c>
      <c r="F426" s="23" t="s">
        <v>1774</v>
      </c>
      <c r="G426" s="5">
        <v>15</v>
      </c>
      <c r="H426" s="23">
        <v>3</v>
      </c>
      <c r="I426" s="23">
        <v>0</v>
      </c>
      <c r="J426" s="23">
        <v>0</v>
      </c>
      <c r="K426" s="23" t="s">
        <v>24</v>
      </c>
      <c r="L426" s="23" t="s">
        <v>597</v>
      </c>
      <c r="M426" s="23" t="s">
        <v>1854</v>
      </c>
      <c r="N426" s="24">
        <v>45821</v>
      </c>
      <c r="O426" s="28">
        <v>1.0416666666666666E-2</v>
      </c>
      <c r="P426" s="3">
        <v>45798</v>
      </c>
      <c r="Q426" s="62">
        <v>45803.853333333333</v>
      </c>
      <c r="R426" s="72">
        <v>45803.863749999997</v>
      </c>
      <c r="S426" s="25">
        <v>0.86319444444444449</v>
      </c>
      <c r="T426" s="63">
        <v>-5.0005555555544561</v>
      </c>
      <c r="U426" s="47" t="str">
        <f>IFERROR(INDEX(NOVO!O:O,MATCH(PRINT!E110,NOVO!C:C,0)),"")</f>
        <v/>
      </c>
    </row>
    <row r="427" spans="1:21" x14ac:dyDescent="0.35">
      <c r="A427" s="54">
        <v>0</v>
      </c>
      <c r="B427" s="23"/>
      <c r="C427" s="23">
        <v>1027028</v>
      </c>
      <c r="D427" s="23">
        <v>1</v>
      </c>
      <c r="E427" s="23">
        <v>1027056</v>
      </c>
      <c r="F427" s="23" t="s">
        <v>1033</v>
      </c>
      <c r="G427" s="5">
        <v>60</v>
      </c>
      <c r="H427" s="23">
        <v>6</v>
      </c>
      <c r="I427" s="23">
        <v>0</v>
      </c>
      <c r="J427" s="23">
        <v>0</v>
      </c>
      <c r="K427" s="23" t="s">
        <v>24</v>
      </c>
      <c r="L427" s="23" t="s">
        <v>597</v>
      </c>
      <c r="M427" s="23" t="s">
        <v>1854</v>
      </c>
      <c r="N427" s="24">
        <v>45821</v>
      </c>
      <c r="O427" s="28">
        <v>4.1666666666666664E-2</v>
      </c>
      <c r="P427" s="3">
        <v>45798</v>
      </c>
      <c r="Q427" s="62">
        <v>45803.811666666668</v>
      </c>
      <c r="R427" s="72">
        <v>45803.853333333333</v>
      </c>
      <c r="S427" s="25">
        <v>0.85277777777777775</v>
      </c>
      <c r="T427" s="63">
        <v>-5.0005555555544561</v>
      </c>
      <c r="U427" s="47">
        <f>IFERROR(INDEX(NOVO!O:O,MATCH(PRINT!E109,NOVO!C:C,0)),"")</f>
        <v>166303</v>
      </c>
    </row>
    <row r="428" spans="1:21" x14ac:dyDescent="0.35">
      <c r="A428" s="54">
        <v>0</v>
      </c>
      <c r="B428" s="23"/>
      <c r="C428" s="23">
        <v>1027028</v>
      </c>
      <c r="D428" s="23">
        <v>1</v>
      </c>
      <c r="E428" s="23">
        <v>1027055</v>
      </c>
      <c r="F428" s="23" t="s">
        <v>1487</v>
      </c>
      <c r="G428" s="5">
        <v>58</v>
      </c>
      <c r="H428" s="23">
        <v>6</v>
      </c>
      <c r="I428" s="23">
        <v>0</v>
      </c>
      <c r="J428" s="23">
        <v>0</v>
      </c>
      <c r="K428" s="23" t="s">
        <v>24</v>
      </c>
      <c r="L428" s="23" t="s">
        <v>597</v>
      </c>
      <c r="M428" s="23" t="s">
        <v>1854</v>
      </c>
      <c r="N428" s="24">
        <v>45821</v>
      </c>
      <c r="O428" s="28">
        <v>4.0833333333333333E-2</v>
      </c>
      <c r="P428" s="3">
        <v>45798</v>
      </c>
      <c r="Q428" s="62">
        <v>45803.770833333336</v>
      </c>
      <c r="R428" s="72">
        <v>45803.811666666668</v>
      </c>
      <c r="S428" s="25">
        <v>0.81111111111111112</v>
      </c>
      <c r="T428" s="63">
        <v>-5.0005555555544561</v>
      </c>
      <c r="U428" s="47">
        <f>IFERROR(INDEX(NOVO!O:O,MATCH(PRINT!E108,NOVO!C:C,0)),"")</f>
        <v>166303</v>
      </c>
    </row>
    <row r="429" spans="1:21" x14ac:dyDescent="0.35">
      <c r="A429" s="54"/>
      <c r="B429" s="23"/>
      <c r="C429" s="23"/>
      <c r="D429" s="23"/>
      <c r="E429" s="23"/>
      <c r="F429" s="23"/>
      <c r="G429" s="5"/>
      <c r="H429" s="23"/>
      <c r="I429" s="23"/>
      <c r="J429" s="23"/>
      <c r="K429" s="23"/>
      <c r="L429" s="23"/>
      <c r="M429" s="23"/>
      <c r="N429" s="24" t="s">
        <v>198</v>
      </c>
      <c r="O429" s="28">
        <v>2.0833333333333332E-2</v>
      </c>
      <c r="P429" s="3">
        <v>45798</v>
      </c>
      <c r="Q429" s="62">
        <v>45803.75</v>
      </c>
      <c r="R429" s="72">
        <v>45803.770833333336</v>
      </c>
      <c r="S429" s="25">
        <v>0.77083333333333337</v>
      </c>
      <c r="T429" s="63">
        <v>-5</v>
      </c>
      <c r="U429" s="47">
        <f>IFERROR(INDEX(NOVO!O:O,MATCH(PRINT!E107,NOVO!C:C,0)),"")</f>
        <v>166302</v>
      </c>
    </row>
    <row r="430" spans="1:21" x14ac:dyDescent="0.35">
      <c r="A430" s="54">
        <v>0</v>
      </c>
      <c r="B430" s="23"/>
      <c r="C430" s="23">
        <v>1027028</v>
      </c>
      <c r="D430" s="23">
        <v>1</v>
      </c>
      <c r="E430" s="23">
        <v>1027055</v>
      </c>
      <c r="F430" s="23" t="s">
        <v>1487</v>
      </c>
      <c r="G430" s="5">
        <v>11</v>
      </c>
      <c r="H430" s="23">
        <v>6</v>
      </c>
      <c r="I430" s="23">
        <v>0</v>
      </c>
      <c r="J430" s="23">
        <v>0</v>
      </c>
      <c r="K430" s="23" t="s">
        <v>24</v>
      </c>
      <c r="L430" s="23" t="s">
        <v>597</v>
      </c>
      <c r="M430" s="23" t="s">
        <v>1854</v>
      </c>
      <c r="N430" s="24">
        <v>45821</v>
      </c>
      <c r="O430" s="28">
        <v>7.7777777987648733E-3</v>
      </c>
      <c r="P430" s="3">
        <v>45798</v>
      </c>
      <c r="Q430" s="62">
        <v>45803.742222222201</v>
      </c>
      <c r="R430" s="72">
        <v>45803.75</v>
      </c>
      <c r="S430" s="25">
        <v>0.75</v>
      </c>
      <c r="T430" s="63">
        <v>-5</v>
      </c>
      <c r="U430" s="47" t="str">
        <f>IFERROR(INDEX(NOVO!O:O,MATCH(PRINT!E106,NOVO!C:C,0)),"")</f>
        <v/>
      </c>
    </row>
    <row r="431" spans="1:21" x14ac:dyDescent="0.35">
      <c r="A431" s="54">
        <v>0</v>
      </c>
      <c r="B431" s="23"/>
      <c r="C431" s="23">
        <v>1027028</v>
      </c>
      <c r="D431" s="23">
        <v>1</v>
      </c>
      <c r="E431" s="23">
        <v>1027041</v>
      </c>
      <c r="F431" s="23" t="s">
        <v>1776</v>
      </c>
      <c r="G431" s="5">
        <v>15</v>
      </c>
      <c r="H431" s="23">
        <v>3</v>
      </c>
      <c r="I431" s="23">
        <v>0</v>
      </c>
      <c r="J431" s="23">
        <v>0</v>
      </c>
      <c r="K431" s="23" t="s">
        <v>24</v>
      </c>
      <c r="L431" s="23" t="s">
        <v>597</v>
      </c>
      <c r="M431" s="23" t="s">
        <v>1854</v>
      </c>
      <c r="N431" s="24">
        <v>45821</v>
      </c>
      <c r="O431" s="28">
        <v>1.0416666666666666E-2</v>
      </c>
      <c r="P431" s="3">
        <v>45798</v>
      </c>
      <c r="Q431" s="62">
        <v>45803.731805555537</v>
      </c>
      <c r="R431" s="72">
        <v>45803.742222222201</v>
      </c>
      <c r="S431" s="25">
        <v>0.7416666666666667</v>
      </c>
      <c r="T431" s="63">
        <v>-5.0005555555326282</v>
      </c>
      <c r="U431" s="47">
        <f>IFERROR(INDEX(NOVO!O:O,MATCH(PRINT!E105,NOVO!C:C,0)),"")</f>
        <v>166302</v>
      </c>
    </row>
    <row r="432" spans="1:21" x14ac:dyDescent="0.35">
      <c r="A432" s="54">
        <v>0</v>
      </c>
      <c r="B432" s="23"/>
      <c r="C432" s="23">
        <v>1027028</v>
      </c>
      <c r="D432" s="23">
        <v>1</v>
      </c>
      <c r="E432" s="23">
        <v>1027040</v>
      </c>
      <c r="F432" s="23" t="s">
        <v>1775</v>
      </c>
      <c r="G432" s="5">
        <v>13</v>
      </c>
      <c r="H432" s="23">
        <v>3</v>
      </c>
      <c r="I432" s="23">
        <v>0</v>
      </c>
      <c r="J432" s="23">
        <v>0</v>
      </c>
      <c r="K432" s="23" t="s">
        <v>24</v>
      </c>
      <c r="L432" s="23" t="s">
        <v>597</v>
      </c>
      <c r="M432" s="23" t="s">
        <v>1854</v>
      </c>
      <c r="N432" s="24">
        <v>45821</v>
      </c>
      <c r="O432" s="28">
        <v>9.0277777777777769E-3</v>
      </c>
      <c r="P432" s="3">
        <v>45798</v>
      </c>
      <c r="Q432" s="62">
        <v>45803.722777777759</v>
      </c>
      <c r="R432" s="72">
        <v>45803.731805555537</v>
      </c>
      <c r="S432" s="25">
        <v>0.73124999999999996</v>
      </c>
      <c r="T432" s="63">
        <v>-5.0005555555399042</v>
      </c>
      <c r="U432" s="47">
        <f>IFERROR(INDEX(NOVO!O:O,MATCH(PRINT!E104,NOVO!C:C,0)),"")</f>
        <v>166301</v>
      </c>
    </row>
    <row r="433" spans="1:21" x14ac:dyDescent="0.35">
      <c r="A433" s="54">
        <v>0</v>
      </c>
      <c r="B433" s="23"/>
      <c r="C433" s="23">
        <v>1027028</v>
      </c>
      <c r="D433" s="23">
        <v>1</v>
      </c>
      <c r="E433" s="23">
        <v>1027039</v>
      </c>
      <c r="F433" s="23" t="s">
        <v>947</v>
      </c>
      <c r="G433" s="5">
        <v>20</v>
      </c>
      <c r="H433" s="23">
        <v>3</v>
      </c>
      <c r="I433" s="23">
        <v>0</v>
      </c>
      <c r="J433" s="23">
        <v>0</v>
      </c>
      <c r="K433" s="23" t="s">
        <v>24</v>
      </c>
      <c r="L433" s="23" t="s">
        <v>597</v>
      </c>
      <c r="M433" s="23" t="s">
        <v>1854</v>
      </c>
      <c r="N433" s="24">
        <v>45821</v>
      </c>
      <c r="O433" s="28">
        <v>1.3888888888888888E-2</v>
      </c>
      <c r="P433" s="3">
        <v>45798</v>
      </c>
      <c r="Q433" s="62">
        <v>45803.708888888868</v>
      </c>
      <c r="R433" s="72">
        <v>45803.722777777759</v>
      </c>
      <c r="S433" s="25">
        <v>0.72222222222222221</v>
      </c>
      <c r="T433" s="63">
        <v>-5.0005555555399042</v>
      </c>
      <c r="U433" s="47">
        <f>IFERROR(INDEX(NOVO!O:O,MATCH(PRINT!E103,NOVO!C:C,0)),"")</f>
        <v>166301</v>
      </c>
    </row>
    <row r="434" spans="1:21" x14ac:dyDescent="0.35">
      <c r="A434" s="54">
        <v>0</v>
      </c>
      <c r="B434" s="23"/>
      <c r="C434" s="23">
        <v>1027028</v>
      </c>
      <c r="D434" s="23">
        <v>1</v>
      </c>
      <c r="E434" s="23">
        <v>1027044</v>
      </c>
      <c r="F434" s="23" t="s">
        <v>1773</v>
      </c>
      <c r="G434" s="5">
        <v>15</v>
      </c>
      <c r="H434" s="23">
        <v>3</v>
      </c>
      <c r="I434" s="23">
        <v>0</v>
      </c>
      <c r="J434" s="23">
        <v>0</v>
      </c>
      <c r="K434" s="23" t="s">
        <v>24</v>
      </c>
      <c r="L434" s="23" t="s">
        <v>597</v>
      </c>
      <c r="M434" s="23" t="s">
        <v>1854</v>
      </c>
      <c r="N434" s="24">
        <v>45821</v>
      </c>
      <c r="O434" s="28">
        <v>1.0416666666666666E-2</v>
      </c>
      <c r="P434" s="3">
        <v>45798</v>
      </c>
      <c r="Q434" s="62">
        <v>45803.698472222204</v>
      </c>
      <c r="R434" s="72">
        <v>45803.708888888868</v>
      </c>
      <c r="S434" s="25">
        <v>0.70833333333333337</v>
      </c>
      <c r="T434" s="63">
        <v>-5.0005555555326282</v>
      </c>
      <c r="U434" s="47">
        <f>IFERROR(INDEX(NOVO!O:O,MATCH(PRINT!E102,NOVO!C:C,0)),"")</f>
        <v>166302</v>
      </c>
    </row>
    <row r="435" spans="1:21" x14ac:dyDescent="0.35">
      <c r="A435" s="54">
        <v>0</v>
      </c>
      <c r="B435" s="23"/>
      <c r="C435" s="23">
        <v>1021836</v>
      </c>
      <c r="D435" s="23">
        <v>2</v>
      </c>
      <c r="E435" s="23">
        <v>1021837</v>
      </c>
      <c r="F435" s="23" t="s">
        <v>1852</v>
      </c>
      <c r="G435" s="5">
        <v>60</v>
      </c>
      <c r="H435" s="23">
        <v>2</v>
      </c>
      <c r="I435" s="23">
        <v>0</v>
      </c>
      <c r="J435" s="23">
        <v>0</v>
      </c>
      <c r="K435" s="23" t="s">
        <v>24</v>
      </c>
      <c r="L435" s="23" t="s">
        <v>597</v>
      </c>
      <c r="M435" s="23" t="s">
        <v>1853</v>
      </c>
      <c r="N435" s="24">
        <v>45821</v>
      </c>
      <c r="O435" s="28">
        <v>4.1666666666666664E-2</v>
      </c>
      <c r="P435" s="3">
        <v>45798</v>
      </c>
      <c r="Q435" s="62">
        <v>45803.65680555554</v>
      </c>
      <c r="R435" s="72">
        <v>45803.698472222204</v>
      </c>
      <c r="S435" s="25">
        <v>0.69791666666666663</v>
      </c>
      <c r="T435" s="63">
        <v>-5.0005555555399042</v>
      </c>
      <c r="U435" s="47">
        <f>IFERROR(INDEX(NOVO!O:O,MATCH(PRINT!E101,NOVO!C:C,0)),"")</f>
        <v>166303</v>
      </c>
    </row>
    <row r="436" spans="1:21" x14ac:dyDescent="0.35">
      <c r="A436" s="54">
        <v>0</v>
      </c>
      <c r="B436" s="23"/>
      <c r="C436" s="23">
        <v>1019891</v>
      </c>
      <c r="D436" s="23">
        <v>1</v>
      </c>
      <c r="E436" s="23">
        <v>1019897</v>
      </c>
      <c r="F436" s="23" t="s">
        <v>1762</v>
      </c>
      <c r="G436" s="5">
        <v>15</v>
      </c>
      <c r="H436" s="23">
        <v>2</v>
      </c>
      <c r="I436" s="23">
        <v>0</v>
      </c>
      <c r="J436" s="23">
        <v>0</v>
      </c>
      <c r="K436" s="23" t="s">
        <v>24</v>
      </c>
      <c r="L436" s="23" t="s">
        <v>597</v>
      </c>
      <c r="M436" s="23" t="s">
        <v>1851</v>
      </c>
      <c r="N436" s="24">
        <v>45818</v>
      </c>
      <c r="O436" s="28">
        <v>1.0416666666666666E-2</v>
      </c>
      <c r="P436" s="3">
        <v>45798</v>
      </c>
      <c r="Q436" s="62">
        <v>45803.646388888876</v>
      </c>
      <c r="R436" s="72">
        <v>45803.65680555554</v>
      </c>
      <c r="S436" s="25">
        <v>0.65625</v>
      </c>
      <c r="T436" s="63">
        <v>-5.0005555555399042</v>
      </c>
      <c r="U436" s="47" t="str">
        <f>IFERROR(INDEX(NOVO!O:O,MATCH(PRINT!E100,NOVO!C:C,0)),"")</f>
        <v/>
      </c>
    </row>
    <row r="437" spans="1:21" x14ac:dyDescent="0.35">
      <c r="A437" s="54">
        <v>0</v>
      </c>
      <c r="B437" s="23"/>
      <c r="C437" s="23">
        <v>1019891</v>
      </c>
      <c r="D437" s="23">
        <v>1</v>
      </c>
      <c r="E437" s="23">
        <v>1019892</v>
      </c>
      <c r="F437" s="23" t="s">
        <v>611</v>
      </c>
      <c r="G437" s="5">
        <v>15</v>
      </c>
      <c r="H437" s="23">
        <v>2</v>
      </c>
      <c r="I437" s="23">
        <v>0</v>
      </c>
      <c r="J437" s="23">
        <v>0</v>
      </c>
      <c r="K437" s="23" t="s">
        <v>24</v>
      </c>
      <c r="L437" s="23" t="s">
        <v>597</v>
      </c>
      <c r="M437" s="23" t="s">
        <v>1851</v>
      </c>
      <c r="N437" s="24">
        <v>45818</v>
      </c>
      <c r="O437" s="28">
        <v>1.0416666666666666E-2</v>
      </c>
      <c r="P437" s="3">
        <v>45798</v>
      </c>
      <c r="Q437" s="62">
        <v>45803.635972222211</v>
      </c>
      <c r="R437" s="72">
        <v>45803.646388888876</v>
      </c>
      <c r="S437" s="25">
        <v>0.64583333333333337</v>
      </c>
      <c r="T437" s="63">
        <v>-5.0005555555399042</v>
      </c>
      <c r="U437" s="47">
        <f>IFERROR(INDEX(NOVO!O:O,MATCH(PRINT!E99,NOVO!C:C,0)),"")</f>
        <v>166303</v>
      </c>
    </row>
    <row r="438" spans="1:21" x14ac:dyDescent="0.35">
      <c r="A438" s="54">
        <v>0</v>
      </c>
      <c r="B438" s="23"/>
      <c r="C438" s="23">
        <v>1019891</v>
      </c>
      <c r="D438" s="23">
        <v>1</v>
      </c>
      <c r="E438" s="23">
        <v>1019900</v>
      </c>
      <c r="F438" s="23" t="s">
        <v>1764</v>
      </c>
      <c r="G438" s="5">
        <v>15</v>
      </c>
      <c r="H438" s="23">
        <v>2</v>
      </c>
      <c r="I438" s="23">
        <v>0</v>
      </c>
      <c r="J438" s="23">
        <v>0</v>
      </c>
      <c r="K438" s="23" t="s">
        <v>24</v>
      </c>
      <c r="L438" s="23" t="s">
        <v>597</v>
      </c>
      <c r="M438" s="23" t="s">
        <v>1851</v>
      </c>
      <c r="N438" s="24">
        <v>45818</v>
      </c>
      <c r="O438" s="28">
        <v>1.0416666666666666E-2</v>
      </c>
      <c r="P438" s="3">
        <v>45798</v>
      </c>
      <c r="Q438" s="62">
        <v>45803.625555555547</v>
      </c>
      <c r="R438" s="72">
        <v>45803.635972222211</v>
      </c>
      <c r="S438" s="25">
        <v>0.63541666666666663</v>
      </c>
      <c r="T438" s="63">
        <v>-5.0005555555471801</v>
      </c>
      <c r="U438" s="47">
        <f>IFERROR(INDEX(NOVO!O:O,MATCH(PRINT!E98,NOVO!C:C,0)),"")</f>
        <v>166302</v>
      </c>
    </row>
    <row r="439" spans="1:21" x14ac:dyDescent="0.35">
      <c r="A439" s="54">
        <v>0</v>
      </c>
      <c r="B439" s="23"/>
      <c r="C439" s="23">
        <v>1019891</v>
      </c>
      <c r="D439" s="23">
        <v>1</v>
      </c>
      <c r="E439" s="23">
        <v>1019899</v>
      </c>
      <c r="F439" s="23" t="s">
        <v>1765</v>
      </c>
      <c r="G439" s="5">
        <v>13</v>
      </c>
      <c r="H439" s="23">
        <v>2</v>
      </c>
      <c r="I439" s="23">
        <v>0</v>
      </c>
      <c r="J439" s="23">
        <v>0</v>
      </c>
      <c r="K439" s="23" t="s">
        <v>24</v>
      </c>
      <c r="L439" s="23" t="s">
        <v>597</v>
      </c>
      <c r="M439" s="23" t="s">
        <v>1851</v>
      </c>
      <c r="N439" s="24">
        <v>45818</v>
      </c>
      <c r="O439" s="28">
        <v>9.0277777777777769E-3</v>
      </c>
      <c r="P439" s="3">
        <v>45798</v>
      </c>
      <c r="Q439" s="62">
        <v>45803.616527777769</v>
      </c>
      <c r="R439" s="72">
        <v>45803.625555555547</v>
      </c>
      <c r="S439" s="25">
        <v>0.625</v>
      </c>
      <c r="T439" s="63">
        <v>-5.0005555555471801</v>
      </c>
      <c r="U439" s="47">
        <f>IFERROR(INDEX(NOVO!O:O,MATCH(PRINT!E97,NOVO!C:C,0)),"")</f>
        <v>166301</v>
      </c>
    </row>
    <row r="440" spans="1:21" x14ac:dyDescent="0.35">
      <c r="A440" s="54">
        <v>0</v>
      </c>
      <c r="B440" s="23"/>
      <c r="C440" s="23">
        <v>1019891</v>
      </c>
      <c r="D440" s="23">
        <v>1</v>
      </c>
      <c r="E440" s="23">
        <v>1019898</v>
      </c>
      <c r="F440" s="23" t="s">
        <v>1763</v>
      </c>
      <c r="G440" s="5">
        <v>15</v>
      </c>
      <c r="H440" s="23">
        <v>2</v>
      </c>
      <c r="I440" s="23">
        <v>0</v>
      </c>
      <c r="J440" s="23">
        <v>0</v>
      </c>
      <c r="K440" s="23" t="s">
        <v>24</v>
      </c>
      <c r="L440" s="23" t="s">
        <v>597</v>
      </c>
      <c r="M440" s="23" t="s">
        <v>1851</v>
      </c>
      <c r="N440" s="24">
        <v>45818</v>
      </c>
      <c r="O440" s="28">
        <v>1.0416666666666666E-2</v>
      </c>
      <c r="P440" s="3">
        <v>45798</v>
      </c>
      <c r="Q440" s="62">
        <v>45803.606111111105</v>
      </c>
      <c r="R440" s="72">
        <v>45803.616527777769</v>
      </c>
      <c r="S440" s="25">
        <v>0.61597222222222225</v>
      </c>
      <c r="T440" s="63">
        <v>-5.0005555555471801</v>
      </c>
      <c r="U440" s="47">
        <f>IFERROR(INDEX(NOVO!O:O,MATCH(PRINT!E96,NOVO!C:C,0)),"")</f>
        <v>166303</v>
      </c>
    </row>
    <row r="441" spans="1:21" x14ac:dyDescent="0.35">
      <c r="A441" s="54">
        <v>0</v>
      </c>
      <c r="B441" s="23"/>
      <c r="C441" s="23">
        <v>1019890</v>
      </c>
      <c r="D441" s="23">
        <v>1</v>
      </c>
      <c r="E441" s="23">
        <v>1019892</v>
      </c>
      <c r="F441" s="23" t="s">
        <v>611</v>
      </c>
      <c r="G441" s="5">
        <v>15</v>
      </c>
      <c r="H441" s="23">
        <v>2</v>
      </c>
      <c r="I441" s="23">
        <v>0</v>
      </c>
      <c r="J441" s="23">
        <v>0</v>
      </c>
      <c r="K441" s="23" t="s">
        <v>24</v>
      </c>
      <c r="L441" s="23" t="s">
        <v>597</v>
      </c>
      <c r="M441" s="23" t="s">
        <v>1851</v>
      </c>
      <c r="N441" s="24">
        <v>45818</v>
      </c>
      <c r="O441" s="28">
        <v>1.0416666666666666E-2</v>
      </c>
      <c r="P441" s="3">
        <v>45798</v>
      </c>
      <c r="Q441" s="62">
        <v>45803.595694444441</v>
      </c>
      <c r="R441" s="72">
        <v>45803.606111111105</v>
      </c>
      <c r="S441" s="25">
        <v>0.60555555555555551</v>
      </c>
      <c r="T441" s="63">
        <v>-5.0005555555471801</v>
      </c>
      <c r="U441" s="47" t="str">
        <f>IFERROR(INDEX(NOVO!O:O,MATCH(PRINT!E95,NOVO!C:C,0)),"")</f>
        <v/>
      </c>
    </row>
    <row r="442" spans="1:21" x14ac:dyDescent="0.35">
      <c r="A442" s="54">
        <v>0</v>
      </c>
      <c r="B442" s="23"/>
      <c r="C442" s="23">
        <v>1019890</v>
      </c>
      <c r="D442" s="23">
        <v>1</v>
      </c>
      <c r="E442" s="23">
        <v>1019897</v>
      </c>
      <c r="F442" s="23" t="s">
        <v>1762</v>
      </c>
      <c r="G442" s="5">
        <v>15</v>
      </c>
      <c r="H442" s="23">
        <v>2</v>
      </c>
      <c r="I442" s="23">
        <v>0</v>
      </c>
      <c r="J442" s="23">
        <v>0</v>
      </c>
      <c r="K442" s="23" t="s">
        <v>24</v>
      </c>
      <c r="L442" s="23" t="s">
        <v>597</v>
      </c>
      <c r="M442" s="23" t="s">
        <v>1851</v>
      </c>
      <c r="N442" s="24">
        <v>45818</v>
      </c>
      <c r="O442" s="28">
        <v>1.0416666666666666E-2</v>
      </c>
      <c r="P442" s="3">
        <v>45798</v>
      </c>
      <c r="Q442" s="62">
        <v>45803.585277777776</v>
      </c>
      <c r="R442" s="72">
        <v>45803.595694444441</v>
      </c>
      <c r="S442" s="25">
        <v>0.59513888888888888</v>
      </c>
      <c r="T442" s="63">
        <v>-5.0005555555544561</v>
      </c>
      <c r="U442" s="47">
        <f>IFERROR(INDEX(NOVO!O:O,MATCH(PRINT!E94,NOVO!C:C,0)),"")</f>
        <v>166303</v>
      </c>
    </row>
    <row r="443" spans="1:21" x14ac:dyDescent="0.35">
      <c r="A443" s="54">
        <v>0</v>
      </c>
      <c r="B443" s="23"/>
      <c r="C443" s="23">
        <v>1019890</v>
      </c>
      <c r="D443" s="23">
        <v>1</v>
      </c>
      <c r="E443" s="23">
        <v>1019898</v>
      </c>
      <c r="F443" s="23" t="s">
        <v>1763</v>
      </c>
      <c r="G443" s="5">
        <v>15</v>
      </c>
      <c r="H443" s="23">
        <v>2</v>
      </c>
      <c r="I443" s="23">
        <v>0</v>
      </c>
      <c r="J443" s="23">
        <v>0</v>
      </c>
      <c r="K443" s="23" t="s">
        <v>24</v>
      </c>
      <c r="L443" s="23" t="s">
        <v>597</v>
      </c>
      <c r="M443" s="23" t="s">
        <v>1851</v>
      </c>
      <c r="N443" s="24">
        <v>45818</v>
      </c>
      <c r="O443" s="28">
        <v>1.0416666666666666E-2</v>
      </c>
      <c r="P443" s="3">
        <v>45798</v>
      </c>
      <c r="Q443" s="62">
        <v>45803.574861111112</v>
      </c>
      <c r="R443" s="72">
        <v>45803.585277777776</v>
      </c>
      <c r="S443" s="25">
        <v>0.58472222222222225</v>
      </c>
      <c r="T443" s="63">
        <v>-5.0005555555544561</v>
      </c>
      <c r="U443" s="47">
        <f>IFERROR(INDEX(NOVO!O:O,MATCH(PRINT!E93,NOVO!C:C,0)),"")</f>
        <v>151168</v>
      </c>
    </row>
    <row r="444" spans="1:21" x14ac:dyDescent="0.35">
      <c r="A444" s="54">
        <v>0</v>
      </c>
      <c r="B444" s="23"/>
      <c r="C444" s="23">
        <v>1019890</v>
      </c>
      <c r="D444" s="23">
        <v>1</v>
      </c>
      <c r="E444" s="23">
        <v>1019900</v>
      </c>
      <c r="F444" s="23" t="s">
        <v>1764</v>
      </c>
      <c r="G444" s="5">
        <v>15</v>
      </c>
      <c r="H444" s="23">
        <v>2</v>
      </c>
      <c r="I444" s="23">
        <v>0</v>
      </c>
      <c r="J444" s="23">
        <v>0</v>
      </c>
      <c r="K444" s="23" t="s">
        <v>24</v>
      </c>
      <c r="L444" s="23" t="s">
        <v>597</v>
      </c>
      <c r="M444" s="23" t="s">
        <v>1851</v>
      </c>
      <c r="N444" s="24">
        <v>45818</v>
      </c>
      <c r="O444" s="28">
        <v>1.0416666666666666E-2</v>
      </c>
      <c r="P444" s="3">
        <v>45798</v>
      </c>
      <c r="Q444" s="62">
        <v>45803.564444444448</v>
      </c>
      <c r="R444" s="72">
        <v>45803.574861111112</v>
      </c>
      <c r="S444" s="25">
        <v>0.57430555555555551</v>
      </c>
      <c r="T444" s="63">
        <v>-5.0005555555544561</v>
      </c>
      <c r="U444" s="47">
        <f>IFERROR(INDEX(NOVO!O:O,MATCH(PRINT!E92,NOVO!C:C,0)),"")</f>
        <v>151167</v>
      </c>
    </row>
    <row r="445" spans="1:21" x14ac:dyDescent="0.35">
      <c r="A445" s="54">
        <v>0</v>
      </c>
      <c r="B445" s="23"/>
      <c r="C445" s="23">
        <v>1019890</v>
      </c>
      <c r="D445" s="23">
        <v>1</v>
      </c>
      <c r="E445" s="23">
        <v>1019899</v>
      </c>
      <c r="F445" s="23" t="s">
        <v>1765</v>
      </c>
      <c r="G445" s="5">
        <v>13</v>
      </c>
      <c r="H445" s="23">
        <v>2</v>
      </c>
      <c r="I445" s="23">
        <v>0</v>
      </c>
      <c r="J445" s="23">
        <v>0</v>
      </c>
      <c r="K445" s="23" t="s">
        <v>24</v>
      </c>
      <c r="L445" s="23" t="s">
        <v>597</v>
      </c>
      <c r="M445" s="23" t="s">
        <v>1851</v>
      </c>
      <c r="N445" s="24">
        <v>45818</v>
      </c>
      <c r="O445" s="28">
        <v>9.0277777777777769E-3</v>
      </c>
      <c r="P445" s="3">
        <v>45798</v>
      </c>
      <c r="Q445" s="62">
        <v>45803.55541666667</v>
      </c>
      <c r="R445" s="72">
        <v>45803.564444444448</v>
      </c>
      <c r="S445" s="25">
        <v>0.56388888888888888</v>
      </c>
      <c r="T445" s="63">
        <v>-5.000555555561732</v>
      </c>
      <c r="U445" s="47">
        <f>IFERROR(INDEX(NOVO!O:O,MATCH(PRINT!E91,NOVO!C:C,0)),"")</f>
        <v>231551</v>
      </c>
    </row>
    <row r="446" spans="1:21" x14ac:dyDescent="0.35">
      <c r="A446" s="54">
        <v>0</v>
      </c>
      <c r="B446" s="23"/>
      <c r="C446" s="23">
        <v>1012609</v>
      </c>
      <c r="D446" s="23">
        <v>3</v>
      </c>
      <c r="E446" s="23">
        <v>1012627</v>
      </c>
      <c r="F446" s="23" t="s">
        <v>1850</v>
      </c>
      <c r="G446" s="5">
        <v>135</v>
      </c>
      <c r="H446" s="23">
        <v>3</v>
      </c>
      <c r="I446" s="23">
        <v>0</v>
      </c>
      <c r="J446" s="23">
        <v>0</v>
      </c>
      <c r="K446" s="23" t="s">
        <v>24</v>
      </c>
      <c r="L446" s="23" t="s">
        <v>597</v>
      </c>
      <c r="M446" s="23" t="s">
        <v>1849</v>
      </c>
      <c r="N446" s="24">
        <v>45811</v>
      </c>
      <c r="O446" s="28">
        <v>9.375E-2</v>
      </c>
      <c r="P446" s="3">
        <v>45797</v>
      </c>
      <c r="Q446" s="62">
        <v>45803.46166666667</v>
      </c>
      <c r="R446" s="72">
        <v>45803.55541666667</v>
      </c>
      <c r="S446" s="25">
        <v>0.55486111111111114</v>
      </c>
      <c r="T446" s="63">
        <v>-6.000555555561732</v>
      </c>
      <c r="U446" s="47">
        <f>IFERROR(INDEX(NOVO!O:O,MATCH(PRINT!E90,NOVO!C:C,0)),"")</f>
        <v>231552</v>
      </c>
    </row>
    <row r="447" spans="1:21" x14ac:dyDescent="0.35">
      <c r="A447" s="54">
        <v>0</v>
      </c>
      <c r="B447" s="23"/>
      <c r="C447" s="23">
        <v>1012609</v>
      </c>
      <c r="D447" s="23">
        <v>3</v>
      </c>
      <c r="E447" s="23">
        <v>1012626</v>
      </c>
      <c r="F447" s="23" t="s">
        <v>592</v>
      </c>
      <c r="G447" s="5">
        <v>34</v>
      </c>
      <c r="H447" s="23">
        <v>9</v>
      </c>
      <c r="I447" s="23">
        <v>0</v>
      </c>
      <c r="J447" s="23">
        <v>0</v>
      </c>
      <c r="K447" s="23" t="s">
        <v>24</v>
      </c>
      <c r="L447" s="23" t="s">
        <v>597</v>
      </c>
      <c r="M447" s="23" t="s">
        <v>1849</v>
      </c>
      <c r="N447" s="24">
        <v>45811</v>
      </c>
      <c r="O447" s="28">
        <v>2.4166666666666666E-2</v>
      </c>
      <c r="P447" s="3">
        <v>45797</v>
      </c>
      <c r="Q447" s="62">
        <v>45803.4375</v>
      </c>
      <c r="R447" s="72">
        <v>45803.46166666667</v>
      </c>
      <c r="S447" s="25">
        <v>0.46111111111111114</v>
      </c>
      <c r="T447" s="63">
        <v>-6.000555555561732</v>
      </c>
      <c r="U447" s="47">
        <f>IFERROR(INDEX(NOVO!O:O,MATCH(PRINT!E89,NOVO!C:C,0)),"")</f>
        <v>231559</v>
      </c>
    </row>
    <row r="448" spans="1:21" x14ac:dyDescent="0.35">
      <c r="A448" s="54"/>
      <c r="B448" s="23"/>
      <c r="C448" s="23"/>
      <c r="D448" s="23"/>
      <c r="E448" s="23"/>
      <c r="F448" s="23"/>
      <c r="G448" s="5"/>
      <c r="H448" s="23"/>
      <c r="I448" s="23"/>
      <c r="J448" s="23"/>
      <c r="K448" s="23"/>
      <c r="L448" s="23"/>
      <c r="M448" s="23"/>
      <c r="N448" s="24" t="s">
        <v>198</v>
      </c>
      <c r="O448" s="28">
        <v>2.0833333333333332E-2</v>
      </c>
      <c r="P448" s="3">
        <v>45797</v>
      </c>
      <c r="Q448" s="62">
        <v>45803.416666666664</v>
      </c>
      <c r="R448" s="72">
        <v>45803.4375</v>
      </c>
      <c r="S448" s="25">
        <v>0.4375</v>
      </c>
      <c r="T448" s="63">
        <v>-6</v>
      </c>
      <c r="U448" s="47">
        <f>IFERROR(INDEX(NOVO!O:O,MATCH(PRINT!E88,NOVO!C:C,0)),"")</f>
        <v>231560</v>
      </c>
    </row>
    <row r="449" spans="1:21" x14ac:dyDescent="0.35">
      <c r="A449" s="54">
        <v>0</v>
      </c>
      <c r="B449" s="23"/>
      <c r="C449" s="23">
        <v>1012609</v>
      </c>
      <c r="D449" s="23">
        <v>3</v>
      </c>
      <c r="E449" s="23">
        <v>1012626</v>
      </c>
      <c r="F449" s="23" t="s">
        <v>592</v>
      </c>
      <c r="G449" s="5">
        <v>235</v>
      </c>
      <c r="H449" s="23">
        <v>9</v>
      </c>
      <c r="I449" s="23">
        <v>0</v>
      </c>
      <c r="J449" s="23">
        <v>0</v>
      </c>
      <c r="K449" s="23" t="s">
        <v>24</v>
      </c>
      <c r="L449" s="23" t="s">
        <v>597</v>
      </c>
      <c r="M449" s="23" t="s">
        <v>1849</v>
      </c>
      <c r="N449" s="24">
        <v>45811</v>
      </c>
      <c r="O449" s="28">
        <v>0.16333333332295297</v>
      </c>
      <c r="P449" s="3">
        <v>45797</v>
      </c>
      <c r="Q449" s="62">
        <v>45803.253333333341</v>
      </c>
      <c r="R449" s="72">
        <v>45803.416666666664</v>
      </c>
      <c r="S449" s="25">
        <v>0.41666666666666669</v>
      </c>
      <c r="T449" s="63">
        <v>-6</v>
      </c>
      <c r="U449" s="47">
        <f>IFERROR(INDEX(NOVO!O:O,MATCH(PRINT!E87,NOVO!C:C,0)),"")</f>
        <v>215459</v>
      </c>
    </row>
    <row r="450" spans="1:21" x14ac:dyDescent="0.35">
      <c r="A450" s="54">
        <v>0</v>
      </c>
      <c r="B450" s="23"/>
      <c r="C450" s="23">
        <v>921690</v>
      </c>
      <c r="D450" s="23">
        <v>1</v>
      </c>
      <c r="E450" s="23">
        <v>921691</v>
      </c>
      <c r="F450" s="23" t="s">
        <v>1460</v>
      </c>
      <c r="G450" s="5">
        <v>10</v>
      </c>
      <c r="H450" s="23">
        <v>2</v>
      </c>
      <c r="I450" s="23">
        <v>0</v>
      </c>
      <c r="J450" s="23">
        <v>0</v>
      </c>
      <c r="K450" s="23" t="s">
        <v>24</v>
      </c>
      <c r="L450" s="23" t="s">
        <v>597</v>
      </c>
      <c r="M450" s="23" t="s">
        <v>1461</v>
      </c>
      <c r="N450" s="24">
        <v>45807</v>
      </c>
      <c r="O450" s="28">
        <v>6.9444444444444441E-3</v>
      </c>
      <c r="P450" s="3">
        <v>45797</v>
      </c>
      <c r="Q450" s="62">
        <v>45803.246388888896</v>
      </c>
      <c r="R450" s="72">
        <v>45803.253333333341</v>
      </c>
      <c r="S450" s="25">
        <v>0.25277777777777777</v>
      </c>
      <c r="T450" s="63">
        <v>-6.000555555561732</v>
      </c>
      <c r="U450" s="47">
        <f>IFERROR(INDEX(NOVO!O:O,MATCH(PRINT!E86,NOVO!C:C,0)),"")</f>
        <v>215460</v>
      </c>
    </row>
    <row r="451" spans="1:21" x14ac:dyDescent="0.35">
      <c r="A451" s="54">
        <v>0</v>
      </c>
      <c r="B451" s="23"/>
      <c r="C451" s="23">
        <v>921689</v>
      </c>
      <c r="D451" s="23">
        <v>1</v>
      </c>
      <c r="E451" s="23">
        <v>921691</v>
      </c>
      <c r="F451" s="23" t="s">
        <v>1460</v>
      </c>
      <c r="G451" s="5">
        <v>10</v>
      </c>
      <c r="H451" s="23">
        <v>2</v>
      </c>
      <c r="I451" s="23">
        <v>0</v>
      </c>
      <c r="J451" s="23">
        <v>0</v>
      </c>
      <c r="K451" s="23" t="s">
        <v>24</v>
      </c>
      <c r="L451" s="23" t="s">
        <v>597</v>
      </c>
      <c r="M451" s="23" t="s">
        <v>1461</v>
      </c>
      <c r="N451" s="24">
        <v>45807</v>
      </c>
      <c r="O451" s="28">
        <v>6.9444444444444441E-3</v>
      </c>
      <c r="P451" s="3">
        <v>45797</v>
      </c>
      <c r="Q451" s="62">
        <v>45803.239444444451</v>
      </c>
      <c r="R451" s="72">
        <v>45803.246388888896</v>
      </c>
      <c r="S451" s="25">
        <v>0.24583333333333332</v>
      </c>
      <c r="T451" s="63">
        <v>-6.000555555561732</v>
      </c>
      <c r="U451" s="47" t="str">
        <f>IFERROR(INDEX(NOVO!O:O,MATCH(PRINT!E85,NOVO!C:C,0)),"")</f>
        <v/>
      </c>
    </row>
    <row r="452" spans="1:21" x14ac:dyDescent="0.35">
      <c r="A452" s="54">
        <v>0</v>
      </c>
      <c r="B452" s="23"/>
      <c r="C452" s="23">
        <v>1025546</v>
      </c>
      <c r="D452" s="23">
        <v>1</v>
      </c>
      <c r="E452" s="23">
        <v>1025547</v>
      </c>
      <c r="F452" s="23" t="s">
        <v>1847</v>
      </c>
      <c r="G452" s="5">
        <v>10</v>
      </c>
      <c r="H452" s="23">
        <v>1</v>
      </c>
      <c r="I452" s="23">
        <v>0</v>
      </c>
      <c r="J452" s="23">
        <v>0</v>
      </c>
      <c r="K452" s="23" t="s">
        <v>24</v>
      </c>
      <c r="L452" s="23" t="s">
        <v>597</v>
      </c>
      <c r="M452" s="23" t="s">
        <v>1848</v>
      </c>
      <c r="N452" s="24">
        <v>45817</v>
      </c>
      <c r="O452" s="28">
        <v>6.9444444444444441E-3</v>
      </c>
      <c r="P452" s="3">
        <v>45796</v>
      </c>
      <c r="Q452" s="62">
        <v>45803.232500000006</v>
      </c>
      <c r="R452" s="72">
        <v>45803.239444444451</v>
      </c>
      <c r="S452" s="25">
        <v>0.2388888888888889</v>
      </c>
      <c r="T452" s="63">
        <v>-7.000555555561732</v>
      </c>
      <c r="U452" s="47">
        <f>IFERROR(INDEX(NOVO!O:O,MATCH(PRINT!E84,NOVO!C:C,0)),"")</f>
        <v>215460</v>
      </c>
    </row>
    <row r="453" spans="1:21" x14ac:dyDescent="0.35">
      <c r="A453" s="54">
        <v>0</v>
      </c>
      <c r="B453" s="23"/>
      <c r="C453" s="23">
        <v>1025526</v>
      </c>
      <c r="D453" s="23">
        <v>1</v>
      </c>
      <c r="E453" s="23">
        <v>1025528</v>
      </c>
      <c r="F453" s="23" t="s">
        <v>1813</v>
      </c>
      <c r="G453" s="5">
        <v>10</v>
      </c>
      <c r="H453" s="23">
        <v>1</v>
      </c>
      <c r="I453" s="23">
        <v>0</v>
      </c>
      <c r="J453" s="23">
        <v>0</v>
      </c>
      <c r="K453" s="23" t="s">
        <v>24</v>
      </c>
      <c r="L453" s="23" t="s">
        <v>597</v>
      </c>
      <c r="M453" s="23" t="s">
        <v>1846</v>
      </c>
      <c r="N453" s="24">
        <v>45817</v>
      </c>
      <c r="O453" s="28">
        <v>6.9444444444444441E-3</v>
      </c>
      <c r="P453" s="3">
        <v>45796</v>
      </c>
      <c r="Q453" s="62">
        <v>45803.22555555556</v>
      </c>
      <c r="R453" s="72">
        <v>45803.232500000006</v>
      </c>
      <c r="S453" s="25">
        <v>0.23194444444444445</v>
      </c>
      <c r="T453" s="63">
        <v>-7.000555555561732</v>
      </c>
      <c r="U453" s="47">
        <f>IFERROR(INDEX(NOVO!O:O,MATCH(PRINT!E83,NOVO!C:C,0)),"")</f>
        <v>215507</v>
      </c>
    </row>
    <row r="454" spans="1:21" x14ac:dyDescent="0.35">
      <c r="A454" s="54">
        <v>0</v>
      </c>
      <c r="B454" s="23"/>
      <c r="C454" s="23">
        <v>1025488</v>
      </c>
      <c r="D454" s="23">
        <v>1</v>
      </c>
      <c r="E454" s="23">
        <v>1025505</v>
      </c>
      <c r="F454" s="23" t="s">
        <v>1844</v>
      </c>
      <c r="G454" s="5">
        <v>120</v>
      </c>
      <c r="H454" s="23">
        <v>1</v>
      </c>
      <c r="I454" s="23">
        <v>0</v>
      </c>
      <c r="J454" s="23">
        <v>0</v>
      </c>
      <c r="K454" s="23" t="s">
        <v>24</v>
      </c>
      <c r="L454" s="23" t="s">
        <v>597</v>
      </c>
      <c r="M454" s="23" t="s">
        <v>1845</v>
      </c>
      <c r="N454" s="24">
        <v>45825</v>
      </c>
      <c r="O454" s="28">
        <v>8.3333333333333329E-2</v>
      </c>
      <c r="P454" s="3">
        <v>45796</v>
      </c>
      <c r="Q454" s="62">
        <v>45803.142222222225</v>
      </c>
      <c r="R454" s="72">
        <v>45803.22555555556</v>
      </c>
      <c r="S454" s="25">
        <v>0.22500000000000001</v>
      </c>
      <c r="T454" s="63">
        <v>-7.000555555561732</v>
      </c>
      <c r="U454" s="47">
        <f>IFERROR(INDEX(NOVO!O:O,MATCH(PRINT!E82,NOVO!C:C,0)),"")</f>
        <v>215460</v>
      </c>
    </row>
    <row r="455" spans="1:21" x14ac:dyDescent="0.35">
      <c r="A455" s="54">
        <v>30</v>
      </c>
      <c r="B455" s="23"/>
      <c r="C455" s="23">
        <v>1024792</v>
      </c>
      <c r="D455" s="23">
        <v>5</v>
      </c>
      <c r="E455" s="23">
        <v>1024788</v>
      </c>
      <c r="F455" s="23" t="s">
        <v>305</v>
      </c>
      <c r="G455" s="5">
        <v>50</v>
      </c>
      <c r="H455" s="23">
        <v>5</v>
      </c>
      <c r="I455" s="23">
        <v>3</v>
      </c>
      <c r="J455" s="23">
        <v>30</v>
      </c>
      <c r="K455" s="23" t="s">
        <v>24</v>
      </c>
      <c r="L455" s="23" t="s">
        <v>597</v>
      </c>
      <c r="M455" s="23" t="s">
        <v>1843</v>
      </c>
      <c r="N455" s="24">
        <v>45818</v>
      </c>
      <c r="O455" s="28">
        <v>3.4722222222222224E-2</v>
      </c>
      <c r="P455" s="3">
        <v>45796</v>
      </c>
      <c r="Q455" s="62">
        <v>45803.107500000006</v>
      </c>
      <c r="R455" s="72">
        <v>45803.142222222225</v>
      </c>
      <c r="S455" s="25">
        <v>0.14166666666666666</v>
      </c>
      <c r="T455" s="63">
        <v>-7.0005555555544561</v>
      </c>
      <c r="U455" s="47">
        <f>IFERROR(INDEX(NOVO!O:O,MATCH(PRINT!E81,NOVO!C:C,0)),"")</f>
        <v>215459</v>
      </c>
    </row>
    <row r="456" spans="1:21" x14ac:dyDescent="0.35">
      <c r="A456" s="54">
        <v>0</v>
      </c>
      <c r="B456" s="23"/>
      <c r="C456" s="23">
        <v>1024468</v>
      </c>
      <c r="D456" s="23">
        <v>3</v>
      </c>
      <c r="E456" s="23">
        <v>1024464</v>
      </c>
      <c r="F456" s="23" t="s">
        <v>305</v>
      </c>
      <c r="G456" s="5">
        <v>4</v>
      </c>
      <c r="H456" s="23">
        <v>3</v>
      </c>
      <c r="I456" s="23">
        <v>0</v>
      </c>
      <c r="J456" s="23">
        <v>0</v>
      </c>
      <c r="K456" s="23" t="s">
        <v>24</v>
      </c>
      <c r="L456" s="23" t="s">
        <v>597</v>
      </c>
      <c r="M456" s="23" t="s">
        <v>1842</v>
      </c>
      <c r="N456" s="24">
        <v>45807</v>
      </c>
      <c r="O456" s="28">
        <v>3.3333333333333335E-3</v>
      </c>
      <c r="P456" s="3">
        <v>45796</v>
      </c>
      <c r="Q456" s="62">
        <v>45803.104166666672</v>
      </c>
      <c r="R456" s="72">
        <v>45803.107500000006</v>
      </c>
      <c r="S456" s="25">
        <v>0.10694444444444444</v>
      </c>
      <c r="T456" s="63">
        <v>-7.000555555561732</v>
      </c>
      <c r="U456" s="47">
        <f>IFERROR(INDEX(NOVO!O:O,MATCH(PRINT!E80,NOVO!C:C,0)),"")</f>
        <v>215507</v>
      </c>
    </row>
    <row r="457" spans="1:21" x14ac:dyDescent="0.35">
      <c r="A457" s="54"/>
      <c r="B457" s="23"/>
      <c r="C457" s="23"/>
      <c r="D457" s="23"/>
      <c r="E457" s="23"/>
      <c r="F457" s="23"/>
      <c r="G457" s="5"/>
      <c r="H457" s="23"/>
      <c r="I457" s="23"/>
      <c r="J457" s="23"/>
      <c r="K457" s="23"/>
      <c r="L457" s="23"/>
      <c r="M457" s="23"/>
      <c r="N457" s="24" t="s">
        <v>198</v>
      </c>
      <c r="O457" s="28">
        <v>2.0833333333333332E-2</v>
      </c>
      <c r="P457" s="3">
        <v>45796</v>
      </c>
      <c r="Q457" s="62">
        <v>45803.083333333336</v>
      </c>
      <c r="R457" s="72">
        <v>45803.104166666672</v>
      </c>
      <c r="S457" s="25">
        <v>0.10416666666666667</v>
      </c>
      <c r="T457" s="63">
        <v>-7.000000000007276</v>
      </c>
      <c r="U457" s="47">
        <f>IFERROR(INDEX(NOVO!O:O,MATCH(PRINT!E79,NOVO!C:C,0)),"")</f>
        <v>215507</v>
      </c>
    </row>
    <row r="458" spans="1:21" x14ac:dyDescent="0.35">
      <c r="A458" s="54">
        <v>0</v>
      </c>
      <c r="B458" s="23"/>
      <c r="C458" s="23">
        <v>1024468</v>
      </c>
      <c r="D458" s="23">
        <v>3</v>
      </c>
      <c r="E458" s="23">
        <v>1024464</v>
      </c>
      <c r="F458" s="23" t="s">
        <v>305</v>
      </c>
      <c r="G458" s="5">
        <v>25</v>
      </c>
      <c r="H458" s="23">
        <v>3</v>
      </c>
      <c r="I458" s="23">
        <v>0</v>
      </c>
      <c r="J458" s="23">
        <v>0</v>
      </c>
      <c r="K458" s="23" t="s">
        <v>24</v>
      </c>
      <c r="L458" s="23" t="s">
        <v>597</v>
      </c>
      <c r="M458" s="23" t="s">
        <v>1842</v>
      </c>
      <c r="N458" s="24">
        <v>45807</v>
      </c>
      <c r="O458" s="28">
        <v>1.750000000174623E-2</v>
      </c>
      <c r="P458" s="3">
        <v>45796</v>
      </c>
      <c r="Q458" s="62">
        <v>45803.065833333334</v>
      </c>
      <c r="R458" s="72">
        <v>45803.083333333336</v>
      </c>
      <c r="S458" s="25">
        <v>8.3333333333333329E-2</v>
      </c>
      <c r="T458" s="63">
        <v>-7</v>
      </c>
      <c r="U458" s="47">
        <f>IFERROR(INDEX(NOVO!O:O,MATCH(PRINT!E78,NOVO!C:C,0)),"")</f>
        <v>215460</v>
      </c>
    </row>
    <row r="459" spans="1:21" x14ac:dyDescent="0.35">
      <c r="A459" s="54">
        <v>0</v>
      </c>
      <c r="B459" s="23"/>
      <c r="C459" s="23">
        <v>1019995</v>
      </c>
      <c r="D459" s="23">
        <v>1</v>
      </c>
      <c r="E459" s="23">
        <v>1020026</v>
      </c>
      <c r="F459" s="23" t="s">
        <v>179</v>
      </c>
      <c r="G459" s="5">
        <v>100</v>
      </c>
      <c r="H459" s="23">
        <v>4</v>
      </c>
      <c r="I459" s="23">
        <v>0</v>
      </c>
      <c r="J459" s="23">
        <v>0</v>
      </c>
      <c r="K459" s="23" t="s">
        <v>24</v>
      </c>
      <c r="L459" s="23" t="s">
        <v>597</v>
      </c>
      <c r="M459" s="23" t="s">
        <v>1841</v>
      </c>
      <c r="N459" s="24">
        <v>45838</v>
      </c>
      <c r="O459" s="28">
        <v>6.9444444444444448E-2</v>
      </c>
      <c r="P459" s="3">
        <v>45796</v>
      </c>
      <c r="Q459" s="62">
        <v>45802.996388888889</v>
      </c>
      <c r="R459" s="72">
        <v>45803.065833333334</v>
      </c>
      <c r="S459" s="25">
        <v>6.5277777777777782E-2</v>
      </c>
      <c r="T459" s="63">
        <v>-7.0005555555544561</v>
      </c>
      <c r="U459" s="47">
        <f>IFERROR(INDEX(NOVO!O:O,MATCH(PRINT!E77,NOVO!C:C,0)),"")</f>
        <v>215459</v>
      </c>
    </row>
    <row r="460" spans="1:21" x14ac:dyDescent="0.35">
      <c r="A460" s="54">
        <v>0</v>
      </c>
      <c r="B460" s="23"/>
      <c r="C460" s="23">
        <v>1019995</v>
      </c>
      <c r="D460" s="23">
        <v>1</v>
      </c>
      <c r="E460" s="23">
        <v>1020006</v>
      </c>
      <c r="F460" s="23" t="s">
        <v>1653</v>
      </c>
      <c r="G460" s="5">
        <v>80</v>
      </c>
      <c r="H460" s="23">
        <v>4</v>
      </c>
      <c r="I460" s="23">
        <v>0</v>
      </c>
      <c r="J460" s="23">
        <v>0</v>
      </c>
      <c r="K460" s="23" t="s">
        <v>24</v>
      </c>
      <c r="L460" s="23" t="s">
        <v>597</v>
      </c>
      <c r="M460" s="23" t="s">
        <v>1841</v>
      </c>
      <c r="N460" s="24">
        <v>45838</v>
      </c>
      <c r="O460" s="28">
        <v>5.5555555555555552E-2</v>
      </c>
      <c r="P460" s="3">
        <v>45796</v>
      </c>
      <c r="Q460" s="62">
        <v>45802.940833333334</v>
      </c>
      <c r="R460" s="72">
        <v>45802.996388888889</v>
      </c>
      <c r="S460" s="25">
        <v>0.99583333333333335</v>
      </c>
      <c r="T460" s="63">
        <v>-6.0005555555544561</v>
      </c>
      <c r="U460" s="47">
        <f>IFERROR(INDEX(NOVO!O:O,MATCH(PRINT!E76,NOVO!C:C,0)),"")</f>
        <v>215507</v>
      </c>
    </row>
    <row r="461" spans="1:21" x14ac:dyDescent="0.35">
      <c r="A461" s="54">
        <v>0</v>
      </c>
      <c r="B461" s="23"/>
      <c r="C461" s="23">
        <v>1019994</v>
      </c>
      <c r="D461" s="23">
        <v>1</v>
      </c>
      <c r="E461" s="23">
        <v>1020026</v>
      </c>
      <c r="F461" s="23" t="s">
        <v>179</v>
      </c>
      <c r="G461" s="5">
        <v>100</v>
      </c>
      <c r="H461" s="23">
        <v>4</v>
      </c>
      <c r="I461" s="23">
        <v>0</v>
      </c>
      <c r="J461" s="23">
        <v>0</v>
      </c>
      <c r="K461" s="23" t="s">
        <v>24</v>
      </c>
      <c r="L461" s="23" t="s">
        <v>597</v>
      </c>
      <c r="M461" s="23" t="s">
        <v>1841</v>
      </c>
      <c r="N461" s="24">
        <v>45838</v>
      </c>
      <c r="O461" s="28">
        <v>6.9444444444444448E-2</v>
      </c>
      <c r="P461" s="3">
        <v>45796</v>
      </c>
      <c r="Q461" s="62">
        <v>45802.871388888889</v>
      </c>
      <c r="R461" s="72">
        <v>45802.940833333334</v>
      </c>
      <c r="S461" s="25">
        <v>0.94027777777777777</v>
      </c>
      <c r="T461" s="63">
        <v>-6.0005555555544561</v>
      </c>
      <c r="U461" s="47">
        <f>IFERROR(INDEX(NOVO!O:O,MATCH(PRINT!E75,NOVO!C:C,0)),"")</f>
        <v>215459</v>
      </c>
    </row>
    <row r="462" spans="1:21" x14ac:dyDescent="0.35">
      <c r="A462" s="54">
        <v>0</v>
      </c>
      <c r="B462" s="23"/>
      <c r="C462" s="23">
        <v>1019994</v>
      </c>
      <c r="D462" s="23">
        <v>1</v>
      </c>
      <c r="E462" s="23">
        <v>1020006</v>
      </c>
      <c r="F462" s="23" t="s">
        <v>1653</v>
      </c>
      <c r="G462" s="5">
        <v>80</v>
      </c>
      <c r="H462" s="23">
        <v>4</v>
      </c>
      <c r="I462" s="23">
        <v>0</v>
      </c>
      <c r="J462" s="23">
        <v>0</v>
      </c>
      <c r="K462" s="23" t="s">
        <v>24</v>
      </c>
      <c r="L462" s="23" t="s">
        <v>597</v>
      </c>
      <c r="M462" s="23" t="s">
        <v>1841</v>
      </c>
      <c r="N462" s="24">
        <v>45838</v>
      </c>
      <c r="O462" s="28">
        <v>5.5555555555555552E-2</v>
      </c>
      <c r="P462" s="3">
        <v>45796</v>
      </c>
      <c r="Q462" s="62">
        <v>45802.815833333334</v>
      </c>
      <c r="R462" s="72">
        <v>45802.871388888889</v>
      </c>
      <c r="S462" s="25">
        <v>0.87083333333333335</v>
      </c>
      <c r="T462" s="63">
        <v>-6.0005555555544561</v>
      </c>
      <c r="U462" s="47">
        <f>IFERROR(INDEX(NOVO!O:O,MATCH(PRINT!E74,NOVO!C:C,0)),"")</f>
        <v>215460</v>
      </c>
    </row>
    <row r="463" spans="1:21" x14ac:dyDescent="0.35">
      <c r="A463" s="54">
        <v>0</v>
      </c>
      <c r="B463" s="23"/>
      <c r="C463" s="23">
        <v>1019993</v>
      </c>
      <c r="D463" s="23">
        <v>1</v>
      </c>
      <c r="E463" s="23">
        <v>1020006</v>
      </c>
      <c r="F463" s="23" t="s">
        <v>1653</v>
      </c>
      <c r="G463" s="5">
        <v>64</v>
      </c>
      <c r="H463" s="23">
        <v>4</v>
      </c>
      <c r="I463" s="23">
        <v>0</v>
      </c>
      <c r="J463" s="23">
        <v>0</v>
      </c>
      <c r="K463" s="23" t="s">
        <v>24</v>
      </c>
      <c r="L463" s="23" t="s">
        <v>597</v>
      </c>
      <c r="M463" s="23" t="s">
        <v>1841</v>
      </c>
      <c r="N463" s="24">
        <v>45838</v>
      </c>
      <c r="O463" s="28">
        <v>4.4999999999999998E-2</v>
      </c>
      <c r="P463" s="3">
        <v>45796</v>
      </c>
      <c r="Q463" s="62">
        <v>45802.770833333336</v>
      </c>
      <c r="R463" s="72">
        <v>45802.815833333334</v>
      </c>
      <c r="S463" s="25">
        <v>0.81527777777777777</v>
      </c>
      <c r="T463" s="63">
        <v>-6.0005555555544561</v>
      </c>
      <c r="U463" s="47">
        <f>IFERROR(INDEX(NOVO!O:O,MATCH(PRINT!E73,NOVO!C:C,0)),"")</f>
        <v>215459</v>
      </c>
    </row>
    <row r="464" spans="1:21" x14ac:dyDescent="0.35">
      <c r="A464" s="54"/>
      <c r="B464" s="23"/>
      <c r="C464" s="23"/>
      <c r="D464" s="23"/>
      <c r="E464" s="23"/>
      <c r="F464" s="23"/>
      <c r="G464" s="5"/>
      <c r="H464" s="23"/>
      <c r="I464" s="23"/>
      <c r="J464" s="23"/>
      <c r="K464" s="23"/>
      <c r="L464" s="23"/>
      <c r="M464" s="23"/>
      <c r="N464" s="24" t="s">
        <v>198</v>
      </c>
      <c r="O464" s="28">
        <v>2.0833333333333332E-2</v>
      </c>
      <c r="P464" s="3">
        <v>45796</v>
      </c>
      <c r="Q464" s="62">
        <v>45802.75</v>
      </c>
      <c r="R464" s="72">
        <v>45802.770833333336</v>
      </c>
      <c r="S464" s="25">
        <v>0.77083333333333337</v>
      </c>
      <c r="T464" s="63">
        <v>-6</v>
      </c>
      <c r="U464" s="47">
        <f>IFERROR(INDEX(NOVO!O:O,MATCH(PRINT!E72,NOVO!C:C,0)),"")</f>
        <v>215460</v>
      </c>
    </row>
    <row r="465" spans="1:21" x14ac:dyDescent="0.35">
      <c r="A465" s="54">
        <v>0</v>
      </c>
      <c r="B465" s="23"/>
      <c r="C465" s="23">
        <v>1019993</v>
      </c>
      <c r="D465" s="23">
        <v>1</v>
      </c>
      <c r="E465" s="23">
        <v>1020006</v>
      </c>
      <c r="F465" s="23" t="s">
        <v>1653</v>
      </c>
      <c r="G465" s="5">
        <v>15</v>
      </c>
      <c r="H465" s="23">
        <v>4</v>
      </c>
      <c r="I465" s="23">
        <v>0</v>
      </c>
      <c r="J465" s="23">
        <v>0</v>
      </c>
      <c r="K465" s="23" t="s">
        <v>24</v>
      </c>
      <c r="L465" s="23" t="s">
        <v>597</v>
      </c>
      <c r="M465" s="23" t="s">
        <v>1841</v>
      </c>
      <c r="N465" s="24">
        <v>45838</v>
      </c>
      <c r="O465" s="28">
        <v>1.0555555556493346E-2</v>
      </c>
      <c r="P465" s="3">
        <v>45796</v>
      </c>
      <c r="Q465" s="62">
        <v>45802.739444444444</v>
      </c>
      <c r="R465" s="72">
        <v>45802.75</v>
      </c>
      <c r="S465" s="25">
        <v>0.75</v>
      </c>
      <c r="T465" s="63">
        <v>-6</v>
      </c>
      <c r="U465" s="47">
        <f>IFERROR(INDEX(NOVO!O:O,MATCH(PRINT!E71,NOVO!C:C,0)),"")</f>
        <v>215507</v>
      </c>
    </row>
    <row r="466" spans="1:21" x14ac:dyDescent="0.35">
      <c r="A466" s="54">
        <v>0</v>
      </c>
      <c r="B466" s="23"/>
      <c r="C466" s="23">
        <v>1019993</v>
      </c>
      <c r="D466" s="23">
        <v>1</v>
      </c>
      <c r="E466" s="23">
        <v>1020026</v>
      </c>
      <c r="F466" s="23" t="s">
        <v>179</v>
      </c>
      <c r="G466" s="5">
        <v>100</v>
      </c>
      <c r="H466" s="23">
        <v>4</v>
      </c>
      <c r="I466" s="23">
        <v>0</v>
      </c>
      <c r="J466" s="23">
        <v>0</v>
      </c>
      <c r="K466" s="23" t="s">
        <v>24</v>
      </c>
      <c r="L466" s="23" t="s">
        <v>597</v>
      </c>
      <c r="M466" s="23" t="s">
        <v>1841</v>
      </c>
      <c r="N466" s="24">
        <v>45838</v>
      </c>
      <c r="O466" s="28">
        <v>6.9444444444444448E-2</v>
      </c>
      <c r="P466" s="3">
        <v>45796</v>
      </c>
      <c r="Q466" s="62">
        <v>45802.67</v>
      </c>
      <c r="R466" s="72">
        <v>45802.739444444444</v>
      </c>
      <c r="S466" s="25">
        <v>0.73888888888888893</v>
      </c>
      <c r="T466" s="63">
        <v>-6.0005555555544561</v>
      </c>
      <c r="U466" s="47">
        <f>IFERROR(INDEX(NOVO!O:O,MATCH(PRINT!E70,NOVO!C:C,0)),"")</f>
        <v>215507</v>
      </c>
    </row>
    <row r="467" spans="1:21" x14ac:dyDescent="0.35">
      <c r="A467" s="54">
        <v>0</v>
      </c>
      <c r="B467" s="23"/>
      <c r="C467" s="23">
        <v>1019992</v>
      </c>
      <c r="D467" s="23">
        <v>1</v>
      </c>
      <c r="E467" s="23">
        <v>1020006</v>
      </c>
      <c r="F467" s="23" t="s">
        <v>1653</v>
      </c>
      <c r="G467" s="5">
        <v>80</v>
      </c>
      <c r="H467" s="23">
        <v>4</v>
      </c>
      <c r="I467" s="23">
        <v>0</v>
      </c>
      <c r="J467" s="23">
        <v>0</v>
      </c>
      <c r="K467" s="23" t="s">
        <v>24</v>
      </c>
      <c r="L467" s="23" t="s">
        <v>597</v>
      </c>
      <c r="M467" s="23" t="s">
        <v>1841</v>
      </c>
      <c r="N467" s="24">
        <v>45838</v>
      </c>
      <c r="O467" s="28">
        <v>5.5555555555555552E-2</v>
      </c>
      <c r="P467" s="3">
        <v>45796</v>
      </c>
      <c r="Q467" s="62">
        <v>45802.614444444444</v>
      </c>
      <c r="R467" s="72">
        <v>45802.67</v>
      </c>
      <c r="S467" s="25">
        <v>0.6694444444444444</v>
      </c>
      <c r="T467" s="63">
        <v>-6.0005555555544561</v>
      </c>
      <c r="U467" s="47">
        <f>IFERROR(INDEX(NOVO!O:O,MATCH(PRINT!E69,NOVO!C:C,0)),"")</f>
        <v>215460</v>
      </c>
    </row>
    <row r="468" spans="1:21" x14ac:dyDescent="0.35">
      <c r="A468" s="54">
        <v>0</v>
      </c>
      <c r="B468" s="23"/>
      <c r="C468" s="23">
        <v>1019992</v>
      </c>
      <c r="D468" s="23">
        <v>1</v>
      </c>
      <c r="E468" s="23">
        <v>1020026</v>
      </c>
      <c r="F468" s="23" t="s">
        <v>179</v>
      </c>
      <c r="G468" s="5">
        <v>100</v>
      </c>
      <c r="H468" s="23">
        <v>4</v>
      </c>
      <c r="I468" s="23">
        <v>0</v>
      </c>
      <c r="J468" s="23">
        <v>0</v>
      </c>
      <c r="K468" s="23" t="s">
        <v>24</v>
      </c>
      <c r="L468" s="23" t="s">
        <v>597</v>
      </c>
      <c r="M468" s="23" t="s">
        <v>1841</v>
      </c>
      <c r="N468" s="24">
        <v>45838</v>
      </c>
      <c r="O468" s="28">
        <v>6.9444444444444448E-2</v>
      </c>
      <c r="P468" s="3">
        <v>45796</v>
      </c>
      <c r="Q468" s="62">
        <v>45802.544999999998</v>
      </c>
      <c r="R468" s="72">
        <v>45802.614444444444</v>
      </c>
      <c r="S468" s="25">
        <v>0.61388888888888893</v>
      </c>
      <c r="T468" s="63">
        <v>-6.0005555555544561</v>
      </c>
      <c r="U468" s="47">
        <f>IFERROR(INDEX(NOVO!O:O,MATCH(PRINT!E68,NOVO!C:C,0)),"")</f>
        <v>215459</v>
      </c>
    </row>
    <row r="469" spans="1:21" x14ac:dyDescent="0.35">
      <c r="A469" s="54">
        <v>0</v>
      </c>
      <c r="B469" s="23"/>
      <c r="C469" s="23">
        <v>1019925</v>
      </c>
      <c r="D469" s="23">
        <v>1</v>
      </c>
      <c r="E469" s="23">
        <v>1019932</v>
      </c>
      <c r="F469" s="23" t="s">
        <v>1757</v>
      </c>
      <c r="G469" s="5">
        <v>22</v>
      </c>
      <c r="H469" s="23">
        <v>3</v>
      </c>
      <c r="I469" s="23">
        <v>0</v>
      </c>
      <c r="J469" s="23">
        <v>0</v>
      </c>
      <c r="K469" s="23" t="s">
        <v>24</v>
      </c>
      <c r="L469" s="23" t="s">
        <v>597</v>
      </c>
      <c r="M469" s="23" t="s">
        <v>1840</v>
      </c>
      <c r="N469" s="24">
        <v>45820</v>
      </c>
      <c r="O469" s="28">
        <v>1.5625E-2</v>
      </c>
      <c r="P469" s="3">
        <v>45796</v>
      </c>
      <c r="Q469" s="62">
        <v>45802.529374999998</v>
      </c>
      <c r="R469" s="72">
        <v>45802.544999999998</v>
      </c>
      <c r="S469" s="25">
        <v>0.5444444444444444</v>
      </c>
      <c r="T469" s="63">
        <v>-6.0005555555544561</v>
      </c>
      <c r="U469" s="47">
        <f>IFERROR(INDEX(NOVO!O:O,MATCH(PRINT!E67,NOVO!C:C,0)),"")</f>
        <v>215347</v>
      </c>
    </row>
    <row r="470" spans="1:21" x14ac:dyDescent="0.35">
      <c r="A470" s="54">
        <v>0</v>
      </c>
      <c r="B470" s="23"/>
      <c r="C470" s="23">
        <v>1019925</v>
      </c>
      <c r="D470" s="23">
        <v>1</v>
      </c>
      <c r="E470" s="23">
        <v>1019946</v>
      </c>
      <c r="F470" s="23" t="s">
        <v>1839</v>
      </c>
      <c r="G470" s="5">
        <v>20</v>
      </c>
      <c r="H470" s="23">
        <v>6</v>
      </c>
      <c r="I470" s="23">
        <v>0</v>
      </c>
      <c r="J470" s="23">
        <v>0</v>
      </c>
      <c r="K470" s="23" t="s">
        <v>24</v>
      </c>
      <c r="L470" s="23" t="s">
        <v>597</v>
      </c>
      <c r="M470" s="23" t="s">
        <v>1840</v>
      </c>
      <c r="N470" s="24">
        <v>45820</v>
      </c>
      <c r="O470" s="28">
        <v>1.3888888888888888E-2</v>
      </c>
      <c r="P470" s="3">
        <v>45796</v>
      </c>
      <c r="Q470" s="62">
        <v>45802.515486111108</v>
      </c>
      <c r="R470" s="72">
        <v>45802.529374999998</v>
      </c>
      <c r="S470" s="25">
        <v>0.52916666666666667</v>
      </c>
      <c r="T470" s="63">
        <v>-6.000208333331102</v>
      </c>
      <c r="U470" s="47">
        <f>IFERROR(INDEX(NOVO!O:O,MATCH(PRINT!E66,NOVO!C:C,0)),"")</f>
        <v>202327</v>
      </c>
    </row>
    <row r="471" spans="1:21" x14ac:dyDescent="0.35">
      <c r="A471" s="54">
        <v>0</v>
      </c>
      <c r="B471" s="23"/>
      <c r="C471" s="23">
        <v>1019925</v>
      </c>
      <c r="D471" s="23">
        <v>1</v>
      </c>
      <c r="E471" s="23">
        <v>1019933</v>
      </c>
      <c r="F471" s="23" t="s">
        <v>1759</v>
      </c>
      <c r="G471" s="5">
        <v>25</v>
      </c>
      <c r="H471" s="23">
        <v>3</v>
      </c>
      <c r="I471" s="23">
        <v>0</v>
      </c>
      <c r="J471" s="23">
        <v>0</v>
      </c>
      <c r="K471" s="23" t="s">
        <v>24</v>
      </c>
      <c r="L471" s="23" t="s">
        <v>597</v>
      </c>
      <c r="M471" s="23" t="s">
        <v>1840</v>
      </c>
      <c r="N471" s="24">
        <v>45820</v>
      </c>
      <c r="O471" s="28">
        <v>1.7361111111111112E-2</v>
      </c>
      <c r="P471" s="3">
        <v>45796</v>
      </c>
      <c r="Q471" s="62">
        <v>45802.498124999998</v>
      </c>
      <c r="R471" s="72">
        <v>45802.515486111108</v>
      </c>
      <c r="S471" s="25">
        <v>0.51527777777777772</v>
      </c>
      <c r="T471" s="63">
        <v>-6.000208333331102</v>
      </c>
      <c r="U471" s="47" t="str">
        <f>IFERROR(INDEX(NOVO!O:O,MATCH(PRINT!E65,NOVO!C:C,0)),"")</f>
        <v/>
      </c>
    </row>
    <row r="472" spans="1:21" x14ac:dyDescent="0.35">
      <c r="A472" s="54">
        <v>0</v>
      </c>
      <c r="B472" s="23"/>
      <c r="C472" s="23">
        <v>1019925</v>
      </c>
      <c r="D472" s="23">
        <v>1</v>
      </c>
      <c r="E472" s="23">
        <v>1019926</v>
      </c>
      <c r="F472" s="23" t="s">
        <v>1758</v>
      </c>
      <c r="G472" s="5">
        <v>15</v>
      </c>
      <c r="H472" s="23">
        <v>3</v>
      </c>
      <c r="I472" s="23">
        <v>0</v>
      </c>
      <c r="J472" s="23">
        <v>0</v>
      </c>
      <c r="K472" s="23" t="s">
        <v>24</v>
      </c>
      <c r="L472" s="23" t="s">
        <v>597</v>
      </c>
      <c r="M472" s="23" t="s">
        <v>1840</v>
      </c>
      <c r="N472" s="24">
        <v>45820</v>
      </c>
      <c r="O472" s="28">
        <v>1.0416666666666666E-2</v>
      </c>
      <c r="P472" s="3">
        <v>45796</v>
      </c>
      <c r="Q472" s="62">
        <v>45802.487708333334</v>
      </c>
      <c r="R472" s="72">
        <v>45802.498124999998</v>
      </c>
      <c r="S472" s="25">
        <v>0.49791666666666667</v>
      </c>
      <c r="T472" s="63">
        <v>-6.000208333331102</v>
      </c>
      <c r="U472" s="47">
        <f>IFERROR(INDEX(NOVO!O:O,MATCH(PRINT!E64,NOVO!C:C,0)),"")</f>
        <v>202327</v>
      </c>
    </row>
    <row r="473" spans="1:21" x14ac:dyDescent="0.35">
      <c r="A473" s="54">
        <v>0</v>
      </c>
      <c r="B473" s="23"/>
      <c r="C473" s="23">
        <v>1019924</v>
      </c>
      <c r="D473" s="23">
        <v>1</v>
      </c>
      <c r="E473" s="23">
        <v>1019926</v>
      </c>
      <c r="F473" s="23" t="s">
        <v>1758</v>
      </c>
      <c r="G473" s="5">
        <v>15</v>
      </c>
      <c r="H473" s="23">
        <v>3</v>
      </c>
      <c r="I473" s="23">
        <v>0</v>
      </c>
      <c r="J473" s="23">
        <v>0</v>
      </c>
      <c r="K473" s="23" t="s">
        <v>24</v>
      </c>
      <c r="L473" s="23" t="s">
        <v>597</v>
      </c>
      <c r="M473" s="23" t="s">
        <v>1840</v>
      </c>
      <c r="N473" s="24">
        <v>45820</v>
      </c>
      <c r="O473" s="28">
        <v>1.0416666666666666E-2</v>
      </c>
      <c r="P473" s="3">
        <v>45796</v>
      </c>
      <c r="Q473" s="62">
        <v>45802.47729166667</v>
      </c>
      <c r="R473" s="72">
        <v>45802.487708333334</v>
      </c>
      <c r="S473" s="25">
        <v>0.48749999999999999</v>
      </c>
      <c r="T473" s="63">
        <v>-6.000208333331102</v>
      </c>
      <c r="U473" s="47">
        <f>IFERROR(INDEX(NOVO!O:O,MATCH(PRINT!E63,NOVO!C:C,0)),"")</f>
        <v>202321</v>
      </c>
    </row>
    <row r="474" spans="1:21" x14ac:dyDescent="0.35">
      <c r="A474" s="54">
        <v>0</v>
      </c>
      <c r="B474" s="23"/>
      <c r="C474" s="23">
        <v>1019924</v>
      </c>
      <c r="D474" s="23">
        <v>1</v>
      </c>
      <c r="E474" s="23">
        <v>1019932</v>
      </c>
      <c r="F474" s="23" t="s">
        <v>1757</v>
      </c>
      <c r="G474" s="5">
        <v>22</v>
      </c>
      <c r="H474" s="23">
        <v>3</v>
      </c>
      <c r="I474" s="23">
        <v>0</v>
      </c>
      <c r="J474" s="23">
        <v>0</v>
      </c>
      <c r="K474" s="23" t="s">
        <v>24</v>
      </c>
      <c r="L474" s="23" t="s">
        <v>597</v>
      </c>
      <c r="M474" s="23" t="s">
        <v>1840</v>
      </c>
      <c r="N474" s="24">
        <v>45820</v>
      </c>
      <c r="O474" s="28">
        <v>1.5625E-2</v>
      </c>
      <c r="P474" s="3">
        <v>45796</v>
      </c>
      <c r="Q474" s="62">
        <v>45802.46166666667</v>
      </c>
      <c r="R474" s="72">
        <v>45802.47729166667</v>
      </c>
      <c r="S474" s="25">
        <v>0.47708333333333336</v>
      </c>
      <c r="T474" s="63">
        <v>-6.000208333338378</v>
      </c>
      <c r="U474" s="47">
        <f>IFERROR(INDEX(NOVO!O:O,MATCH(PRINT!E62,NOVO!C:C,0)),"")</f>
        <v>202323</v>
      </c>
    </row>
    <row r="475" spans="1:21" x14ac:dyDescent="0.35">
      <c r="A475" s="54">
        <v>0</v>
      </c>
      <c r="B475" s="23"/>
      <c r="C475" s="23">
        <v>1019924</v>
      </c>
      <c r="D475" s="23">
        <v>1</v>
      </c>
      <c r="E475" s="23">
        <v>1019946</v>
      </c>
      <c r="F475" s="23" t="s">
        <v>1839</v>
      </c>
      <c r="G475" s="5">
        <v>20</v>
      </c>
      <c r="H475" s="23">
        <v>6</v>
      </c>
      <c r="I475" s="23">
        <v>0</v>
      </c>
      <c r="J475" s="23">
        <v>0</v>
      </c>
      <c r="K475" s="23" t="s">
        <v>24</v>
      </c>
      <c r="L475" s="23" t="s">
        <v>597</v>
      </c>
      <c r="M475" s="23" t="s">
        <v>1840</v>
      </c>
      <c r="N475" s="24">
        <v>45820</v>
      </c>
      <c r="O475" s="28">
        <v>1.3888888888888888E-2</v>
      </c>
      <c r="P475" s="3">
        <v>45796</v>
      </c>
      <c r="Q475" s="62">
        <v>45802.447777777779</v>
      </c>
      <c r="R475" s="72">
        <v>45802.46166666667</v>
      </c>
      <c r="S475" s="25">
        <v>0.46111111111111114</v>
      </c>
      <c r="T475" s="63">
        <v>-6.000555555561732</v>
      </c>
      <c r="U475" s="47" t="str">
        <f>IFERROR(INDEX(NOVO!O:O,MATCH(PRINT!E61,NOVO!C:C,0)),"")</f>
        <v/>
      </c>
    </row>
    <row r="476" spans="1:21" x14ac:dyDescent="0.35">
      <c r="A476" s="54">
        <v>0</v>
      </c>
      <c r="B476" s="23"/>
      <c r="C476" s="23">
        <v>1019924</v>
      </c>
      <c r="D476" s="23">
        <v>1</v>
      </c>
      <c r="E476" s="23">
        <v>1019933</v>
      </c>
      <c r="F476" s="23" t="s">
        <v>1759</v>
      </c>
      <c r="G476" s="5">
        <v>14</v>
      </c>
      <c r="H476" s="23">
        <v>3</v>
      </c>
      <c r="I476" s="23">
        <v>0</v>
      </c>
      <c r="J476" s="23">
        <v>0</v>
      </c>
      <c r="K476" s="23" t="s">
        <v>24</v>
      </c>
      <c r="L476" s="23" t="s">
        <v>597</v>
      </c>
      <c r="M476" s="23" t="s">
        <v>1840</v>
      </c>
      <c r="N476" s="24">
        <v>45820</v>
      </c>
      <c r="O476" s="28">
        <v>1.0277777777777778E-2</v>
      </c>
      <c r="P476" s="3">
        <v>45796</v>
      </c>
      <c r="Q476" s="62">
        <v>45802.4375</v>
      </c>
      <c r="R476" s="72">
        <v>45802.447777777779</v>
      </c>
      <c r="S476" s="25">
        <v>0.44722222222222224</v>
      </c>
      <c r="T476" s="63">
        <v>-6.0005555555544561</v>
      </c>
      <c r="U476" s="47">
        <f>IFERROR(INDEX(NOVO!O:O,MATCH(PRINT!E60,NOVO!C:C,0)),"")</f>
        <v>202323</v>
      </c>
    </row>
    <row r="477" spans="1:21" x14ac:dyDescent="0.35">
      <c r="A477" s="54"/>
      <c r="B477" s="23"/>
      <c r="C477" s="23"/>
      <c r="D477" s="23"/>
      <c r="E477" s="23"/>
      <c r="F477" s="23"/>
      <c r="G477" s="5"/>
      <c r="H477" s="23"/>
      <c r="I477" s="23"/>
      <c r="J477" s="23"/>
      <c r="K477" s="23"/>
      <c r="L477" s="23"/>
      <c r="M477" s="23"/>
      <c r="N477" s="24" t="s">
        <v>198</v>
      </c>
      <c r="O477" s="28">
        <v>2.0833333333333332E-2</v>
      </c>
      <c r="P477" s="3">
        <v>45796</v>
      </c>
      <c r="Q477" s="62">
        <v>45802.416666666664</v>
      </c>
      <c r="R477" s="72">
        <v>45802.4375</v>
      </c>
      <c r="S477" s="25">
        <v>0.4375</v>
      </c>
      <c r="T477" s="63">
        <v>-6</v>
      </c>
      <c r="U477" s="47">
        <f>IFERROR(INDEX(NOVO!O:O,MATCH(PRINT!E59,NOVO!C:C,0)),"")</f>
        <v>202330</v>
      </c>
    </row>
    <row r="478" spans="1:21" x14ac:dyDescent="0.35">
      <c r="A478" s="54">
        <v>0</v>
      </c>
      <c r="B478" s="23"/>
      <c r="C478" s="23">
        <v>1019924</v>
      </c>
      <c r="D478" s="23">
        <v>1</v>
      </c>
      <c r="E478" s="23">
        <v>1019933</v>
      </c>
      <c r="F478" s="23" t="s">
        <v>1759</v>
      </c>
      <c r="G478" s="5">
        <v>10</v>
      </c>
      <c r="H478" s="23">
        <v>3</v>
      </c>
      <c r="I478" s="23">
        <v>0</v>
      </c>
      <c r="J478" s="23">
        <v>0</v>
      </c>
      <c r="K478" s="23" t="s">
        <v>24</v>
      </c>
      <c r="L478" s="23" t="s">
        <v>597</v>
      </c>
      <c r="M478" s="23" t="s">
        <v>1840</v>
      </c>
      <c r="N478" s="24">
        <v>45820</v>
      </c>
      <c r="O478" s="28">
        <v>7.0833333229529671E-3</v>
      </c>
      <c r="P478" s="3">
        <v>45796</v>
      </c>
      <c r="Q478" s="62">
        <v>45802.409583333341</v>
      </c>
      <c r="R478" s="72">
        <v>45802.416666666664</v>
      </c>
      <c r="S478" s="25">
        <v>0.41666666666666669</v>
      </c>
      <c r="T478" s="63">
        <v>-6</v>
      </c>
      <c r="U478" s="47" t="str">
        <f>IFERROR(INDEX(NOVO!O:O,MATCH(PRINT!E58,NOVO!C:C,0)),"")</f>
        <v/>
      </c>
    </row>
    <row r="479" spans="1:21" x14ac:dyDescent="0.35">
      <c r="A479" s="54">
        <v>0</v>
      </c>
      <c r="B479" s="23"/>
      <c r="C479" s="23">
        <v>1019923</v>
      </c>
      <c r="D479" s="23">
        <v>1</v>
      </c>
      <c r="E479" s="23">
        <v>1019932</v>
      </c>
      <c r="F479" s="23" t="s">
        <v>1757</v>
      </c>
      <c r="G479" s="5">
        <v>22</v>
      </c>
      <c r="H479" s="23">
        <v>3</v>
      </c>
      <c r="I479" s="23">
        <v>0</v>
      </c>
      <c r="J479" s="23">
        <v>0</v>
      </c>
      <c r="K479" s="23" t="s">
        <v>24</v>
      </c>
      <c r="L479" s="23" t="s">
        <v>597</v>
      </c>
      <c r="M479" s="23" t="s">
        <v>1840</v>
      </c>
      <c r="N479" s="24">
        <v>45820</v>
      </c>
      <c r="O479" s="28">
        <v>1.5625E-2</v>
      </c>
      <c r="P479" s="3">
        <v>45796</v>
      </c>
      <c r="Q479" s="62">
        <v>45802.393958333341</v>
      </c>
      <c r="R479" s="72">
        <v>45802.409583333341</v>
      </c>
      <c r="S479" s="25">
        <v>0.40902777777777777</v>
      </c>
      <c r="T479" s="63">
        <v>-6.000555555561732</v>
      </c>
      <c r="U479" s="47">
        <f>IFERROR(INDEX(NOVO!O:O,MATCH(PRINT!E57,NOVO!C:C,0)),"")</f>
        <v>202330</v>
      </c>
    </row>
    <row r="480" spans="1:21" x14ac:dyDescent="0.35">
      <c r="A480" s="54">
        <v>0</v>
      </c>
      <c r="B480" s="23"/>
      <c r="C480" s="23">
        <v>1019923</v>
      </c>
      <c r="D480" s="23">
        <v>1</v>
      </c>
      <c r="E480" s="23">
        <v>1019933</v>
      </c>
      <c r="F480" s="23" t="s">
        <v>1759</v>
      </c>
      <c r="G480" s="5">
        <v>25</v>
      </c>
      <c r="H480" s="23">
        <v>3</v>
      </c>
      <c r="I480" s="23">
        <v>0</v>
      </c>
      <c r="J480" s="23">
        <v>0</v>
      </c>
      <c r="K480" s="23" t="s">
        <v>24</v>
      </c>
      <c r="L480" s="23" t="s">
        <v>597</v>
      </c>
      <c r="M480" s="23" t="s">
        <v>1840</v>
      </c>
      <c r="N480" s="24">
        <v>45820</v>
      </c>
      <c r="O480" s="28">
        <v>1.7361111111111112E-2</v>
      </c>
      <c r="P480" s="3">
        <v>45796</v>
      </c>
      <c r="Q480" s="62">
        <v>45802.376597222232</v>
      </c>
      <c r="R480" s="72">
        <v>45802.393958333341</v>
      </c>
      <c r="S480" s="25">
        <v>0.39374999999999999</v>
      </c>
      <c r="T480" s="63">
        <v>-6.000208333338378</v>
      </c>
      <c r="U480" s="47">
        <f>IFERROR(INDEX(NOVO!O:O,MATCH(PRINT!E56,NOVO!C:C,0)),"")</f>
        <v>225418</v>
      </c>
    </row>
    <row r="481" spans="1:21" x14ac:dyDescent="0.35">
      <c r="A481" s="54">
        <v>0</v>
      </c>
      <c r="B481" s="23"/>
      <c r="C481" s="23">
        <v>1019923</v>
      </c>
      <c r="D481" s="23">
        <v>1</v>
      </c>
      <c r="E481" s="23">
        <v>1019926</v>
      </c>
      <c r="F481" s="23" t="s">
        <v>1758</v>
      </c>
      <c r="G481" s="5">
        <v>15</v>
      </c>
      <c r="H481" s="23">
        <v>3</v>
      </c>
      <c r="I481" s="23">
        <v>0</v>
      </c>
      <c r="J481" s="23">
        <v>0</v>
      </c>
      <c r="K481" s="23" t="s">
        <v>24</v>
      </c>
      <c r="L481" s="23" t="s">
        <v>597</v>
      </c>
      <c r="M481" s="23" t="s">
        <v>1840</v>
      </c>
      <c r="N481" s="24">
        <v>45820</v>
      </c>
      <c r="O481" s="28">
        <v>1.0416666666666666E-2</v>
      </c>
      <c r="P481" s="3">
        <v>45796</v>
      </c>
      <c r="Q481" s="62">
        <v>45802.366180555568</v>
      </c>
      <c r="R481" s="72">
        <v>45802.376597222232</v>
      </c>
      <c r="S481" s="25">
        <v>0.37638888888888888</v>
      </c>
      <c r="T481" s="63">
        <v>-6.000208333345654</v>
      </c>
      <c r="U481" s="47" t="str">
        <f>IFERROR(INDEX(NOVO!O:O,MATCH(PRINT!E55,NOVO!C:C,0)),"")</f>
        <v/>
      </c>
    </row>
    <row r="482" spans="1:21" x14ac:dyDescent="0.35">
      <c r="A482" s="54">
        <v>0</v>
      </c>
      <c r="B482" s="23"/>
      <c r="C482" s="23">
        <v>1019923</v>
      </c>
      <c r="D482" s="23">
        <v>1</v>
      </c>
      <c r="E482" s="23">
        <v>1019946</v>
      </c>
      <c r="F482" s="23" t="s">
        <v>1839</v>
      </c>
      <c r="G482" s="5">
        <v>20</v>
      </c>
      <c r="H482" s="23">
        <v>6</v>
      </c>
      <c r="I482" s="23">
        <v>0</v>
      </c>
      <c r="J482" s="23">
        <v>0</v>
      </c>
      <c r="K482" s="23" t="s">
        <v>24</v>
      </c>
      <c r="L482" s="23" t="s">
        <v>597</v>
      </c>
      <c r="M482" s="23" t="s">
        <v>1840</v>
      </c>
      <c r="N482" s="24">
        <v>45820</v>
      </c>
      <c r="O482" s="28">
        <v>1.3888888888888888E-2</v>
      </c>
      <c r="P482" s="3">
        <v>45796</v>
      </c>
      <c r="Q482" s="62">
        <v>45802.352291666677</v>
      </c>
      <c r="R482" s="72">
        <v>45802.366180555568</v>
      </c>
      <c r="S482" s="25">
        <v>0.3659722222222222</v>
      </c>
      <c r="T482" s="63">
        <v>-6.000208333345654</v>
      </c>
      <c r="U482" s="47">
        <f>IFERROR(INDEX(NOVO!O:O,MATCH(PRINT!E54,NOVO!C:C,0)),"")</f>
        <v>225418</v>
      </c>
    </row>
    <row r="483" spans="1:21" x14ac:dyDescent="0.35">
      <c r="A483" s="54">
        <v>0</v>
      </c>
      <c r="B483" s="23"/>
      <c r="C483" s="23">
        <v>1017197</v>
      </c>
      <c r="D483" s="23">
        <v>10</v>
      </c>
      <c r="E483" s="23">
        <v>1017201</v>
      </c>
      <c r="F483" s="23" t="s">
        <v>225</v>
      </c>
      <c r="G483" s="5">
        <v>250</v>
      </c>
      <c r="H483" s="23">
        <v>10</v>
      </c>
      <c r="I483" s="23">
        <v>0</v>
      </c>
      <c r="J483" s="23">
        <v>0</v>
      </c>
      <c r="K483" s="23" t="s">
        <v>24</v>
      </c>
      <c r="L483" s="23" t="s">
        <v>597</v>
      </c>
      <c r="M483" s="23" t="s">
        <v>1838</v>
      </c>
      <c r="N483" s="24">
        <v>45828</v>
      </c>
      <c r="O483" s="28">
        <v>0.1736111111111111</v>
      </c>
      <c r="P483" s="3">
        <v>45796</v>
      </c>
      <c r="Q483" s="62">
        <v>45802.178680555568</v>
      </c>
      <c r="R483" s="72">
        <v>45802.352291666677</v>
      </c>
      <c r="S483" s="25">
        <v>0.35208333333333336</v>
      </c>
      <c r="T483" s="63">
        <v>-6.000208333345654</v>
      </c>
      <c r="U483" s="47">
        <f>IFERROR(INDEX(NOVO!O:O,MATCH(PRINT!E53,NOVO!C:C,0)),"")</f>
        <v>225419</v>
      </c>
    </row>
    <row r="484" spans="1:21" x14ac:dyDescent="0.35">
      <c r="A484" s="54">
        <v>0</v>
      </c>
      <c r="B484" s="23"/>
      <c r="C484" s="23">
        <v>1015827</v>
      </c>
      <c r="D484" s="23">
        <v>1</v>
      </c>
      <c r="E484" s="23">
        <v>1015847</v>
      </c>
      <c r="F484" s="23" t="s">
        <v>1836</v>
      </c>
      <c r="G484" s="5">
        <v>10</v>
      </c>
      <c r="H484" s="23">
        <v>1</v>
      </c>
      <c r="I484" s="23">
        <v>0</v>
      </c>
      <c r="J484" s="23">
        <v>0</v>
      </c>
      <c r="K484" s="23" t="s">
        <v>24</v>
      </c>
      <c r="L484" s="23" t="s">
        <v>597</v>
      </c>
      <c r="M484" s="23" t="s">
        <v>1837</v>
      </c>
      <c r="N484" s="24">
        <v>45813</v>
      </c>
      <c r="O484" s="28">
        <v>6.9444444444444441E-3</v>
      </c>
      <c r="P484" s="3">
        <v>45796</v>
      </c>
      <c r="Q484" s="62">
        <v>45802.171736111122</v>
      </c>
      <c r="R484" s="72">
        <v>45802.178680555568</v>
      </c>
      <c r="S484" s="25">
        <v>0.17847222222222223</v>
      </c>
      <c r="T484" s="63">
        <v>-6.000208333345654</v>
      </c>
      <c r="U484" s="47" t="str">
        <f>IFERROR(INDEX(NOVO!O:O,MATCH(PRINT!E52,NOVO!C:C,0)),"")</f>
        <v/>
      </c>
    </row>
    <row r="485" spans="1:21" x14ac:dyDescent="0.35">
      <c r="A485" s="54">
        <v>0</v>
      </c>
      <c r="B485" s="23"/>
      <c r="C485" s="23">
        <v>1015827</v>
      </c>
      <c r="D485" s="23">
        <v>1</v>
      </c>
      <c r="E485" s="23">
        <v>1015858</v>
      </c>
      <c r="F485" s="23" t="s">
        <v>242</v>
      </c>
      <c r="G485" s="5">
        <v>30</v>
      </c>
      <c r="H485" s="23">
        <v>1</v>
      </c>
      <c r="I485" s="23">
        <v>0</v>
      </c>
      <c r="J485" s="23">
        <v>0</v>
      </c>
      <c r="K485" s="23" t="s">
        <v>24</v>
      </c>
      <c r="L485" s="23" t="s">
        <v>597</v>
      </c>
      <c r="M485" s="23" t="s">
        <v>1837</v>
      </c>
      <c r="N485" s="24">
        <v>45813</v>
      </c>
      <c r="O485" s="28">
        <v>2.0833333333333332E-2</v>
      </c>
      <c r="P485" s="3">
        <v>45796</v>
      </c>
      <c r="Q485" s="62">
        <v>45802.150902777787</v>
      </c>
      <c r="R485" s="72">
        <v>45802.171736111122</v>
      </c>
      <c r="S485" s="25">
        <v>0.17152777777777778</v>
      </c>
      <c r="T485" s="63">
        <v>-6.000208333345654</v>
      </c>
      <c r="U485" s="47">
        <f>IFERROR(INDEX(NOVO!O:O,MATCH(PRINT!E51,NOVO!C:C,0)),"")</f>
        <v>225419</v>
      </c>
    </row>
    <row r="486" spans="1:21" x14ac:dyDescent="0.35">
      <c r="A486" s="54">
        <v>0</v>
      </c>
      <c r="B486" s="23"/>
      <c r="C486" s="23">
        <v>1015668</v>
      </c>
      <c r="D486" s="23">
        <v>1</v>
      </c>
      <c r="E486" s="23">
        <v>1015688</v>
      </c>
      <c r="F486" s="23" t="s">
        <v>1836</v>
      </c>
      <c r="G486" s="5">
        <v>10</v>
      </c>
      <c r="H486" s="23">
        <v>1</v>
      </c>
      <c r="I486" s="23">
        <v>0</v>
      </c>
      <c r="J486" s="23">
        <v>0</v>
      </c>
      <c r="K486" s="23" t="s">
        <v>24</v>
      </c>
      <c r="L486" s="23" t="s">
        <v>597</v>
      </c>
      <c r="M486" s="23" t="s">
        <v>1835</v>
      </c>
      <c r="N486" s="24">
        <v>45813</v>
      </c>
      <c r="O486" s="28">
        <v>6.9444444444444441E-3</v>
      </c>
      <c r="P486" s="3">
        <v>45796</v>
      </c>
      <c r="Q486" s="62">
        <v>45802.143958333341</v>
      </c>
      <c r="R486" s="72">
        <v>45802.150902777787</v>
      </c>
      <c r="S486" s="25">
        <v>0.15069444444444444</v>
      </c>
      <c r="T486" s="63">
        <v>-6.000208333345654</v>
      </c>
      <c r="U486" s="47">
        <f>IFERROR(INDEX(NOVO!O:O,MATCH(PRINT!E50,NOVO!C:C,0)),"")</f>
        <v>155692</v>
      </c>
    </row>
    <row r="487" spans="1:21" x14ac:dyDescent="0.35">
      <c r="A487" s="54">
        <v>0</v>
      </c>
      <c r="B487" s="23"/>
      <c r="C487" s="23">
        <v>1015668</v>
      </c>
      <c r="D487" s="23">
        <v>1</v>
      </c>
      <c r="E487" s="23">
        <v>1015699</v>
      </c>
      <c r="F487" s="23" t="s">
        <v>242</v>
      </c>
      <c r="G487" s="5">
        <v>30</v>
      </c>
      <c r="H487" s="23">
        <v>1</v>
      </c>
      <c r="I487" s="23">
        <v>0</v>
      </c>
      <c r="J487" s="23">
        <v>0</v>
      </c>
      <c r="K487" s="23" t="s">
        <v>24</v>
      </c>
      <c r="L487" s="23" t="s">
        <v>597</v>
      </c>
      <c r="M487" s="23" t="s">
        <v>1835</v>
      </c>
      <c r="N487" s="24">
        <v>45813</v>
      </c>
      <c r="O487" s="28">
        <v>2.0833333333333332E-2</v>
      </c>
      <c r="P487" s="3">
        <v>45796</v>
      </c>
      <c r="Q487" s="62">
        <v>45802.123125000006</v>
      </c>
      <c r="R487" s="72">
        <v>45802.143958333341</v>
      </c>
      <c r="S487" s="25">
        <v>0.14374999999999999</v>
      </c>
      <c r="T487" s="63">
        <v>-6.000208333338378</v>
      </c>
      <c r="U487" s="47">
        <f>IFERROR(INDEX(NOVO!O:O,MATCH(PRINT!E49,NOVO!C:C,0)),"")</f>
        <v>198435</v>
      </c>
    </row>
    <row r="488" spans="1:21" x14ac:dyDescent="0.35">
      <c r="A488" s="54">
        <v>0</v>
      </c>
      <c r="B488" s="23"/>
      <c r="C488" s="23">
        <v>1014435</v>
      </c>
      <c r="D488" s="23">
        <v>21</v>
      </c>
      <c r="E488" s="23">
        <v>1014438</v>
      </c>
      <c r="F488" s="23" t="s">
        <v>1587</v>
      </c>
      <c r="G488" s="5">
        <v>27</v>
      </c>
      <c r="H488" s="23">
        <v>21</v>
      </c>
      <c r="I488" s="23">
        <v>0</v>
      </c>
      <c r="J488" s="23">
        <v>0</v>
      </c>
      <c r="K488" s="23" t="s">
        <v>24</v>
      </c>
      <c r="L488" s="23" t="s">
        <v>597</v>
      </c>
      <c r="M488" s="23" t="s">
        <v>1834</v>
      </c>
      <c r="N488" s="24">
        <v>45828</v>
      </c>
      <c r="O488" s="28">
        <v>1.8958333333333334E-2</v>
      </c>
      <c r="P488" s="3">
        <v>45796</v>
      </c>
      <c r="Q488" s="62">
        <v>45802.104166666672</v>
      </c>
      <c r="R488" s="72">
        <v>45802.123125000006</v>
      </c>
      <c r="S488" s="25">
        <v>0.12291666666666666</v>
      </c>
      <c r="T488" s="63">
        <v>-6.000208333338378</v>
      </c>
      <c r="U488" s="47">
        <f>IFERROR(INDEX(NOVO!O:O,MATCH(PRINT!E48,NOVO!C:C,0)),"")</f>
        <v>198439</v>
      </c>
    </row>
    <row r="489" spans="1:21" x14ac:dyDescent="0.35">
      <c r="A489" s="54"/>
      <c r="B489" s="23"/>
      <c r="C489" s="23"/>
      <c r="D489" s="23"/>
      <c r="E489" s="23"/>
      <c r="F489" s="23"/>
      <c r="G489" s="5"/>
      <c r="H489" s="23"/>
      <c r="I489" s="23"/>
      <c r="J489" s="23"/>
      <c r="K489" s="23"/>
      <c r="L489" s="23"/>
      <c r="M489" s="23"/>
      <c r="N489" s="24" t="s">
        <v>198</v>
      </c>
      <c r="O489" s="28">
        <v>2.0833333333333332E-2</v>
      </c>
      <c r="P489" s="3">
        <v>45796</v>
      </c>
      <c r="Q489" s="62">
        <v>45802.083333333336</v>
      </c>
      <c r="R489" s="72">
        <v>45802.104166666672</v>
      </c>
      <c r="S489" s="25">
        <v>0.10416666666666667</v>
      </c>
      <c r="T489" s="63">
        <v>-6.000000000007276</v>
      </c>
      <c r="U489" s="47">
        <f>IFERROR(INDEX(NOVO!O:O,MATCH(PRINT!E47,NOVO!C:C,0)),"")</f>
        <v>198457</v>
      </c>
    </row>
    <row r="490" spans="1:21" x14ac:dyDescent="0.35">
      <c r="A490" s="54">
        <v>0</v>
      </c>
      <c r="B490" s="23"/>
      <c r="C490" s="23">
        <v>1014435</v>
      </c>
      <c r="D490" s="23">
        <v>21</v>
      </c>
      <c r="E490" s="23">
        <v>1014438</v>
      </c>
      <c r="F490" s="23" t="s">
        <v>1587</v>
      </c>
      <c r="G490" s="5">
        <v>392</v>
      </c>
      <c r="H490" s="23">
        <v>21</v>
      </c>
      <c r="I490" s="23">
        <v>0</v>
      </c>
      <c r="J490" s="23">
        <v>0</v>
      </c>
      <c r="K490" s="23" t="s">
        <v>24</v>
      </c>
      <c r="L490" s="23" t="s">
        <v>597</v>
      </c>
      <c r="M490" s="23" t="s">
        <v>1834</v>
      </c>
      <c r="N490" s="24">
        <v>45828</v>
      </c>
      <c r="O490" s="28">
        <v>0.27270833333022892</v>
      </c>
      <c r="P490" s="3">
        <v>45796</v>
      </c>
      <c r="Q490" s="62">
        <v>45801.810625000006</v>
      </c>
      <c r="R490" s="72">
        <v>45802.083333333336</v>
      </c>
      <c r="S490" s="25">
        <v>8.3333333333333329E-2</v>
      </c>
      <c r="T490" s="63">
        <v>-6</v>
      </c>
      <c r="U490" s="47">
        <f>IFERROR(INDEX(NOVO!O:O,MATCH(PRINT!E46,NOVO!C:C,0)),"")</f>
        <v>198444</v>
      </c>
    </row>
    <row r="491" spans="1:21" x14ac:dyDescent="0.35">
      <c r="A491" s="54">
        <v>0</v>
      </c>
      <c r="B491" s="23"/>
      <c r="C491" s="23">
        <v>1014435</v>
      </c>
      <c r="D491" s="23">
        <v>21</v>
      </c>
      <c r="E491" s="23">
        <v>1014437</v>
      </c>
      <c r="F491" s="23" t="s">
        <v>1456</v>
      </c>
      <c r="G491" s="5">
        <v>57</v>
      </c>
      <c r="H491" s="23">
        <v>21</v>
      </c>
      <c r="I491" s="23">
        <v>0</v>
      </c>
      <c r="J491" s="23">
        <v>0</v>
      </c>
      <c r="K491" s="23" t="s">
        <v>24</v>
      </c>
      <c r="L491" s="23" t="s">
        <v>597</v>
      </c>
      <c r="M491" s="23" t="s">
        <v>1834</v>
      </c>
      <c r="N491" s="24">
        <v>45828</v>
      </c>
      <c r="O491" s="28">
        <v>3.979166666666667E-2</v>
      </c>
      <c r="P491" s="3">
        <v>45796</v>
      </c>
      <c r="Q491" s="62">
        <v>45801.770833333336</v>
      </c>
      <c r="R491" s="72">
        <v>45801.810625000006</v>
      </c>
      <c r="S491" s="25">
        <v>0.81041666666666667</v>
      </c>
      <c r="T491" s="63">
        <v>-5.000208333338378</v>
      </c>
      <c r="U491" s="47">
        <f>IFERROR(INDEX(NOVO!O:O,MATCH(PRINT!E45,NOVO!C:C,0)),"")</f>
        <v>198453</v>
      </c>
    </row>
    <row r="492" spans="1:21" x14ac:dyDescent="0.35">
      <c r="A492" s="54"/>
      <c r="B492" s="23"/>
      <c r="C492" s="23"/>
      <c r="D492" s="23"/>
      <c r="E492" s="23"/>
      <c r="F492" s="23"/>
      <c r="G492" s="5"/>
      <c r="H492" s="23"/>
      <c r="I492" s="23"/>
      <c r="J492" s="23"/>
      <c r="K492" s="23"/>
      <c r="L492" s="23"/>
      <c r="M492" s="23"/>
      <c r="N492" s="24" t="s">
        <v>198</v>
      </c>
      <c r="O492" s="28">
        <v>2.0833333333333332E-2</v>
      </c>
      <c r="P492" s="3">
        <v>45796</v>
      </c>
      <c r="Q492" s="62">
        <v>45801.75</v>
      </c>
      <c r="R492" s="72">
        <v>45801.770833333336</v>
      </c>
      <c r="S492" s="25">
        <v>0.77083333333333337</v>
      </c>
      <c r="T492" s="63">
        <v>-5</v>
      </c>
      <c r="U492" s="47">
        <f>IFERROR(INDEX(NOVO!O:O,MATCH(PRINT!E44,NOVO!C:C,0)),"")</f>
        <v>198458</v>
      </c>
    </row>
    <row r="493" spans="1:21" x14ac:dyDescent="0.35">
      <c r="A493" s="54">
        <v>0</v>
      </c>
      <c r="B493" s="23"/>
      <c r="C493" s="23">
        <v>1014435</v>
      </c>
      <c r="D493" s="23">
        <v>21</v>
      </c>
      <c r="E493" s="23">
        <v>1014437</v>
      </c>
      <c r="F493" s="23" t="s">
        <v>1456</v>
      </c>
      <c r="G493" s="5">
        <v>450</v>
      </c>
      <c r="H493" s="23">
        <v>21</v>
      </c>
      <c r="I493" s="23">
        <v>0</v>
      </c>
      <c r="J493" s="23">
        <v>0</v>
      </c>
      <c r="K493" s="23" t="s">
        <v>24</v>
      </c>
      <c r="L493" s="23" t="s">
        <v>597</v>
      </c>
      <c r="M493" s="23" t="s">
        <v>1834</v>
      </c>
      <c r="N493" s="24">
        <v>45828</v>
      </c>
      <c r="O493" s="28">
        <v>0.3125</v>
      </c>
      <c r="P493" s="3">
        <v>45796</v>
      </c>
      <c r="Q493" s="62">
        <v>45801.4375</v>
      </c>
      <c r="R493" s="72">
        <v>45801.75</v>
      </c>
      <c r="S493" s="25">
        <v>0.75</v>
      </c>
      <c r="T493" s="63">
        <v>-5</v>
      </c>
      <c r="U493" s="47">
        <f>IFERROR(INDEX(NOVO!O:O,MATCH(PRINT!E43,NOVO!C:C,0)),"")</f>
        <v>138053</v>
      </c>
    </row>
    <row r="494" spans="1:21" x14ac:dyDescent="0.35">
      <c r="A494" s="54"/>
      <c r="B494" s="23"/>
      <c r="C494" s="23"/>
      <c r="D494" s="23"/>
      <c r="E494" s="23"/>
      <c r="F494" s="23"/>
      <c r="G494" s="5"/>
      <c r="H494" s="23"/>
      <c r="I494" s="23"/>
      <c r="J494" s="23"/>
      <c r="K494" s="23"/>
      <c r="L494" s="23"/>
      <c r="M494" s="23"/>
      <c r="N494" s="24" t="s">
        <v>198</v>
      </c>
      <c r="O494" s="28">
        <v>2.0833333333333332E-2</v>
      </c>
      <c r="P494" s="3">
        <v>45796</v>
      </c>
      <c r="Q494" s="62">
        <v>45801.416666666664</v>
      </c>
      <c r="R494" s="72">
        <v>45801.4375</v>
      </c>
      <c r="S494" s="25">
        <v>0.4375</v>
      </c>
      <c r="T494" s="63">
        <v>-5</v>
      </c>
      <c r="U494" s="47" t="str">
        <f>IFERROR(INDEX(NOVO!O:O,MATCH(PRINT!E42,NOVO!C:C,0)),"")</f>
        <v/>
      </c>
    </row>
    <row r="495" spans="1:21" x14ac:dyDescent="0.35">
      <c r="A495" s="54">
        <v>0</v>
      </c>
      <c r="B495" s="23"/>
      <c r="C495" s="23">
        <v>1014435</v>
      </c>
      <c r="D495" s="23">
        <v>21</v>
      </c>
      <c r="E495" s="23">
        <v>1014437</v>
      </c>
      <c r="F495" s="23" t="s">
        <v>1456</v>
      </c>
      <c r="G495" s="5">
        <v>450</v>
      </c>
      <c r="H495" s="23">
        <v>21</v>
      </c>
      <c r="I495" s="23">
        <v>0</v>
      </c>
      <c r="J495" s="23">
        <v>0</v>
      </c>
      <c r="K495" s="23" t="s">
        <v>24</v>
      </c>
      <c r="L495" s="23" t="s">
        <v>597</v>
      </c>
      <c r="M495" s="23" t="s">
        <v>1834</v>
      </c>
      <c r="N495" s="24">
        <v>45828</v>
      </c>
      <c r="O495" s="28">
        <v>0.31249999999272404</v>
      </c>
      <c r="P495" s="3">
        <v>45796</v>
      </c>
      <c r="Q495" s="62">
        <v>45801.104166666672</v>
      </c>
      <c r="R495" s="72">
        <v>45801.416666666664</v>
      </c>
      <c r="S495" s="25">
        <v>0.41666666666666669</v>
      </c>
      <c r="T495" s="63">
        <v>-5</v>
      </c>
      <c r="U495" s="47">
        <f>IFERROR(INDEX(NOVO!O:O,MATCH(PRINT!E41,NOVO!C:C,0)),"")</f>
        <v>138053</v>
      </c>
    </row>
    <row r="496" spans="1:21" x14ac:dyDescent="0.35">
      <c r="A496" s="54"/>
      <c r="B496" s="23"/>
      <c r="C496" s="23"/>
      <c r="D496" s="23"/>
      <c r="E496" s="23"/>
      <c r="F496" s="23"/>
      <c r="G496" s="5"/>
      <c r="H496" s="23"/>
      <c r="I496" s="23"/>
      <c r="J496" s="23"/>
      <c r="K496" s="23"/>
      <c r="L496" s="23"/>
      <c r="M496" s="23"/>
      <c r="N496" s="24" t="s">
        <v>198</v>
      </c>
      <c r="O496" s="28">
        <v>2.0833333333333332E-2</v>
      </c>
      <c r="P496" s="3">
        <v>45796</v>
      </c>
      <c r="Q496" s="62">
        <v>45801.083333333336</v>
      </c>
      <c r="R496" s="72">
        <v>45801.104166666672</v>
      </c>
      <c r="S496" s="25">
        <v>0.10416666666666667</v>
      </c>
      <c r="T496" s="63">
        <v>-5.000000000007276</v>
      </c>
      <c r="U496" s="47">
        <f>IFERROR(INDEX(NOVO!O:O,MATCH(PRINT!E40,NOVO!C:C,0)),"")</f>
        <v>122098</v>
      </c>
    </row>
    <row r="497" spans="1:21" x14ac:dyDescent="0.35">
      <c r="A497" s="54">
        <v>0</v>
      </c>
      <c r="B497" s="23"/>
      <c r="C497" s="23">
        <v>1014435</v>
      </c>
      <c r="D497" s="23">
        <v>21</v>
      </c>
      <c r="E497" s="23">
        <v>1014437</v>
      </c>
      <c r="F497" s="23" t="s">
        <v>1456</v>
      </c>
      <c r="G497" s="5">
        <v>302</v>
      </c>
      <c r="H497" s="23">
        <v>21</v>
      </c>
      <c r="I497" s="23">
        <v>0</v>
      </c>
      <c r="J497" s="23">
        <v>0</v>
      </c>
      <c r="K497" s="23" t="s">
        <v>24</v>
      </c>
      <c r="L497" s="23" t="s">
        <v>597</v>
      </c>
      <c r="M497" s="23" t="s">
        <v>1834</v>
      </c>
      <c r="N497" s="24">
        <v>45828</v>
      </c>
      <c r="O497" s="28">
        <v>0.21020833333022892</v>
      </c>
      <c r="P497" s="3">
        <v>45796</v>
      </c>
      <c r="Q497" s="62">
        <v>45800.873125000006</v>
      </c>
      <c r="R497" s="72">
        <v>45801.083333333336</v>
      </c>
      <c r="S497" s="25">
        <v>8.3333333333333329E-2</v>
      </c>
      <c r="T497" s="63">
        <v>-5</v>
      </c>
      <c r="U497" s="47">
        <f>IFERROR(INDEX(NOVO!O:O,MATCH(PRINT!E39,NOVO!C:C,0)),"")</f>
        <v>122099</v>
      </c>
    </row>
    <row r="498" spans="1:21" x14ac:dyDescent="0.35">
      <c r="A498" s="54">
        <v>0</v>
      </c>
      <c r="B498" s="23"/>
      <c r="C498" s="23">
        <v>1012372</v>
      </c>
      <c r="D498" s="23">
        <v>1</v>
      </c>
      <c r="E498" s="23">
        <v>1012443</v>
      </c>
      <c r="F498" s="23" t="s">
        <v>1832</v>
      </c>
      <c r="G498" s="5">
        <v>7</v>
      </c>
      <c r="H498" s="23">
        <v>1</v>
      </c>
      <c r="I498" s="23">
        <v>0</v>
      </c>
      <c r="J498" s="23">
        <v>0</v>
      </c>
      <c r="K498" s="23" t="s">
        <v>24</v>
      </c>
      <c r="L498" s="23" t="s">
        <v>597</v>
      </c>
      <c r="M498" s="23" t="s">
        <v>1833</v>
      </c>
      <c r="N498" s="24">
        <v>45818</v>
      </c>
      <c r="O498" s="28">
        <v>4.8611111111111112E-3</v>
      </c>
      <c r="P498" s="3">
        <v>45796</v>
      </c>
      <c r="Q498" s="62">
        <v>45800.868263888893</v>
      </c>
      <c r="R498" s="72">
        <v>45800.873125000006</v>
      </c>
      <c r="S498" s="25">
        <v>0.87291666666666667</v>
      </c>
      <c r="T498" s="63">
        <v>-4.000208333338378</v>
      </c>
      <c r="U498" s="47" t="str">
        <f>IFERROR(INDEX(NOVO!O:O,MATCH(PRINT!E38,NOVO!C:C,0)),"")</f>
        <v/>
      </c>
    </row>
    <row r="499" spans="1:21" x14ac:dyDescent="0.35">
      <c r="A499" s="54">
        <v>0</v>
      </c>
      <c r="B499" s="23"/>
      <c r="C499" s="23">
        <v>1027803</v>
      </c>
      <c r="D499" s="23">
        <v>1</v>
      </c>
      <c r="E499" s="23">
        <v>1027804</v>
      </c>
      <c r="F499" s="23" t="s">
        <v>1830</v>
      </c>
      <c r="G499" s="5">
        <v>140</v>
      </c>
      <c r="H499" s="23">
        <v>1</v>
      </c>
      <c r="I499" s="23">
        <v>0</v>
      </c>
      <c r="J499" s="23">
        <v>0</v>
      </c>
      <c r="K499" s="23" t="s">
        <v>24</v>
      </c>
      <c r="L499" s="23" t="s">
        <v>597</v>
      </c>
      <c r="M499" s="23" t="s">
        <v>1831</v>
      </c>
      <c r="N499" s="24">
        <v>45803</v>
      </c>
      <c r="O499" s="28">
        <v>9.7430555555555562E-2</v>
      </c>
      <c r="P499" s="3">
        <v>45792</v>
      </c>
      <c r="Q499" s="62">
        <v>45800.770833333336</v>
      </c>
      <c r="R499" s="72">
        <v>45800.868263888893</v>
      </c>
      <c r="S499" s="25">
        <v>0.86805555555555558</v>
      </c>
      <c r="T499" s="63">
        <v>-8.000208333338378</v>
      </c>
      <c r="U499" s="47">
        <f>IFERROR(INDEX(NOVO!O:O,MATCH(PRINT!E37,NOVO!C:C,0)),"")</f>
        <v>122099</v>
      </c>
    </row>
    <row r="500" spans="1:21" x14ac:dyDescent="0.35">
      <c r="A500" s="54"/>
      <c r="B500" s="23"/>
      <c r="C500" s="23"/>
      <c r="D500" s="23"/>
      <c r="E500" s="23"/>
      <c r="F500" s="23"/>
      <c r="G500" s="5"/>
      <c r="H500" s="23"/>
      <c r="I500" s="23"/>
      <c r="J500" s="23"/>
      <c r="K500" s="23"/>
      <c r="L500" s="23"/>
      <c r="M500" s="23"/>
      <c r="N500" s="24" t="s">
        <v>198</v>
      </c>
      <c r="O500" s="28">
        <v>2.0833333333333332E-2</v>
      </c>
      <c r="P500" s="3">
        <v>45792</v>
      </c>
      <c r="Q500" s="62">
        <v>45800.75</v>
      </c>
      <c r="R500" s="72">
        <v>45800.770833333336</v>
      </c>
      <c r="S500" s="25">
        <v>0.77083333333333337</v>
      </c>
      <c r="T500" s="63">
        <v>-8</v>
      </c>
      <c r="U500" s="47">
        <f>IFERROR(INDEX(NOVO!O:O,MATCH(PRINT!E36,NOVO!C:C,0)),"")</f>
        <v>206091</v>
      </c>
    </row>
    <row r="501" spans="1:21" x14ac:dyDescent="0.35">
      <c r="A501" s="54">
        <v>0</v>
      </c>
      <c r="B501" s="23"/>
      <c r="C501" s="23">
        <v>1027803</v>
      </c>
      <c r="D501" s="23">
        <v>1</v>
      </c>
      <c r="E501" s="23">
        <v>1027804</v>
      </c>
      <c r="F501" s="23" t="s">
        <v>1830</v>
      </c>
      <c r="G501" s="5">
        <v>39</v>
      </c>
      <c r="H501" s="23">
        <v>1</v>
      </c>
      <c r="I501" s="23">
        <v>0</v>
      </c>
      <c r="J501" s="23">
        <v>0</v>
      </c>
      <c r="K501" s="23" t="s">
        <v>24</v>
      </c>
      <c r="L501" s="23" t="s">
        <v>597</v>
      </c>
      <c r="M501" s="23" t="s">
        <v>1831</v>
      </c>
      <c r="N501" s="24">
        <v>45803</v>
      </c>
      <c r="O501" s="28">
        <v>2.7569444442633539E-2</v>
      </c>
      <c r="P501" s="3">
        <v>45792</v>
      </c>
      <c r="Q501" s="62">
        <v>45800.722430555557</v>
      </c>
      <c r="R501" s="72">
        <v>45800.75</v>
      </c>
      <c r="S501" s="25">
        <v>0.75</v>
      </c>
      <c r="T501" s="63">
        <v>-8</v>
      </c>
      <c r="U501" s="47">
        <f>IFERROR(INDEX(NOVO!O:O,MATCH(PRINT!E35,NOVO!C:C,0)),"")</f>
        <v>233004</v>
      </c>
    </row>
    <row r="502" spans="1:21" x14ac:dyDescent="0.35">
      <c r="A502" s="54">
        <v>100</v>
      </c>
      <c r="B502" s="23"/>
      <c r="C502" s="23">
        <v>1012916</v>
      </c>
      <c r="D502" s="23">
        <v>10</v>
      </c>
      <c r="E502" s="23">
        <v>1012924</v>
      </c>
      <c r="F502" s="23" t="s">
        <v>1308</v>
      </c>
      <c r="G502" s="5">
        <v>100</v>
      </c>
      <c r="H502" s="23">
        <v>10</v>
      </c>
      <c r="I502" s="23">
        <v>0</v>
      </c>
      <c r="J502" s="23">
        <v>100</v>
      </c>
      <c r="K502" s="23" t="s">
        <v>24</v>
      </c>
      <c r="L502" s="23" t="s">
        <v>597</v>
      </c>
      <c r="M502" s="23" t="s">
        <v>1829</v>
      </c>
      <c r="N502" s="24">
        <v>45811</v>
      </c>
      <c r="O502" s="28">
        <v>6.9513888888888889E-2</v>
      </c>
      <c r="P502" s="3">
        <v>45792</v>
      </c>
      <c r="Q502" s="62">
        <v>45800.652916666666</v>
      </c>
      <c r="R502" s="72">
        <v>45800.722430555557</v>
      </c>
      <c r="S502" s="25">
        <v>0.72222222222222221</v>
      </c>
      <c r="T502" s="63">
        <v>-8.000208333338378</v>
      </c>
      <c r="U502" s="47">
        <f>IFERROR(INDEX(NOVO!O:O,MATCH(PRINT!E34,NOVO!C:C,0)),"")</f>
        <v>215844</v>
      </c>
    </row>
    <row r="503" spans="1:21" x14ac:dyDescent="0.35">
      <c r="A503" s="54">
        <v>250</v>
      </c>
      <c r="B503" s="23"/>
      <c r="C503" s="23">
        <v>1012916</v>
      </c>
      <c r="D503" s="23">
        <v>10</v>
      </c>
      <c r="E503" s="23">
        <v>1012918</v>
      </c>
      <c r="F503" s="23" t="s">
        <v>1307</v>
      </c>
      <c r="G503" s="5">
        <v>250</v>
      </c>
      <c r="H503" s="23">
        <v>10</v>
      </c>
      <c r="I503" s="23">
        <v>0</v>
      </c>
      <c r="J503" s="23">
        <v>250</v>
      </c>
      <c r="K503" s="23" t="s">
        <v>24</v>
      </c>
      <c r="L503" s="23" t="s">
        <v>597</v>
      </c>
      <c r="M503" s="23" t="s">
        <v>1829</v>
      </c>
      <c r="N503" s="24">
        <v>45811</v>
      </c>
      <c r="O503" s="28">
        <v>0.17368055555555556</v>
      </c>
      <c r="P503" s="3">
        <v>45792</v>
      </c>
      <c r="Q503" s="62">
        <v>45800.47923611111</v>
      </c>
      <c r="R503" s="72">
        <v>45800.652916666666</v>
      </c>
      <c r="S503" s="25">
        <v>0.65277777777777779</v>
      </c>
      <c r="T503" s="63">
        <v>-8.000138888884976</v>
      </c>
      <c r="U503" s="47">
        <f>IFERROR(INDEX(NOVO!O:O,MATCH(PRINT!E33,NOVO!C:C,0)),"")</f>
        <v>215844</v>
      </c>
    </row>
    <row r="504" spans="1:21" x14ac:dyDescent="0.35">
      <c r="A504" s="54">
        <v>550</v>
      </c>
      <c r="B504" s="23"/>
      <c r="C504" s="23">
        <v>1012916</v>
      </c>
      <c r="D504" s="23">
        <v>10</v>
      </c>
      <c r="E504" s="23">
        <v>1012920</v>
      </c>
      <c r="F504" s="23" t="s">
        <v>1305</v>
      </c>
      <c r="G504" s="5">
        <v>60</v>
      </c>
      <c r="H504" s="23">
        <v>10</v>
      </c>
      <c r="I504" s="23">
        <v>0</v>
      </c>
      <c r="J504" s="23">
        <v>550</v>
      </c>
      <c r="K504" s="23" t="s">
        <v>24</v>
      </c>
      <c r="L504" s="23" t="s">
        <v>597</v>
      </c>
      <c r="M504" s="23" t="s">
        <v>1829</v>
      </c>
      <c r="N504" s="24">
        <v>45811</v>
      </c>
      <c r="O504" s="28">
        <v>4.1736111111111113E-2</v>
      </c>
      <c r="P504" s="3">
        <v>45792</v>
      </c>
      <c r="Q504" s="62">
        <v>45800.4375</v>
      </c>
      <c r="R504" s="72">
        <v>45800.47923611111</v>
      </c>
      <c r="S504" s="25">
        <v>0.47916666666666669</v>
      </c>
      <c r="T504" s="63">
        <v>-8.000069444446126</v>
      </c>
      <c r="U504" s="47">
        <f>IFERROR(INDEX(NOVO!O:O,MATCH(PRINT!E32,NOVO!C:C,0)),"")</f>
        <v>215844</v>
      </c>
    </row>
    <row r="505" spans="1:21" x14ac:dyDescent="0.35">
      <c r="A505" s="54"/>
      <c r="B505" s="23"/>
      <c r="C505" s="23"/>
      <c r="D505" s="23"/>
      <c r="E505" s="23"/>
      <c r="F505" s="23"/>
      <c r="G505" s="5"/>
      <c r="H505" s="23"/>
      <c r="I505" s="23"/>
      <c r="J505" s="23"/>
      <c r="K505" s="23"/>
      <c r="L505" s="23"/>
      <c r="M505" s="23"/>
      <c r="N505" s="24" t="s">
        <v>198</v>
      </c>
      <c r="O505" s="28">
        <v>2.0833333333333332E-2</v>
      </c>
      <c r="P505" s="3">
        <v>45792</v>
      </c>
      <c r="Q505" s="62">
        <v>45800.416666666664</v>
      </c>
      <c r="R505" s="72">
        <v>45800.4375</v>
      </c>
      <c r="S505" s="25">
        <v>0.4375</v>
      </c>
      <c r="T505" s="63">
        <v>-8</v>
      </c>
      <c r="U505" s="47">
        <f>IFERROR(INDEX(NOVO!O:O,MATCH(PRINT!E31,NOVO!C:C,0)),"")</f>
        <v>215844</v>
      </c>
    </row>
    <row r="506" spans="1:21" x14ac:dyDescent="0.35">
      <c r="A506" s="54">
        <v>550</v>
      </c>
      <c r="B506" s="23"/>
      <c r="C506" s="23">
        <v>1012916</v>
      </c>
      <c r="D506" s="23">
        <v>10</v>
      </c>
      <c r="E506" s="23">
        <v>1012920</v>
      </c>
      <c r="F506" s="23" t="s">
        <v>1305</v>
      </c>
      <c r="G506" s="5">
        <v>450</v>
      </c>
      <c r="H506" s="23">
        <v>10</v>
      </c>
      <c r="I506" s="23">
        <v>0</v>
      </c>
      <c r="J506" s="23">
        <v>550</v>
      </c>
      <c r="K506" s="23" t="s">
        <v>24</v>
      </c>
      <c r="L506" s="23" t="s">
        <v>597</v>
      </c>
      <c r="M506" s="23" t="s">
        <v>1829</v>
      </c>
      <c r="N506" s="24">
        <v>45811</v>
      </c>
      <c r="O506" s="28">
        <v>0.31249999999272404</v>
      </c>
      <c r="P506" s="3">
        <v>45792</v>
      </c>
      <c r="Q506" s="62">
        <v>45800.104166666672</v>
      </c>
      <c r="R506" s="72">
        <v>45800.416666666664</v>
      </c>
      <c r="S506" s="25">
        <v>0.41666666666666669</v>
      </c>
      <c r="T506" s="63">
        <v>-8</v>
      </c>
      <c r="U506" s="47">
        <f>IFERROR(INDEX(NOVO!O:O,MATCH(PRINT!E30,NOVO!C:C,0)),"")</f>
        <v>215844</v>
      </c>
    </row>
    <row r="507" spans="1:21" x14ac:dyDescent="0.35">
      <c r="A507" s="54"/>
      <c r="B507" s="23"/>
      <c r="C507" s="23"/>
      <c r="D507" s="23"/>
      <c r="E507" s="23"/>
      <c r="F507" s="23"/>
      <c r="G507" s="5"/>
      <c r="H507" s="23"/>
      <c r="I507" s="23"/>
      <c r="J507" s="23"/>
      <c r="K507" s="23"/>
      <c r="L507" s="23"/>
      <c r="M507" s="23"/>
      <c r="N507" s="24" t="s">
        <v>198</v>
      </c>
      <c r="O507" s="28">
        <v>2.0833333333333332E-2</v>
      </c>
      <c r="P507" s="3">
        <v>45792</v>
      </c>
      <c r="Q507" s="62">
        <v>45800.083333333336</v>
      </c>
      <c r="R507" s="72">
        <v>45800.104166666672</v>
      </c>
      <c r="S507" s="25">
        <v>0.10416666666666667</v>
      </c>
      <c r="T507" s="63">
        <v>-8.000000000007276</v>
      </c>
      <c r="U507" s="47">
        <f>IFERROR(INDEX(NOVO!O:O,MATCH(PRINT!E29,NOVO!C:C,0)),"")</f>
        <v>215844</v>
      </c>
    </row>
    <row r="508" spans="1:21" x14ac:dyDescent="0.35">
      <c r="A508" s="54">
        <v>550</v>
      </c>
      <c r="B508" s="23"/>
      <c r="C508" s="23">
        <v>1012916</v>
      </c>
      <c r="D508" s="23">
        <v>10</v>
      </c>
      <c r="E508" s="23">
        <v>1012920</v>
      </c>
      <c r="F508" s="23" t="s">
        <v>1305</v>
      </c>
      <c r="G508" s="5">
        <v>40</v>
      </c>
      <c r="H508" s="23">
        <v>10</v>
      </c>
      <c r="I508" s="23">
        <v>0</v>
      </c>
      <c r="J508" s="23">
        <v>550</v>
      </c>
      <c r="K508" s="23" t="s">
        <v>24</v>
      </c>
      <c r="L508" s="23" t="s">
        <v>597</v>
      </c>
      <c r="M508" s="23" t="s">
        <v>1829</v>
      </c>
      <c r="N508" s="24">
        <v>45811</v>
      </c>
      <c r="O508" s="28">
        <v>2.7777777781011537E-2</v>
      </c>
      <c r="P508" s="3">
        <v>45792</v>
      </c>
      <c r="Q508" s="62">
        <v>45800.055555555555</v>
      </c>
      <c r="R508" s="72">
        <v>45800.083333333336</v>
      </c>
      <c r="S508" s="25">
        <v>8.3333333333333329E-2</v>
      </c>
      <c r="T508" s="63">
        <v>-8</v>
      </c>
      <c r="U508" s="47">
        <f>IFERROR(INDEX(NOVO!O:O,MATCH(PRINT!E28,NOVO!C:C,0)),"")</f>
        <v>137863</v>
      </c>
    </row>
    <row r="509" spans="1:21" x14ac:dyDescent="0.35">
      <c r="A509" s="54">
        <v>0</v>
      </c>
      <c r="B509" s="23"/>
      <c r="C509" s="23">
        <v>1014421</v>
      </c>
      <c r="D509" s="23">
        <v>16</v>
      </c>
      <c r="E509" s="23">
        <v>1014424</v>
      </c>
      <c r="F509" s="23" t="s">
        <v>1621</v>
      </c>
      <c r="G509" s="5">
        <v>320</v>
      </c>
      <c r="H509" s="23">
        <v>16</v>
      </c>
      <c r="I509" s="23">
        <v>0</v>
      </c>
      <c r="J509" s="23">
        <v>0</v>
      </c>
      <c r="K509" s="23" t="s">
        <v>24</v>
      </c>
      <c r="L509" s="23" t="s">
        <v>597</v>
      </c>
      <c r="M509" s="23" t="s">
        <v>1828</v>
      </c>
      <c r="N509" s="24">
        <v>45821</v>
      </c>
      <c r="O509" s="28">
        <v>0.22222222222222221</v>
      </c>
      <c r="P509" s="3">
        <v>45791</v>
      </c>
      <c r="Q509" s="62">
        <v>45799.833333333336</v>
      </c>
      <c r="R509" s="72">
        <v>45800.055555555555</v>
      </c>
      <c r="S509" s="25">
        <v>5.5555555555555552E-2</v>
      </c>
      <c r="T509" s="63">
        <v>-9</v>
      </c>
      <c r="U509" s="47">
        <f>IFERROR(INDEX(NOVO!O:O,MATCH(PRINT!E27,NOVO!C:C,0)),"")</f>
        <v>137862</v>
      </c>
    </row>
    <row r="510" spans="1:21" x14ac:dyDescent="0.35">
      <c r="A510" s="54">
        <v>0</v>
      </c>
      <c r="B510" s="23"/>
      <c r="C510" s="23">
        <v>1014421</v>
      </c>
      <c r="D510" s="23">
        <v>16</v>
      </c>
      <c r="E510" s="23">
        <v>1014423</v>
      </c>
      <c r="F510" s="23" t="s">
        <v>1622</v>
      </c>
      <c r="G510" s="5">
        <v>90</v>
      </c>
      <c r="H510" s="23">
        <v>16</v>
      </c>
      <c r="I510" s="23">
        <v>0</v>
      </c>
      <c r="J510" s="23">
        <v>0</v>
      </c>
      <c r="K510" s="23" t="s">
        <v>24</v>
      </c>
      <c r="L510" s="23" t="s">
        <v>597</v>
      </c>
      <c r="M510" s="23" t="s">
        <v>1828</v>
      </c>
      <c r="N510" s="24">
        <v>45821</v>
      </c>
      <c r="O510" s="28">
        <v>6.25E-2</v>
      </c>
      <c r="P510" s="3">
        <v>45791</v>
      </c>
      <c r="Q510" s="62">
        <v>45799.770833333336</v>
      </c>
      <c r="R510" s="72">
        <v>45799.833333333336</v>
      </c>
      <c r="S510" s="25">
        <v>0.83333333333333337</v>
      </c>
      <c r="T510" s="63">
        <v>-8</v>
      </c>
      <c r="U510" s="47">
        <f>IFERROR(INDEX(NOVO!O:O,MATCH(PRINT!E26,NOVO!C:C,0)),"")</f>
        <v>137864</v>
      </c>
    </row>
    <row r="511" spans="1:21" x14ac:dyDescent="0.35">
      <c r="A511" s="54"/>
      <c r="B511" s="23"/>
      <c r="C511" s="23"/>
      <c r="D511" s="23"/>
      <c r="E511" s="23"/>
      <c r="F511" s="23"/>
      <c r="G511" s="5"/>
      <c r="H511" s="23"/>
      <c r="I511" s="23"/>
      <c r="J511" s="23"/>
      <c r="K511" s="23"/>
      <c r="L511" s="23"/>
      <c r="M511" s="23"/>
      <c r="N511" s="24" t="s">
        <v>198</v>
      </c>
      <c r="O511" s="28">
        <v>2.0833333333333332E-2</v>
      </c>
      <c r="P511" s="3">
        <v>45791</v>
      </c>
      <c r="Q511" s="62">
        <v>45799.75</v>
      </c>
      <c r="R511" s="72">
        <v>45799.770833333336</v>
      </c>
      <c r="S511" s="25">
        <v>0.77083333333333337</v>
      </c>
      <c r="T511" s="63">
        <v>-8</v>
      </c>
      <c r="U511" s="47">
        <f>IFERROR(INDEX(NOVO!O:O,MATCH(PRINT!E25,NOVO!C:C,0)),"")</f>
        <v>137865</v>
      </c>
    </row>
    <row r="512" spans="1:21" x14ac:dyDescent="0.35">
      <c r="A512" s="54">
        <v>0</v>
      </c>
      <c r="B512" s="23"/>
      <c r="C512" s="23">
        <v>1014421</v>
      </c>
      <c r="D512" s="23">
        <v>16</v>
      </c>
      <c r="E512" s="23">
        <v>1014423</v>
      </c>
      <c r="F512" s="23" t="s">
        <v>1622</v>
      </c>
      <c r="G512" s="5">
        <v>450</v>
      </c>
      <c r="H512" s="23">
        <v>16</v>
      </c>
      <c r="I512" s="23">
        <v>0</v>
      </c>
      <c r="J512" s="23">
        <v>0</v>
      </c>
      <c r="K512" s="23" t="s">
        <v>24</v>
      </c>
      <c r="L512" s="23" t="s">
        <v>597</v>
      </c>
      <c r="M512" s="23" t="s">
        <v>1828</v>
      </c>
      <c r="N512" s="24">
        <v>45821</v>
      </c>
      <c r="O512" s="28">
        <v>0.3125</v>
      </c>
      <c r="P512" s="3">
        <v>45791</v>
      </c>
      <c r="Q512" s="62">
        <v>45799.4375</v>
      </c>
      <c r="R512" s="72">
        <v>45799.75</v>
      </c>
      <c r="S512" s="25">
        <v>0.75</v>
      </c>
      <c r="T512" s="63">
        <v>-8</v>
      </c>
      <c r="U512" s="47">
        <f>IFERROR(INDEX(NOVO!O:O,MATCH(PRINT!E24,NOVO!C:C,0)),"")</f>
        <v>137880</v>
      </c>
    </row>
    <row r="513" spans="1:21" x14ac:dyDescent="0.35">
      <c r="A513" s="54"/>
      <c r="B513" s="23"/>
      <c r="C513" s="23"/>
      <c r="D513" s="23"/>
      <c r="E513" s="23"/>
      <c r="F513" s="23"/>
      <c r="G513" s="5"/>
      <c r="H513" s="23"/>
      <c r="I513" s="23"/>
      <c r="J513" s="23"/>
      <c r="K513" s="23"/>
      <c r="L513" s="23"/>
      <c r="M513" s="23"/>
      <c r="N513" s="24" t="s">
        <v>198</v>
      </c>
      <c r="O513" s="28">
        <v>2.0833333333333332E-2</v>
      </c>
      <c r="P513" s="3">
        <v>45791</v>
      </c>
      <c r="Q513" s="62">
        <v>45799.416666666664</v>
      </c>
      <c r="R513" s="72">
        <v>45799.4375</v>
      </c>
      <c r="S513" s="25">
        <v>0.4375</v>
      </c>
      <c r="T513" s="63">
        <v>-8</v>
      </c>
      <c r="U513" s="47">
        <f>IFERROR(INDEX(NOVO!O:O,MATCH(PRINT!E23,NOVO!C:C,0)),"")</f>
        <v>216056</v>
      </c>
    </row>
    <row r="514" spans="1:21" x14ac:dyDescent="0.35">
      <c r="A514" s="54">
        <v>0</v>
      </c>
      <c r="B514" s="23"/>
      <c r="C514" s="23">
        <v>1014421</v>
      </c>
      <c r="D514" s="23">
        <v>16</v>
      </c>
      <c r="E514" s="23">
        <v>1014423</v>
      </c>
      <c r="F514" s="23" t="s">
        <v>1622</v>
      </c>
      <c r="G514" s="5">
        <v>420</v>
      </c>
      <c r="H514" s="23">
        <v>16</v>
      </c>
      <c r="I514" s="23">
        <v>0</v>
      </c>
      <c r="J514" s="23">
        <v>0</v>
      </c>
      <c r="K514" s="23" t="s">
        <v>24</v>
      </c>
      <c r="L514" s="23" t="s">
        <v>597</v>
      </c>
      <c r="M514" s="23" t="s">
        <v>1828</v>
      </c>
      <c r="N514" s="24">
        <v>45821</v>
      </c>
      <c r="O514" s="28">
        <v>0.29166666665696539</v>
      </c>
      <c r="P514" s="3">
        <v>45791</v>
      </c>
      <c r="Q514" s="62">
        <v>45799.125000000007</v>
      </c>
      <c r="R514" s="72">
        <v>45799.416666666664</v>
      </c>
      <c r="S514" s="25">
        <v>0.41666666666666669</v>
      </c>
      <c r="T514" s="63">
        <v>-8</v>
      </c>
      <c r="U514" s="47">
        <f>IFERROR(INDEX(NOVO!O:O,MATCH(PRINT!E22,NOVO!C:C,0)),"")</f>
        <v>217588</v>
      </c>
    </row>
    <row r="515" spans="1:21" x14ac:dyDescent="0.35">
      <c r="A515" s="54">
        <v>0</v>
      </c>
      <c r="B515" s="23"/>
      <c r="C515" s="23">
        <v>1008734</v>
      </c>
      <c r="D515" s="23">
        <v>4</v>
      </c>
      <c r="E515" s="23">
        <v>1008736</v>
      </c>
      <c r="F515" s="23" t="s">
        <v>1826</v>
      </c>
      <c r="G515" s="5">
        <v>30</v>
      </c>
      <c r="H515" s="23">
        <v>4</v>
      </c>
      <c r="I515" s="23">
        <v>0</v>
      </c>
      <c r="J515" s="23">
        <v>0</v>
      </c>
      <c r="K515" s="23" t="s">
        <v>24</v>
      </c>
      <c r="L515" s="23" t="s">
        <v>597</v>
      </c>
      <c r="M515" s="23" t="s">
        <v>1827</v>
      </c>
      <c r="N515" s="24">
        <v>45811</v>
      </c>
      <c r="O515" s="28">
        <v>2.0833333333333332E-2</v>
      </c>
      <c r="P515" s="3">
        <v>45790</v>
      </c>
      <c r="Q515" s="62">
        <v>45799.104166666672</v>
      </c>
      <c r="R515" s="72">
        <v>45799.125000000007</v>
      </c>
      <c r="S515" s="25">
        <v>0.125</v>
      </c>
      <c r="T515" s="63">
        <v>-9.000000000007276</v>
      </c>
      <c r="U515" s="47">
        <f>IFERROR(INDEX(NOVO!O:O,MATCH(PRINT!E21,NOVO!C:C,0)),"")</f>
        <v>217587</v>
      </c>
    </row>
    <row r="516" spans="1:21" x14ac:dyDescent="0.35">
      <c r="A516" s="54"/>
      <c r="B516" s="23"/>
      <c r="C516" s="23"/>
      <c r="D516" s="23"/>
      <c r="E516" s="23"/>
      <c r="F516" s="23"/>
      <c r="G516" s="5"/>
      <c r="H516" s="23"/>
      <c r="I516" s="23"/>
      <c r="J516" s="23"/>
      <c r="K516" s="23"/>
      <c r="L516" s="23"/>
      <c r="M516" s="23"/>
      <c r="N516" s="24" t="s">
        <v>198</v>
      </c>
      <c r="O516" s="28">
        <v>2.0833333333333332E-2</v>
      </c>
      <c r="P516" s="3">
        <v>45790</v>
      </c>
      <c r="Q516" s="62">
        <v>45799.083333333336</v>
      </c>
      <c r="R516" s="72">
        <v>45799.104166666672</v>
      </c>
      <c r="S516" s="25">
        <v>0.10416666666666667</v>
      </c>
      <c r="T516" s="63">
        <v>-9.000000000007276</v>
      </c>
      <c r="U516" s="47">
        <f>IFERROR(INDEX(NOVO!O:O,MATCH(PRINT!E20,NOVO!C:C,0)),"")</f>
        <v>217656</v>
      </c>
    </row>
    <row r="517" spans="1:21" x14ac:dyDescent="0.35">
      <c r="A517" s="54">
        <v>0</v>
      </c>
      <c r="B517" s="23"/>
      <c r="C517" s="23">
        <v>1008734</v>
      </c>
      <c r="D517" s="23">
        <v>4</v>
      </c>
      <c r="E517" s="23">
        <v>1008736</v>
      </c>
      <c r="F517" s="23" t="s">
        <v>1826</v>
      </c>
      <c r="G517" s="5">
        <v>210</v>
      </c>
      <c r="H517" s="23">
        <v>4</v>
      </c>
      <c r="I517" s="23">
        <v>0</v>
      </c>
      <c r="J517" s="23">
        <v>0</v>
      </c>
      <c r="K517" s="23" t="s">
        <v>24</v>
      </c>
      <c r="L517" s="23" t="s">
        <v>597</v>
      </c>
      <c r="M517" s="23" t="s">
        <v>1827</v>
      </c>
      <c r="N517" s="24">
        <v>45811</v>
      </c>
      <c r="O517" s="28">
        <v>0.14583333333575865</v>
      </c>
      <c r="P517" s="3">
        <v>45790</v>
      </c>
      <c r="Q517" s="62">
        <v>45798.9375</v>
      </c>
      <c r="R517" s="72">
        <v>45799.083333333336</v>
      </c>
      <c r="S517" s="25">
        <v>8.3333333333333329E-2</v>
      </c>
      <c r="T517" s="63">
        <v>-9</v>
      </c>
      <c r="U517" s="47" t="str">
        <f>IFERROR(INDEX(NOVO!O:O,MATCH(PRINT!E19,NOVO!C:C,0)),"")</f>
        <v/>
      </c>
    </row>
    <row r="518" spans="1:21" x14ac:dyDescent="0.35">
      <c r="A518" s="54">
        <v>0</v>
      </c>
      <c r="B518" s="23"/>
      <c r="C518" s="23">
        <v>1021494</v>
      </c>
      <c r="D518" s="23">
        <v>1</v>
      </c>
      <c r="E518" s="23">
        <v>1021496</v>
      </c>
      <c r="F518" s="23" t="s">
        <v>1824</v>
      </c>
      <c r="G518" s="5">
        <v>10</v>
      </c>
      <c r="H518" s="23">
        <v>1</v>
      </c>
      <c r="I518" s="23">
        <v>0</v>
      </c>
      <c r="J518" s="23">
        <v>0</v>
      </c>
      <c r="K518" s="23" t="s">
        <v>24</v>
      </c>
      <c r="L518" s="23" t="s">
        <v>597</v>
      </c>
      <c r="M518" s="23" t="s">
        <v>1825</v>
      </c>
      <c r="N518" s="24">
        <v>45807</v>
      </c>
      <c r="O518" s="28">
        <v>6.9444444444444441E-3</v>
      </c>
      <c r="P518" s="3">
        <v>45789</v>
      </c>
      <c r="Q518" s="62">
        <v>45798.930555555555</v>
      </c>
      <c r="R518" s="72">
        <v>45798.9375</v>
      </c>
      <c r="S518" s="25">
        <v>0.9375</v>
      </c>
      <c r="T518" s="63">
        <v>-9</v>
      </c>
      <c r="U518" s="47">
        <f>IFERROR(INDEX(NOVO!O:O,MATCH(PRINT!E18,NOVO!C:C,0)),"")</f>
        <v>217656</v>
      </c>
    </row>
    <row r="519" spans="1:21" x14ac:dyDescent="0.35">
      <c r="A519" s="54">
        <v>180</v>
      </c>
      <c r="B519" s="23"/>
      <c r="C519" s="23">
        <v>1004376</v>
      </c>
      <c r="D519" s="23">
        <v>3</v>
      </c>
      <c r="E519" s="23">
        <v>1004401</v>
      </c>
      <c r="F519" s="23" t="s">
        <v>1657</v>
      </c>
      <c r="G519" s="5">
        <v>225</v>
      </c>
      <c r="H519" s="23">
        <v>3</v>
      </c>
      <c r="I519" s="23">
        <v>0</v>
      </c>
      <c r="J519" s="23">
        <v>180</v>
      </c>
      <c r="K519" s="23" t="s">
        <v>24</v>
      </c>
      <c r="L519" s="23" t="s">
        <v>597</v>
      </c>
      <c r="M519" s="23" t="s">
        <v>1823</v>
      </c>
      <c r="N519" s="24">
        <v>45804</v>
      </c>
      <c r="O519" s="28">
        <v>0.15625</v>
      </c>
      <c r="P519" s="3">
        <v>45789</v>
      </c>
      <c r="Q519" s="62">
        <v>45798.774305555555</v>
      </c>
      <c r="R519" s="72">
        <v>45798.930555555555</v>
      </c>
      <c r="S519" s="25">
        <v>0.93055555555555558</v>
      </c>
      <c r="T519" s="63">
        <v>-9</v>
      </c>
      <c r="U519" s="47">
        <f>IFERROR(INDEX(NOVO!O:O,MATCH(PRINT!E17,NOVO!C:C,0)),"")</f>
        <v>217657</v>
      </c>
    </row>
    <row r="520" spans="1:21" x14ac:dyDescent="0.35">
      <c r="A520" s="54">
        <v>0</v>
      </c>
      <c r="B520" s="23"/>
      <c r="C520" s="23">
        <v>1004376</v>
      </c>
      <c r="D520" s="23">
        <v>3</v>
      </c>
      <c r="E520" s="23">
        <v>1004389</v>
      </c>
      <c r="F520" s="23" t="s">
        <v>1712</v>
      </c>
      <c r="G520" s="5">
        <v>5</v>
      </c>
      <c r="H520" s="23">
        <v>3</v>
      </c>
      <c r="I520" s="23">
        <v>0</v>
      </c>
      <c r="J520" s="23">
        <v>0</v>
      </c>
      <c r="K520" s="23" t="s">
        <v>24</v>
      </c>
      <c r="L520" s="23" t="s">
        <v>597</v>
      </c>
      <c r="M520" s="23" t="s">
        <v>1823</v>
      </c>
      <c r="N520" s="24">
        <v>45804</v>
      </c>
      <c r="O520" s="28">
        <v>3.472222222222222E-3</v>
      </c>
      <c r="P520" s="3">
        <v>45789</v>
      </c>
      <c r="Q520" s="62">
        <v>45798.770833333336</v>
      </c>
      <c r="R520" s="72">
        <v>45798.774305555555</v>
      </c>
      <c r="S520" s="25">
        <v>0.77430555555555558</v>
      </c>
      <c r="T520" s="63">
        <v>-9</v>
      </c>
      <c r="U520" s="47">
        <f>IFERROR(INDEX(NOVO!O:O,MATCH(PRINT!E16,NOVO!C:C,0)),"")</f>
        <v>214179</v>
      </c>
    </row>
    <row r="521" spans="1:21" x14ac:dyDescent="0.35">
      <c r="A521" s="54"/>
      <c r="B521" s="23"/>
      <c r="C521" s="23"/>
      <c r="D521" s="23"/>
      <c r="E521" s="23"/>
      <c r="F521" s="23"/>
      <c r="G521" s="5"/>
      <c r="H521" s="23"/>
      <c r="I521" s="23"/>
      <c r="J521" s="23"/>
      <c r="K521" s="23"/>
      <c r="L521" s="23"/>
      <c r="M521" s="23"/>
      <c r="N521" s="24" t="s">
        <v>198</v>
      </c>
      <c r="O521" s="28">
        <v>2.0833333333333332E-2</v>
      </c>
      <c r="P521" s="3">
        <v>45789</v>
      </c>
      <c r="Q521" s="62">
        <v>45798.75</v>
      </c>
      <c r="R521" s="72">
        <v>45798.770833333336</v>
      </c>
      <c r="S521" s="25">
        <v>0.77083333333333337</v>
      </c>
      <c r="T521" s="63">
        <v>-9</v>
      </c>
      <c r="U521" s="47">
        <f>IFERROR(INDEX(NOVO!O:O,MATCH(PRINT!E15,NOVO!C:C,0)),"")</f>
        <v>221373</v>
      </c>
    </row>
    <row r="522" spans="1:21" x14ac:dyDescent="0.35">
      <c r="A522" s="54">
        <v>0</v>
      </c>
      <c r="B522" s="23"/>
      <c r="C522" s="23">
        <v>1004376</v>
      </c>
      <c r="D522" s="23">
        <v>3</v>
      </c>
      <c r="E522" s="23">
        <v>1004389</v>
      </c>
      <c r="F522" s="23" t="s">
        <v>1712</v>
      </c>
      <c r="G522" s="5">
        <v>70</v>
      </c>
      <c r="H522" s="23">
        <v>3</v>
      </c>
      <c r="I522" s="23">
        <v>0</v>
      </c>
      <c r="J522" s="23">
        <v>0</v>
      </c>
      <c r="K522" s="23" t="s">
        <v>24</v>
      </c>
      <c r="L522" s="23" t="s">
        <v>597</v>
      </c>
      <c r="M522" s="23" t="s">
        <v>1823</v>
      </c>
      <c r="N522" s="24">
        <v>45804</v>
      </c>
      <c r="O522" s="28">
        <v>4.8611111109494232E-2</v>
      </c>
      <c r="P522" s="3">
        <v>45789</v>
      </c>
      <c r="Q522" s="62">
        <v>45798.701388888891</v>
      </c>
      <c r="R522" s="72">
        <v>45798.75</v>
      </c>
      <c r="S522" s="25">
        <v>0.75</v>
      </c>
      <c r="T522" s="63">
        <v>-9</v>
      </c>
      <c r="U522" s="47">
        <f>IFERROR(INDEX(NOVO!O:O,MATCH(PRINT!E14,NOVO!C:C,0)),"")</f>
        <v>155692</v>
      </c>
    </row>
    <row r="523" spans="1:21" x14ac:dyDescent="0.35">
      <c r="A523" s="54">
        <v>105</v>
      </c>
      <c r="B523" s="23"/>
      <c r="C523" s="23">
        <v>1004376</v>
      </c>
      <c r="D523" s="23">
        <v>3</v>
      </c>
      <c r="E523" s="23">
        <v>1004400</v>
      </c>
      <c r="F523" s="23" t="s">
        <v>1656</v>
      </c>
      <c r="G523" s="5">
        <v>120</v>
      </c>
      <c r="H523" s="23">
        <v>3</v>
      </c>
      <c r="I523" s="23">
        <v>0</v>
      </c>
      <c r="J523" s="23">
        <v>105</v>
      </c>
      <c r="K523" s="23" t="s">
        <v>24</v>
      </c>
      <c r="L523" s="23" t="s">
        <v>597</v>
      </c>
      <c r="M523" s="23" t="s">
        <v>1823</v>
      </c>
      <c r="N523" s="24">
        <v>45804</v>
      </c>
      <c r="O523" s="28">
        <v>8.3333333333333329E-2</v>
      </c>
      <c r="P523" s="3">
        <v>45789</v>
      </c>
      <c r="Q523" s="62">
        <v>45798.618055555555</v>
      </c>
      <c r="R523" s="72">
        <v>45798.701388888891</v>
      </c>
      <c r="S523" s="25">
        <v>0.70138888888888884</v>
      </c>
      <c r="T523" s="63">
        <v>-9</v>
      </c>
      <c r="U523" s="47">
        <f>IFERROR(INDEX(NOVO!O:O,MATCH(PRINT!E13,NOVO!C:C,0)),"")</f>
        <v>160433</v>
      </c>
    </row>
    <row r="524" spans="1:21" x14ac:dyDescent="0.35">
      <c r="A524" s="54">
        <v>0</v>
      </c>
      <c r="B524" s="23"/>
      <c r="C524" s="23">
        <v>1007060</v>
      </c>
      <c r="D524" s="23">
        <v>1</v>
      </c>
      <c r="E524" s="23">
        <v>1007044</v>
      </c>
      <c r="F524" s="23" t="s">
        <v>1052</v>
      </c>
      <c r="G524" s="5">
        <v>50</v>
      </c>
      <c r="H524" s="23">
        <v>1</v>
      </c>
      <c r="I524" s="23">
        <v>0</v>
      </c>
      <c r="J524" s="23">
        <v>0</v>
      </c>
      <c r="K524" s="23" t="s">
        <v>24</v>
      </c>
      <c r="L524" s="23" t="s">
        <v>597</v>
      </c>
      <c r="M524" s="23" t="s">
        <v>1822</v>
      </c>
      <c r="N524" s="24">
        <v>45791</v>
      </c>
      <c r="O524" s="28">
        <v>3.4722222222222224E-2</v>
      </c>
      <c r="P524" s="3">
        <v>45785</v>
      </c>
      <c r="Q524" s="62">
        <v>45798.583333333336</v>
      </c>
      <c r="R524" s="72">
        <v>45798.618055555555</v>
      </c>
      <c r="S524" s="25">
        <v>0.61805555555555558</v>
      </c>
      <c r="T524" s="63">
        <v>-13</v>
      </c>
      <c r="U524" s="47">
        <f>IFERROR(INDEX(NOVO!O:O,MATCH(PRINT!E12,NOVO!C:C,0)),"")</f>
        <v>226380</v>
      </c>
    </row>
    <row r="525" spans="1:21" x14ac:dyDescent="0.35">
      <c r="A525" s="54">
        <v>0</v>
      </c>
      <c r="B525" s="23"/>
      <c r="C525" s="23">
        <v>1023735</v>
      </c>
      <c r="D525" s="23">
        <v>2</v>
      </c>
      <c r="E525" s="23">
        <v>1023739</v>
      </c>
      <c r="F525" s="23" t="s">
        <v>1821</v>
      </c>
      <c r="G525" s="5">
        <v>200</v>
      </c>
      <c r="H525" s="23">
        <v>4</v>
      </c>
      <c r="I525" s="23">
        <v>0</v>
      </c>
      <c r="J525" s="23">
        <v>0</v>
      </c>
      <c r="K525" s="23" t="s">
        <v>24</v>
      </c>
      <c r="L525" s="23" t="s">
        <v>597</v>
      </c>
      <c r="M525" s="23" t="s">
        <v>1820</v>
      </c>
      <c r="N525" s="24">
        <v>45812</v>
      </c>
      <c r="O525" s="28">
        <v>0.1388888888888889</v>
      </c>
      <c r="P525" s="3">
        <v>45782</v>
      </c>
      <c r="Q525" s="62">
        <v>45798.444444444445</v>
      </c>
      <c r="R525" s="72">
        <v>45798.583333333336</v>
      </c>
      <c r="S525" s="25">
        <v>0.58333333333333337</v>
      </c>
      <c r="T525" s="63">
        <v>-16</v>
      </c>
      <c r="U525" s="47">
        <f>IFERROR(INDEX(NOVO!O:O,MATCH(PRINT!E11,NOVO!C:C,0)),"")</f>
        <v>226385</v>
      </c>
    </row>
    <row r="526" spans="1:21" x14ac:dyDescent="0.35">
      <c r="A526" s="54">
        <v>0</v>
      </c>
      <c r="B526" s="23"/>
      <c r="C526" s="23">
        <v>1023735</v>
      </c>
      <c r="D526" s="23">
        <v>2</v>
      </c>
      <c r="E526" s="23">
        <v>1023740</v>
      </c>
      <c r="F526" s="23" t="s">
        <v>1819</v>
      </c>
      <c r="G526" s="5">
        <v>10</v>
      </c>
      <c r="H526" s="23">
        <v>2</v>
      </c>
      <c r="I526" s="23">
        <v>0</v>
      </c>
      <c r="J526" s="23">
        <v>0</v>
      </c>
      <c r="K526" s="23" t="s">
        <v>24</v>
      </c>
      <c r="L526" s="23" t="s">
        <v>597</v>
      </c>
      <c r="M526" s="23" t="s">
        <v>1820</v>
      </c>
      <c r="N526" s="24">
        <v>45812</v>
      </c>
      <c r="O526" s="28">
        <v>6.9444444444444441E-3</v>
      </c>
      <c r="P526" s="3">
        <v>45782</v>
      </c>
      <c r="Q526" s="62">
        <v>45798.4375</v>
      </c>
      <c r="R526" s="72">
        <v>45798.444444444445</v>
      </c>
      <c r="S526" s="25">
        <v>0.44444444444444442</v>
      </c>
      <c r="T526" s="63">
        <v>-16</v>
      </c>
      <c r="U526" s="47">
        <f>IFERROR(INDEX(NOVO!O:O,MATCH(PRINT!E10,NOVO!C:C,0)),"")</f>
        <v>152924</v>
      </c>
    </row>
    <row r="527" spans="1:21" x14ac:dyDescent="0.35">
      <c r="A527" s="54"/>
      <c r="B527" s="23"/>
      <c r="C527" s="23"/>
      <c r="D527" s="23"/>
      <c r="E527" s="23"/>
      <c r="F527" s="23"/>
      <c r="G527" s="5"/>
      <c r="H527" s="23"/>
      <c r="I527" s="23"/>
      <c r="J527" s="23"/>
      <c r="K527" s="23"/>
      <c r="L527" s="23"/>
      <c r="M527" s="23"/>
      <c r="N527" s="24" t="s">
        <v>198</v>
      </c>
      <c r="O527" s="28">
        <v>2.0833333333333332E-2</v>
      </c>
      <c r="P527" s="3">
        <v>45782</v>
      </c>
      <c r="Q527" s="62">
        <v>45798.416666666664</v>
      </c>
      <c r="R527" s="72">
        <v>45798.4375</v>
      </c>
      <c r="S527" s="25">
        <v>0.4375</v>
      </c>
      <c r="T527" s="63">
        <v>-16</v>
      </c>
      <c r="U527" s="47">
        <f>IFERROR(INDEX(NOVO!O:O,MATCH(PRINT!E9,NOVO!C:C,0)),"")</f>
        <v>152925</v>
      </c>
    </row>
    <row r="528" spans="1:21" x14ac:dyDescent="0.35">
      <c r="A528" s="54">
        <v>0</v>
      </c>
      <c r="B528" s="23"/>
      <c r="C528" s="23">
        <v>1023735</v>
      </c>
      <c r="D528" s="23">
        <v>2</v>
      </c>
      <c r="E528" s="23">
        <v>1023740</v>
      </c>
      <c r="F528" s="23" t="s">
        <v>1819</v>
      </c>
      <c r="G528" s="5">
        <v>70</v>
      </c>
      <c r="H528" s="23">
        <v>2</v>
      </c>
      <c r="I528" s="23">
        <v>0</v>
      </c>
      <c r="J528" s="23">
        <v>0</v>
      </c>
      <c r="K528" s="23" t="s">
        <v>24</v>
      </c>
      <c r="L528" s="23" t="s">
        <v>597</v>
      </c>
      <c r="M528" s="23" t="s">
        <v>1820</v>
      </c>
      <c r="N528" s="24">
        <v>45812</v>
      </c>
      <c r="O528" s="28">
        <v>4.8611111109494232E-2</v>
      </c>
      <c r="P528" s="3">
        <v>45782</v>
      </c>
      <c r="Q528" s="62">
        <v>45798.368055555555</v>
      </c>
      <c r="R528" s="72">
        <v>45798.416666666664</v>
      </c>
      <c r="S528" s="25">
        <v>0.41666666666666669</v>
      </c>
      <c r="T528" s="63">
        <v>-16</v>
      </c>
      <c r="U528" s="47">
        <f>IFERROR(INDEX(NOVO!O:O,MATCH(PRINT!E8,NOVO!C:C,0)),"")</f>
        <v>137863</v>
      </c>
    </row>
    <row r="529" spans="1:21" x14ac:dyDescent="0.35">
      <c r="A529" s="54">
        <v>0</v>
      </c>
      <c r="B529" s="23"/>
      <c r="C529" s="23">
        <v>1006326</v>
      </c>
      <c r="D529" s="23">
        <v>1</v>
      </c>
      <c r="E529" s="23">
        <v>1006419</v>
      </c>
      <c r="F529" s="23" t="s">
        <v>452</v>
      </c>
      <c r="G529" s="5">
        <v>10</v>
      </c>
      <c r="H529" s="23">
        <v>1</v>
      </c>
      <c r="I529" s="23">
        <v>0</v>
      </c>
      <c r="J529" s="23">
        <v>0</v>
      </c>
      <c r="K529" s="23" t="s">
        <v>24</v>
      </c>
      <c r="L529" s="23" t="s">
        <v>597</v>
      </c>
      <c r="M529" s="23" t="s">
        <v>1818</v>
      </c>
      <c r="N529" s="24">
        <v>45812</v>
      </c>
      <c r="O529" s="28">
        <v>6.9444444444444441E-3</v>
      </c>
      <c r="P529" s="3">
        <v>45782</v>
      </c>
      <c r="Q529" s="62">
        <v>45798.361111111109</v>
      </c>
      <c r="R529" s="72">
        <v>45798.368055555555</v>
      </c>
      <c r="S529" s="25">
        <v>0.36805555555555558</v>
      </c>
      <c r="T529" s="63">
        <v>-16</v>
      </c>
      <c r="U529" s="47">
        <f>IFERROR(INDEX(NOVO!O:O,MATCH(PRINT!E7,NOVO!C:C,0)),"")</f>
        <v>137864</v>
      </c>
    </row>
    <row r="530" spans="1:21" x14ac:dyDescent="0.35">
      <c r="A530" s="54">
        <v>0</v>
      </c>
      <c r="B530" s="23"/>
      <c r="C530" s="23">
        <v>1013072</v>
      </c>
      <c r="D530" s="23">
        <v>1</v>
      </c>
      <c r="E530" s="23">
        <v>1013165</v>
      </c>
      <c r="F530" s="23" t="s">
        <v>452</v>
      </c>
      <c r="G530" s="5">
        <v>10</v>
      </c>
      <c r="H530" s="23">
        <v>1</v>
      </c>
      <c r="I530" s="23">
        <v>0</v>
      </c>
      <c r="J530" s="23">
        <v>0</v>
      </c>
      <c r="K530" s="23" t="s">
        <v>24</v>
      </c>
      <c r="L530" s="23" t="s">
        <v>597</v>
      </c>
      <c r="M530" s="23" t="s">
        <v>1817</v>
      </c>
      <c r="N530" s="24">
        <v>45804</v>
      </c>
      <c r="O530" s="28">
        <v>6.9444444444444441E-3</v>
      </c>
      <c r="P530" s="3">
        <v>45775</v>
      </c>
      <c r="Q530" s="62">
        <v>45798.354166666664</v>
      </c>
      <c r="R530" s="72">
        <v>45798.361111111109</v>
      </c>
      <c r="S530" s="25">
        <v>0.3611111111111111</v>
      </c>
      <c r="T530" s="63">
        <v>-23</v>
      </c>
      <c r="U530" s="47">
        <f>IFERROR(INDEX(NOVO!O:O,MATCH(PRINT!E6,NOVO!C:C,0)),"")</f>
        <v>137865</v>
      </c>
    </row>
    <row r="531" spans="1:21" x14ac:dyDescent="0.35">
      <c r="A531" s="54">
        <v>0</v>
      </c>
      <c r="B531" s="23"/>
      <c r="C531" s="23">
        <v>1019171</v>
      </c>
      <c r="D531" s="23">
        <v>1</v>
      </c>
      <c r="E531" s="23">
        <v>1019173</v>
      </c>
      <c r="F531" s="23" t="s">
        <v>1815</v>
      </c>
      <c r="G531" s="5">
        <v>90</v>
      </c>
      <c r="H531" s="23">
        <v>1</v>
      </c>
      <c r="I531" s="23">
        <v>0</v>
      </c>
      <c r="J531" s="23">
        <v>0</v>
      </c>
      <c r="K531" s="23" t="s">
        <v>24</v>
      </c>
      <c r="L531" s="23" t="s">
        <v>597</v>
      </c>
      <c r="M531" s="23" t="s">
        <v>1816</v>
      </c>
      <c r="N531" s="24">
        <v>45782</v>
      </c>
      <c r="O531" s="28">
        <v>6.25E-2</v>
      </c>
      <c r="P531" s="3">
        <v>45772</v>
      </c>
      <c r="Q531" s="62">
        <v>45798.291666666664</v>
      </c>
      <c r="R531" s="72">
        <v>45798.354166666664</v>
      </c>
      <c r="S531" s="25">
        <v>0.35416666666666669</v>
      </c>
      <c r="T531" s="63">
        <v>-26</v>
      </c>
      <c r="U531" s="47">
        <f>IFERROR(INDEX(NOVO!O:O,MATCH(PRINT!E5,NOVO!C:C,0)),"")</f>
        <v>137862</v>
      </c>
    </row>
    <row r="532" spans="1:21" x14ac:dyDescent="0.35">
      <c r="A532" s="54"/>
      <c r="B532" s="23"/>
      <c r="C532" s="23"/>
      <c r="D532" s="23"/>
      <c r="E532" s="23"/>
      <c r="F532" s="23"/>
      <c r="G532" s="73"/>
      <c r="H532" s="23"/>
      <c r="I532" s="23"/>
      <c r="J532" s="23"/>
      <c r="K532" s="23"/>
      <c r="L532" s="23"/>
      <c r="M532" s="23"/>
      <c r="N532" s="24"/>
      <c r="O532" s="28"/>
      <c r="P532" s="24"/>
      <c r="Q532" s="62"/>
      <c r="R532" s="72"/>
      <c r="S532" s="25"/>
      <c r="T532" s="63"/>
      <c r="U532" s="47" t="str">
        <f>IFERROR(INDEX(NOVO!O:O,MATCH(PRINT!E532,NOVO!C:C,0)),"")</f>
        <v/>
      </c>
    </row>
    <row r="533" spans="1:21" x14ac:dyDescent="0.35">
      <c r="A533" s="54"/>
      <c r="B533" s="23"/>
      <c r="C533" s="23"/>
      <c r="D533" s="23"/>
      <c r="E533" s="23"/>
      <c r="F533" s="23"/>
      <c r="G533" s="73"/>
      <c r="H533" s="23"/>
      <c r="I533" s="23"/>
      <c r="J533" s="23"/>
      <c r="K533" s="23"/>
      <c r="L533" s="23"/>
      <c r="M533" s="23"/>
      <c r="N533" s="24"/>
      <c r="O533" s="28"/>
      <c r="P533" s="24"/>
      <c r="Q533" s="62"/>
      <c r="R533" s="72"/>
      <c r="S533" s="25"/>
      <c r="T533" s="63"/>
      <c r="U533" s="47"/>
    </row>
    <row r="534" spans="1:21" x14ac:dyDescent="0.35">
      <c r="A534" s="54"/>
      <c r="B534" s="23"/>
      <c r="C534" s="23"/>
      <c r="D534" s="23"/>
      <c r="E534" s="23"/>
      <c r="F534" s="23"/>
      <c r="G534" s="73"/>
      <c r="H534" s="23"/>
      <c r="I534" s="23"/>
      <c r="J534" s="23"/>
      <c r="K534" s="23"/>
      <c r="L534" s="23"/>
      <c r="M534" s="23"/>
      <c r="N534" s="24"/>
      <c r="O534" s="28"/>
      <c r="P534" s="24"/>
      <c r="Q534" s="62"/>
      <c r="R534" s="72"/>
      <c r="S534" s="25"/>
      <c r="T534" s="63"/>
      <c r="U534" s="47"/>
    </row>
    <row r="535" spans="1:21" x14ac:dyDescent="0.35">
      <c r="A535" s="54"/>
      <c r="B535" s="23"/>
      <c r="C535" s="23"/>
      <c r="D535" s="23"/>
      <c r="E535" s="23"/>
      <c r="F535" s="23"/>
      <c r="G535" s="73"/>
      <c r="H535" s="23"/>
      <c r="I535" s="23"/>
      <c r="J535" s="23"/>
      <c r="K535" s="23"/>
      <c r="L535" s="23"/>
      <c r="M535" s="23"/>
      <c r="N535" s="24"/>
      <c r="O535" s="28"/>
      <c r="P535" s="24"/>
      <c r="Q535" s="62"/>
      <c r="R535" s="72"/>
      <c r="S535" s="25"/>
      <c r="T535" s="63"/>
      <c r="U535" s="47"/>
    </row>
    <row r="536" spans="1:21" x14ac:dyDescent="0.35">
      <c r="A536" s="54"/>
      <c r="B536" s="23"/>
      <c r="C536" s="23"/>
      <c r="D536" s="23"/>
      <c r="E536" s="23"/>
      <c r="F536" s="23"/>
      <c r="G536" s="73"/>
      <c r="H536" s="23"/>
      <c r="I536" s="23"/>
      <c r="J536" s="23"/>
      <c r="K536" s="23"/>
      <c r="L536" s="23"/>
      <c r="M536" s="23"/>
      <c r="N536" s="24"/>
      <c r="O536" s="28"/>
      <c r="P536" s="24"/>
      <c r="Q536" s="62"/>
      <c r="R536" s="72"/>
      <c r="S536" s="25"/>
      <c r="T536" s="63"/>
      <c r="U536" s="47"/>
    </row>
    <row r="537" spans="1:21" x14ac:dyDescent="0.35">
      <c r="A537" s="54"/>
      <c r="B537" s="23"/>
      <c r="C537" s="23"/>
      <c r="D537" s="23"/>
      <c r="E537" s="23"/>
      <c r="F537" s="23"/>
      <c r="G537" s="73"/>
      <c r="H537" s="23"/>
      <c r="I537" s="23"/>
      <c r="J537" s="23"/>
      <c r="K537" s="23"/>
      <c r="L537" s="23"/>
      <c r="M537" s="23"/>
      <c r="N537" s="24"/>
      <c r="O537" s="28"/>
      <c r="P537" s="24"/>
      <c r="Q537" s="62"/>
      <c r="R537" s="72"/>
      <c r="S537" s="25"/>
      <c r="T537" s="63"/>
      <c r="U537" s="47"/>
    </row>
    <row r="538" spans="1:21" x14ac:dyDescent="0.35">
      <c r="A538" s="54"/>
      <c r="B538" s="23"/>
      <c r="C538" s="23"/>
      <c r="D538" s="23"/>
      <c r="E538" s="23"/>
      <c r="F538" s="23"/>
      <c r="G538" s="73"/>
      <c r="H538" s="23"/>
      <c r="I538" s="23"/>
      <c r="J538" s="23"/>
      <c r="K538" s="23"/>
      <c r="L538" s="23"/>
      <c r="M538" s="23"/>
      <c r="N538" s="24"/>
      <c r="O538" s="28"/>
      <c r="P538" s="24"/>
      <c r="Q538" s="62"/>
      <c r="R538" s="72"/>
      <c r="S538" s="25"/>
      <c r="T538" s="63"/>
      <c r="U538" s="47"/>
    </row>
    <row r="539" spans="1:21" x14ac:dyDescent="0.35">
      <c r="A539" s="54"/>
      <c r="B539" s="23"/>
      <c r="C539" s="23"/>
      <c r="D539" s="23"/>
      <c r="E539" s="23"/>
      <c r="F539" s="23"/>
      <c r="G539" s="73"/>
      <c r="H539" s="23"/>
      <c r="I539" s="23"/>
      <c r="J539" s="23"/>
      <c r="K539" s="23"/>
      <c r="L539" s="23"/>
      <c r="M539" s="23"/>
      <c r="N539" s="24"/>
      <c r="O539" s="28"/>
      <c r="P539" s="24"/>
      <c r="Q539" s="62"/>
      <c r="R539" s="72"/>
      <c r="S539" s="25"/>
      <c r="T539" s="63"/>
      <c r="U539" s="47"/>
    </row>
    <row r="540" spans="1:21" x14ac:dyDescent="0.35">
      <c r="A540" s="54"/>
      <c r="B540" s="23"/>
      <c r="C540" s="23"/>
      <c r="D540" s="23"/>
      <c r="E540" s="23"/>
      <c r="F540" s="23"/>
      <c r="G540" s="73"/>
      <c r="H540" s="23"/>
      <c r="I540" s="23"/>
      <c r="J540" s="23"/>
      <c r="K540" s="23"/>
      <c r="L540" s="23"/>
      <c r="M540" s="23"/>
      <c r="N540" s="24"/>
      <c r="O540" s="28"/>
      <c r="P540" s="24"/>
      <c r="Q540" s="62"/>
      <c r="R540" s="72"/>
      <c r="S540" s="25"/>
      <c r="T540" s="63"/>
      <c r="U540" s="47"/>
    </row>
    <row r="541" spans="1:21" x14ac:dyDescent="0.35">
      <c r="A541" s="54"/>
      <c r="B541" s="23"/>
      <c r="C541" s="23"/>
      <c r="D541" s="23"/>
      <c r="E541" s="23"/>
      <c r="F541" s="23"/>
      <c r="G541" s="73"/>
      <c r="H541" s="23"/>
      <c r="I541" s="23"/>
      <c r="J541" s="23"/>
      <c r="K541" s="23"/>
      <c r="L541" s="23"/>
      <c r="M541" s="23"/>
      <c r="N541" s="24"/>
      <c r="O541" s="28"/>
      <c r="P541" s="24"/>
      <c r="Q541" s="62"/>
      <c r="R541" s="72"/>
      <c r="S541" s="25"/>
      <c r="T541" s="63"/>
      <c r="U541" s="47"/>
    </row>
    <row r="542" spans="1:21" x14ac:dyDescent="0.35">
      <c r="A542" s="54"/>
      <c r="B542" s="23"/>
      <c r="C542" s="23"/>
      <c r="D542" s="23"/>
      <c r="E542" s="23"/>
      <c r="F542" s="23"/>
      <c r="G542" s="73"/>
      <c r="H542" s="23"/>
      <c r="I542" s="23"/>
      <c r="J542" s="23"/>
      <c r="K542" s="23"/>
      <c r="L542" s="23"/>
      <c r="M542" s="23"/>
      <c r="N542" s="24"/>
      <c r="O542" s="28"/>
      <c r="P542" s="24"/>
      <c r="Q542" s="62"/>
      <c r="R542" s="72"/>
      <c r="S542" s="25"/>
      <c r="T542" s="63"/>
      <c r="U542" s="47"/>
    </row>
    <row r="543" spans="1:21" x14ac:dyDescent="0.35">
      <c r="A543" s="54"/>
      <c r="B543" s="23"/>
      <c r="C543" s="23"/>
      <c r="D543" s="23"/>
      <c r="E543" s="23"/>
      <c r="F543" s="23"/>
      <c r="G543" s="73"/>
      <c r="H543" s="23"/>
      <c r="I543" s="23"/>
      <c r="J543" s="23"/>
      <c r="K543" s="23"/>
      <c r="L543" s="23"/>
      <c r="M543" s="23"/>
      <c r="N543" s="24"/>
      <c r="O543" s="28"/>
      <c r="P543" s="24"/>
      <c r="Q543" s="62"/>
      <c r="R543" s="72"/>
      <c r="S543" s="25"/>
      <c r="T543" s="63"/>
      <c r="U543" s="47"/>
    </row>
    <row r="544" spans="1:21" x14ac:dyDescent="0.35">
      <c r="A544" s="54"/>
      <c r="B544" s="23"/>
      <c r="C544" s="23"/>
      <c r="D544" s="23"/>
      <c r="E544" s="23"/>
      <c r="F544" s="23"/>
      <c r="G544" s="73"/>
      <c r="H544" s="23"/>
      <c r="I544" s="23"/>
      <c r="J544" s="23"/>
      <c r="K544" s="23"/>
      <c r="L544" s="23"/>
      <c r="M544" s="23"/>
      <c r="N544" s="24"/>
      <c r="O544" s="28"/>
      <c r="P544" s="24"/>
      <c r="Q544" s="62"/>
      <c r="R544" s="72"/>
      <c r="S544" s="25"/>
      <c r="T544" s="63"/>
      <c r="U544" s="47"/>
    </row>
    <row r="545" spans="1:21" x14ac:dyDescent="0.35">
      <c r="A545" s="54"/>
      <c r="B545" s="23"/>
      <c r="C545" s="23"/>
      <c r="D545" s="23"/>
      <c r="E545" s="23"/>
      <c r="F545" s="23"/>
      <c r="G545" s="73"/>
      <c r="H545" s="23"/>
      <c r="I545" s="23"/>
      <c r="J545" s="23"/>
      <c r="K545" s="23"/>
      <c r="L545" s="23"/>
      <c r="M545" s="23"/>
      <c r="N545" s="24"/>
      <c r="O545" s="28"/>
      <c r="P545" s="24"/>
      <c r="Q545" s="62"/>
      <c r="R545" s="72"/>
      <c r="S545" s="25"/>
      <c r="T545" s="63"/>
      <c r="U545" s="47"/>
    </row>
    <row r="546" spans="1:21" x14ac:dyDescent="0.35">
      <c r="A546" s="54"/>
      <c r="B546" s="23"/>
      <c r="C546" s="23"/>
      <c r="D546" s="23"/>
      <c r="E546" s="23"/>
      <c r="F546" s="23"/>
      <c r="G546" s="73"/>
      <c r="H546" s="23"/>
      <c r="I546" s="23"/>
      <c r="J546" s="23"/>
      <c r="K546" s="23"/>
      <c r="L546" s="23"/>
      <c r="M546" s="23"/>
      <c r="N546" s="24"/>
      <c r="O546" s="28"/>
      <c r="P546" s="24"/>
      <c r="Q546" s="62"/>
      <c r="R546" s="72"/>
      <c r="S546" s="25"/>
      <c r="T546" s="63"/>
      <c r="U546" s="47"/>
    </row>
    <row r="547" spans="1:21" x14ac:dyDescent="0.35">
      <c r="A547" s="54"/>
      <c r="B547" s="23"/>
      <c r="C547" s="23"/>
      <c r="D547" s="23"/>
      <c r="E547" s="23"/>
      <c r="F547" s="23"/>
      <c r="G547" s="73"/>
      <c r="H547" s="23"/>
      <c r="I547" s="23"/>
      <c r="J547" s="23"/>
      <c r="K547" s="23"/>
      <c r="L547" s="23"/>
      <c r="M547" s="23"/>
      <c r="N547" s="24"/>
      <c r="O547" s="28"/>
      <c r="P547" s="24"/>
      <c r="Q547" s="62"/>
      <c r="R547" s="72"/>
      <c r="S547" s="25"/>
      <c r="T547" s="63"/>
      <c r="U547" s="47"/>
    </row>
    <row r="548" spans="1:21" x14ac:dyDescent="0.35">
      <c r="A548" s="54"/>
      <c r="B548" s="23"/>
      <c r="C548" s="23"/>
      <c r="D548" s="23"/>
      <c r="E548" s="23"/>
      <c r="F548" s="23"/>
      <c r="G548" s="73"/>
      <c r="H548" s="23"/>
      <c r="I548" s="23"/>
      <c r="J548" s="23"/>
      <c r="K548" s="23"/>
      <c r="L548" s="23"/>
      <c r="M548" s="23"/>
      <c r="N548" s="24"/>
      <c r="O548" s="28"/>
      <c r="P548" s="24"/>
      <c r="Q548" s="62"/>
      <c r="R548" s="72"/>
      <c r="S548" s="25"/>
      <c r="T548" s="63"/>
      <c r="U548" s="47"/>
    </row>
    <row r="549" spans="1:21" x14ac:dyDescent="0.35">
      <c r="A549" s="54"/>
      <c r="B549" s="23"/>
      <c r="C549" s="23"/>
      <c r="D549" s="23"/>
      <c r="E549" s="23"/>
      <c r="F549" s="23"/>
      <c r="G549" s="73"/>
      <c r="H549" s="23"/>
      <c r="I549" s="23"/>
      <c r="J549" s="23"/>
      <c r="K549" s="23"/>
      <c r="L549" s="23"/>
      <c r="M549" s="23"/>
      <c r="N549" s="24"/>
      <c r="O549" s="28"/>
      <c r="P549" s="24"/>
      <c r="Q549" s="62"/>
      <c r="R549" s="72"/>
      <c r="S549" s="25"/>
      <c r="T549" s="63"/>
      <c r="U549" s="47"/>
    </row>
    <row r="550" spans="1:21" x14ac:dyDescent="0.35">
      <c r="A550" s="54"/>
      <c r="B550" s="23"/>
      <c r="C550" s="23"/>
      <c r="D550" s="23"/>
      <c r="E550" s="23"/>
      <c r="F550" s="23"/>
      <c r="G550" s="73"/>
      <c r="H550" s="23"/>
      <c r="I550" s="23"/>
      <c r="J550" s="23"/>
      <c r="K550" s="23"/>
      <c r="L550" s="23"/>
      <c r="M550" s="23"/>
      <c r="N550" s="24"/>
      <c r="O550" s="28"/>
      <c r="P550" s="24"/>
      <c r="Q550" s="62"/>
      <c r="R550" s="72"/>
      <c r="S550" s="25"/>
      <c r="T550" s="63"/>
      <c r="U550" s="47"/>
    </row>
    <row r="551" spans="1:21" x14ac:dyDescent="0.35">
      <c r="A551" s="23"/>
      <c r="B551" s="23"/>
      <c r="C551" s="23"/>
      <c r="D551" s="23"/>
      <c r="E551" s="23"/>
      <c r="F551" s="23"/>
      <c r="G551" s="23"/>
      <c r="H551" s="23"/>
      <c r="I551" s="23"/>
      <c r="J551" s="23"/>
      <c r="K551" s="26"/>
      <c r="L551" s="23"/>
      <c r="M551" s="23"/>
      <c r="N551" s="24"/>
      <c r="O551" s="64"/>
      <c r="P551" s="65"/>
      <c r="Q551" s="62"/>
      <c r="R551" s="62"/>
      <c r="S551" s="64"/>
      <c r="T551" s="63"/>
      <c r="U551" s="23"/>
    </row>
    <row r="552" spans="1:21" x14ac:dyDescent="0.35">
      <c r="A552" s="23"/>
      <c r="B552" s="23"/>
      <c r="C552" s="23"/>
      <c r="D552" s="23"/>
      <c r="E552" s="23"/>
      <c r="F552" s="23"/>
      <c r="G552" s="23"/>
      <c r="H552" s="23"/>
      <c r="I552" s="23"/>
      <c r="J552" s="23"/>
      <c r="K552" s="26"/>
      <c r="L552" s="23"/>
      <c r="M552" s="23"/>
      <c r="N552" s="24"/>
      <c r="O552" s="64"/>
      <c r="P552" s="65"/>
      <c r="Q552" s="62"/>
      <c r="R552" s="62"/>
      <c r="S552" s="64"/>
      <c r="T552" s="63"/>
      <c r="U552" s="23"/>
    </row>
    <row r="553" spans="1:21" x14ac:dyDescent="0.35">
      <c r="A553" s="23"/>
      <c r="B553" s="23"/>
      <c r="C553" s="23"/>
      <c r="D553" s="23"/>
      <c r="E553" s="23"/>
      <c r="F553" s="23"/>
      <c r="G553" s="23"/>
      <c r="H553" s="23"/>
      <c r="I553" s="23"/>
      <c r="J553" s="23"/>
      <c r="K553" s="26"/>
      <c r="L553" s="23"/>
      <c r="M553" s="23"/>
      <c r="N553" s="24"/>
      <c r="O553" s="64"/>
      <c r="P553" s="65"/>
      <c r="Q553" s="62"/>
      <c r="R553" s="62"/>
      <c r="S553" s="64"/>
      <c r="T553" s="63"/>
      <c r="U553" s="23"/>
    </row>
    <row r="554" spans="1:21" x14ac:dyDescent="0.35">
      <c r="A554" s="23"/>
      <c r="B554" s="23"/>
      <c r="C554" s="23"/>
      <c r="D554" s="23"/>
      <c r="E554" s="23"/>
      <c r="F554" s="23"/>
      <c r="G554" s="23"/>
      <c r="H554" s="23"/>
      <c r="I554" s="23"/>
      <c r="J554" s="23"/>
      <c r="K554" s="26"/>
      <c r="L554" s="23"/>
      <c r="M554" s="23"/>
      <c r="N554" s="24"/>
      <c r="O554" s="64"/>
      <c r="P554" s="65"/>
      <c r="Q554" s="62"/>
      <c r="R554" s="62"/>
      <c r="S554" s="64"/>
      <c r="T554" s="63"/>
      <c r="U554" s="23"/>
    </row>
  </sheetData>
  <autoFilter ref="A4:U541" xr:uid="{FD0C60B6-879C-4F77-B299-B712E6DA4110}">
    <sortState xmlns:xlrd2="http://schemas.microsoft.com/office/spreadsheetml/2017/richdata2" ref="A5:U541">
      <sortCondition descending="1" ref="Q4:Q541"/>
    </sortState>
  </autoFilter>
  <conditionalFormatting sqref="A5:T5">
    <cfRule type="expression" dxfId="94" priority="5989" stopIfTrue="1">
      <formula>AND(ISNUMBER($C5),$C5=$E5,$K$1=FALSE)</formula>
    </cfRule>
  </conditionalFormatting>
  <conditionalFormatting sqref="A5:L5">
    <cfRule type="expression" dxfId="93" priority="5281" stopIfTrue="1">
      <formula>$N5="NERADNO"</formula>
    </cfRule>
    <cfRule type="expression" dxfId="92" priority="5985" stopIfTrue="1">
      <formula>$N5="PAUZA"</formula>
    </cfRule>
  </conditionalFormatting>
  <conditionalFormatting sqref="N5:T5">
    <cfRule type="expression" dxfId="91" priority="5287">
      <formula>$N5="NERADNO"</formula>
    </cfRule>
    <cfRule type="expression" dxfId="90" priority="5987">
      <formula>$N5="PAUZA"</formula>
    </cfRule>
  </conditionalFormatting>
  <conditionalFormatting sqref="A926:T1327">
    <cfRule type="expression" dxfId="89" priority="2940" stopIfTrue="1">
      <formula>AND(ISNUMBER($C926),$C926=$E926,$K$1=FALSE)</formula>
    </cfRule>
  </conditionalFormatting>
  <conditionalFormatting sqref="A926:L1327">
    <cfRule type="expression" dxfId="88" priority="2935" stopIfTrue="1">
      <formula>$N926="NERADNO"</formula>
    </cfRule>
    <cfRule type="expression" dxfId="87" priority="2937" stopIfTrue="1">
      <formula>$N926="PAUZA"</formula>
    </cfRule>
  </conditionalFormatting>
  <conditionalFormatting sqref="N926:T1327">
    <cfRule type="expression" dxfId="86" priority="2936">
      <formula>$N926="NERADNO"</formula>
    </cfRule>
    <cfRule type="expression" dxfId="85" priority="2938">
      <formula>$N926="PAUZA"</formula>
    </cfRule>
  </conditionalFormatting>
  <conditionalFormatting sqref="E1:E1048576">
    <cfRule type="duplicateValues" dxfId="84" priority="2728"/>
  </conditionalFormatting>
  <conditionalFormatting sqref="D3">
    <cfRule type="duplicateValues" dxfId="83" priority="2432"/>
  </conditionalFormatting>
  <conditionalFormatting sqref="A921:T925">
    <cfRule type="expression" dxfId="82" priority="726" stopIfTrue="1">
      <formula>AND(ISNUMBER($C921),$C921=$E921,$K$1=FALSE)</formula>
    </cfRule>
  </conditionalFormatting>
  <conditionalFormatting sqref="A921:L925">
    <cfRule type="expression" dxfId="81" priority="722" stopIfTrue="1">
      <formula>$N921="NERADNO"</formula>
    </cfRule>
    <cfRule type="expression" dxfId="80" priority="724" stopIfTrue="1">
      <formula>$N921="PAUZA"</formula>
    </cfRule>
  </conditionalFormatting>
  <conditionalFormatting sqref="N921:T925">
    <cfRule type="expression" dxfId="79" priority="723">
      <formula>$N921="NERADNO"</formula>
    </cfRule>
    <cfRule type="expression" dxfId="78" priority="725">
      <formula>$N921="PAUZA"</formula>
    </cfRule>
  </conditionalFormatting>
  <conditionalFormatting sqref="A660:T920">
    <cfRule type="expression" dxfId="77" priority="711" stopIfTrue="1">
      <formula>AND(ISNUMBER($C660),$C660=$E660,$K$1=FALSE)</formula>
    </cfRule>
  </conditionalFormatting>
  <conditionalFormatting sqref="A660:L920">
    <cfRule type="expression" dxfId="76" priority="707" stopIfTrue="1">
      <formula>$N660="NERADNO"</formula>
    </cfRule>
    <cfRule type="expression" dxfId="75" priority="709" stopIfTrue="1">
      <formula>$N660="PAUZA"</formula>
    </cfRule>
  </conditionalFormatting>
  <conditionalFormatting sqref="N660:T920">
    <cfRule type="expression" dxfId="74" priority="708">
      <formula>$N660="NERADNO"</formula>
    </cfRule>
    <cfRule type="expression" dxfId="73" priority="710">
      <formula>$N660="PAUZA"</formula>
    </cfRule>
  </conditionalFormatting>
  <conditionalFormatting sqref="A589:T659">
    <cfRule type="expression" dxfId="72" priority="586" stopIfTrue="1">
      <formula>AND(ISNUMBER($C589),$C589=$E589,$K$1=FALSE)</formula>
    </cfRule>
  </conditionalFormatting>
  <conditionalFormatting sqref="A589:L659">
    <cfRule type="expression" dxfId="71" priority="582" stopIfTrue="1">
      <formula>$N589="NERADNO"</formula>
    </cfRule>
    <cfRule type="expression" dxfId="70" priority="584" stopIfTrue="1">
      <formula>$N589="PAUZA"</formula>
    </cfRule>
  </conditionalFormatting>
  <conditionalFormatting sqref="N589:T659">
    <cfRule type="expression" dxfId="69" priority="583">
      <formula>$N589="NERADNO"</formula>
    </cfRule>
    <cfRule type="expression" dxfId="68" priority="585">
      <formula>$N589="PAUZA"</formula>
    </cfRule>
  </conditionalFormatting>
  <conditionalFormatting sqref="A587:T588">
    <cfRule type="expression" dxfId="67" priority="581" stopIfTrue="1">
      <formula>AND(ISNUMBER($C587),$C587=$E587,$K$1=FALSE)</formula>
    </cfRule>
  </conditionalFormatting>
  <conditionalFormatting sqref="A587:L588">
    <cfRule type="expression" dxfId="66" priority="577" stopIfTrue="1">
      <formula>$N587="NERADNO"</formula>
    </cfRule>
    <cfRule type="expression" dxfId="65" priority="579" stopIfTrue="1">
      <formula>$N587="PAUZA"</formula>
    </cfRule>
  </conditionalFormatting>
  <conditionalFormatting sqref="N587:T588">
    <cfRule type="expression" dxfId="64" priority="578">
      <formula>$N587="NERADNO"</formula>
    </cfRule>
    <cfRule type="expression" dxfId="63" priority="580">
      <formula>$N587="PAUZA"</formula>
    </cfRule>
  </conditionalFormatting>
  <conditionalFormatting sqref="A575:T586">
    <cfRule type="expression" dxfId="62" priority="576" stopIfTrue="1">
      <formula>AND(ISNUMBER($C575),$C575=$E575,$K$1=FALSE)</formula>
    </cfRule>
  </conditionalFormatting>
  <conditionalFormatting sqref="A575:L586">
    <cfRule type="expression" dxfId="61" priority="572" stopIfTrue="1">
      <formula>$N575="NERADNO"</formula>
    </cfRule>
    <cfRule type="expression" dxfId="60" priority="574" stopIfTrue="1">
      <formula>$N575="PAUZA"</formula>
    </cfRule>
  </conditionalFormatting>
  <conditionalFormatting sqref="N575:T586">
    <cfRule type="expression" dxfId="59" priority="573">
      <formula>$N575="NERADNO"</formula>
    </cfRule>
    <cfRule type="expression" dxfId="58" priority="575">
      <formula>$N575="PAUZA"</formula>
    </cfRule>
  </conditionalFormatting>
  <conditionalFormatting sqref="A550:T574">
    <cfRule type="expression" dxfId="57" priority="566" stopIfTrue="1">
      <formula>AND(ISNUMBER($C550),$C550=$E550,$K$1=FALSE)</formula>
    </cfRule>
  </conditionalFormatting>
  <conditionalFormatting sqref="A550:L574">
    <cfRule type="expression" dxfId="56" priority="562" stopIfTrue="1">
      <formula>$N550="NERADNO"</formula>
    </cfRule>
    <cfRule type="expression" dxfId="55" priority="564" stopIfTrue="1">
      <formula>$N550="PAUZA"</formula>
    </cfRule>
  </conditionalFormatting>
  <conditionalFormatting sqref="N550:T574">
    <cfRule type="expression" dxfId="54" priority="563">
      <formula>$N550="NERADNO"</formula>
    </cfRule>
    <cfRule type="expression" dxfId="53" priority="565">
      <formula>$N550="PAUZA"</formula>
    </cfRule>
  </conditionalFormatting>
  <conditionalFormatting sqref="A548:T549">
    <cfRule type="expression" dxfId="52" priority="556" stopIfTrue="1">
      <formula>AND(ISNUMBER($C548),$C548=$E548,$K$1=FALSE)</formula>
    </cfRule>
  </conditionalFormatting>
  <conditionalFormatting sqref="A548:L549">
    <cfRule type="expression" dxfId="51" priority="552" stopIfTrue="1">
      <formula>$N548="NERADNO"</formula>
    </cfRule>
    <cfRule type="expression" dxfId="50" priority="554" stopIfTrue="1">
      <formula>$N548="PAUZA"</formula>
    </cfRule>
  </conditionalFormatting>
  <conditionalFormatting sqref="N548:T549">
    <cfRule type="expression" dxfId="49" priority="553">
      <formula>$N548="NERADNO"</formula>
    </cfRule>
    <cfRule type="expression" dxfId="48" priority="555">
      <formula>$N548="PAUZA"</formula>
    </cfRule>
  </conditionalFormatting>
  <conditionalFormatting sqref="C3">
    <cfRule type="duplicateValues" dxfId="47" priority="551"/>
  </conditionalFormatting>
  <conditionalFormatting sqref="A544:T547">
    <cfRule type="expression" dxfId="46" priority="540" stopIfTrue="1">
      <formula>AND(ISNUMBER($C544),$C544=$E544,$K$1=FALSE)</formula>
    </cfRule>
  </conditionalFormatting>
  <conditionalFormatting sqref="A544:L547">
    <cfRule type="expression" dxfId="45" priority="536" stopIfTrue="1">
      <formula>$N544="NERADNO"</formula>
    </cfRule>
    <cfRule type="expression" dxfId="44" priority="538" stopIfTrue="1">
      <formula>$N544="PAUZA"</formula>
    </cfRule>
  </conditionalFormatting>
  <conditionalFormatting sqref="N544:T547">
    <cfRule type="expression" dxfId="43" priority="537">
      <formula>$N544="NERADNO"</formula>
    </cfRule>
    <cfRule type="expression" dxfId="42" priority="539">
      <formula>$N544="PAUZA"</formula>
    </cfRule>
  </conditionalFormatting>
  <conditionalFormatting sqref="A534:T543">
    <cfRule type="expression" dxfId="41" priority="160" stopIfTrue="1">
      <formula>AND(ISNUMBER($C534),$C534=$E534,$K$1=FALSE)</formula>
    </cfRule>
  </conditionalFormatting>
  <conditionalFormatting sqref="A534:L543">
    <cfRule type="expression" dxfId="40" priority="156" stopIfTrue="1">
      <formula>$N534="NERADNO"</formula>
    </cfRule>
    <cfRule type="expression" dxfId="39" priority="158" stopIfTrue="1">
      <formula>$N534="PAUZA"</formula>
    </cfRule>
  </conditionalFormatting>
  <conditionalFormatting sqref="N534:T543">
    <cfRule type="expression" dxfId="38" priority="157">
      <formula>$N534="NERADNO"</formula>
    </cfRule>
    <cfRule type="expression" dxfId="37" priority="159">
      <formula>$N534="PAUZA"</formula>
    </cfRule>
  </conditionalFormatting>
  <conditionalFormatting sqref="A532:T533">
    <cfRule type="expression" dxfId="36" priority="10" stopIfTrue="1">
      <formula>AND(ISNUMBER($C532),$C532=$E532,$K$1=FALSE)</formula>
    </cfRule>
  </conditionalFormatting>
  <conditionalFormatting sqref="A532:L533">
    <cfRule type="expression" dxfId="35" priority="6" stopIfTrue="1">
      <formula>$N532="NERADNO"</formula>
    </cfRule>
    <cfRule type="expression" dxfId="34" priority="8" stopIfTrue="1">
      <formula>$N532="PAUZA"</formula>
    </cfRule>
  </conditionalFormatting>
  <conditionalFormatting sqref="N532:T533">
    <cfRule type="expression" dxfId="33" priority="7">
      <formula>$N532="NERADNO"</formula>
    </cfRule>
    <cfRule type="expression" dxfId="32" priority="9">
      <formula>$N532="PAUZA"</formula>
    </cfRule>
  </conditionalFormatting>
  <conditionalFormatting sqref="A6:T531">
    <cfRule type="expression" dxfId="31" priority="5" stopIfTrue="1">
      <formula>AND(ISNUMBER($C6),$C6=$E6,$K$1=FALSE)</formula>
    </cfRule>
  </conditionalFormatting>
  <conditionalFormatting sqref="A6:L531">
    <cfRule type="expression" dxfId="30" priority="1" stopIfTrue="1">
      <formula>$N6="NERADNO"</formula>
    </cfRule>
    <cfRule type="expression" dxfId="29" priority="3" stopIfTrue="1">
      <formula>$N6="PAUZA"</formula>
    </cfRule>
  </conditionalFormatting>
  <conditionalFormatting sqref="N6:T531">
    <cfRule type="expression" dxfId="28" priority="2">
      <formula>$N6="NERADNO"</formula>
    </cfRule>
    <cfRule type="expression" dxfId="27" priority="4">
      <formula>$N6="PAUZA"</formula>
    </cfRule>
  </conditionalFormatting>
  <hyperlinks>
    <hyperlink ref="AA1" r:id="rId1" display="101174" xr:uid="{A882E8CB-1C27-47AA-A03B-2D5F07AEB6AD}"/>
    <hyperlink ref="AA2" r:id="rId2" display="105997" xr:uid="{7A4B330C-3B6E-4534-B9F5-1B33568B5BA1}"/>
    <hyperlink ref="AA3" r:id="rId3" display="105998" xr:uid="{E9D57AE1-A0B9-4E80-B1F3-E20A9156AAB6}"/>
    <hyperlink ref="AA4" r:id="rId4" display="106000" xr:uid="{3836C801-1D76-459D-A1DE-F8F79B59D18C}"/>
    <hyperlink ref="AA5" r:id="rId5" display="110918" xr:uid="{524D8444-A7A8-48BE-AC95-9BA671D0010B}"/>
    <hyperlink ref="AA6" r:id="rId6" display="110954" xr:uid="{C95161CC-0BC7-4F85-AD93-DE78BBBFADF4}"/>
    <hyperlink ref="AA7" r:id="rId7" display="110958" xr:uid="{FCE30A21-E041-4D75-9385-21CDDD3443F1}"/>
    <hyperlink ref="AA8" r:id="rId8" display="110967" xr:uid="{32FAB4BE-CF19-47B4-86E2-391FE9CD4F91}"/>
    <hyperlink ref="AA9" r:id="rId9" display="110968" xr:uid="{4162060E-F237-4A7F-8461-173B76A6FE96}"/>
    <hyperlink ref="AA10" r:id="rId10" display="111871" xr:uid="{F111EA6C-2CCE-41C4-B7E2-26FEBCE81188}"/>
    <hyperlink ref="AA11" r:id="rId11" display="116382" xr:uid="{3C86C125-696D-4825-9E82-7B87308DC2F9}"/>
    <hyperlink ref="AA12" r:id="rId12" display="117525" xr:uid="{EA75841A-D68F-45C9-9CC8-5835CC4FEB42}"/>
    <hyperlink ref="AA13" r:id="rId13" display="118355" xr:uid="{23A294E0-A601-48C4-995F-435A52F95FC5}"/>
    <hyperlink ref="AA14" r:id="rId14" display="118792" xr:uid="{597ED8BE-5BA1-4612-8373-687A72F54053}"/>
    <hyperlink ref="AA15" r:id="rId15" display="120832" xr:uid="{83072699-2922-46D6-A892-9137237A92C3}"/>
    <hyperlink ref="AA16" r:id="rId16" display="122922" xr:uid="{FF12F7B2-712F-4BC3-A66E-BA597B1A6F86}"/>
    <hyperlink ref="AA17" r:id="rId17" display="122924" xr:uid="{E6C453B9-24B8-4B61-A60B-27F52BD71A02}"/>
    <hyperlink ref="AA18" r:id="rId18" display="122925" xr:uid="{B6914E86-A0A2-42F6-9CA1-CE42287DE422}"/>
    <hyperlink ref="AA19" r:id="rId19" display="124294" xr:uid="{44D20EC4-637A-45E3-9DC7-13C07563571F}"/>
    <hyperlink ref="AA20" r:id="rId20" display="124351" xr:uid="{E7C330F0-6AFE-4F3F-B9BB-66E2745107E1}"/>
    <hyperlink ref="AA21" r:id="rId21" display="130073" xr:uid="{18D82989-02EF-4330-83A0-66752DFB0D6B}"/>
    <hyperlink ref="AA22" r:id="rId22" display="130076" xr:uid="{EB1A6BA6-1447-4CBF-A95F-FA5C8772C66C}"/>
    <hyperlink ref="AA23" r:id="rId23" display="130078" xr:uid="{2F8CE664-F531-48CE-AB0C-A5CA05AA4839}"/>
    <hyperlink ref="AA24" r:id="rId24" display="131357" xr:uid="{42A59367-4E6E-466F-94B5-D1DF84F21C26}"/>
    <hyperlink ref="AA25" r:id="rId25" display="131358" xr:uid="{B3F238C2-3DF5-44E2-8E9C-7D67D392E6E6}"/>
    <hyperlink ref="AA26" r:id="rId26" display="131372" xr:uid="{6654BC48-8265-4E1A-87C7-EB5DA8EE5B22}"/>
    <hyperlink ref="AA27" r:id="rId27" display="131373" xr:uid="{999BE63D-9A4D-4439-8DD2-80C76F4F8E64}"/>
    <hyperlink ref="AA28" r:id="rId28" display="131411" xr:uid="{BFADE3BC-04C0-4D13-824B-08A310F2B4BE}"/>
    <hyperlink ref="AA29" r:id="rId29" display="131412" xr:uid="{C3CA62AD-6DD3-449A-8F84-CD9F1088F633}"/>
    <hyperlink ref="AA30" r:id="rId30" display="131782" xr:uid="{50129705-93C0-4C6E-B2A4-4F99B19A423A}"/>
    <hyperlink ref="AA31" r:id="rId31" display="131783" xr:uid="{1167A58E-F00D-460E-9829-33CD59DA54E8}"/>
    <hyperlink ref="AA32" r:id="rId32" display="137101" xr:uid="{E05D22E2-1EB1-4D47-925C-799770E6F37D}"/>
    <hyperlink ref="AA33" r:id="rId33" display="137102" xr:uid="{6C271D50-A993-45DC-97D7-67B613F8E94A}"/>
    <hyperlink ref="AA34" r:id="rId34" display="137105" xr:uid="{4FCBB3FA-A90F-4F20-B3A6-CC1E5A0387FD}"/>
    <hyperlink ref="AA35" r:id="rId35" display="137252" xr:uid="{D1E1C52E-B9F6-4490-AF1A-B5019B43EB4D}"/>
    <hyperlink ref="AA36" r:id="rId36" display="137868" xr:uid="{B22541F9-D22E-4B8C-982D-15A33BE804D0}"/>
    <hyperlink ref="AA37" r:id="rId37" display="137873" xr:uid="{DC4BBF8E-B7E2-47C5-AE83-8F009B9045EC}"/>
    <hyperlink ref="AA38" r:id="rId38" display="137880" xr:uid="{13453DA2-5ACD-428D-A3B9-05687E4A4E36}"/>
    <hyperlink ref="AA39" r:id="rId39" display="137881" xr:uid="{C873D8D3-EAA3-46E2-85CB-EDFC71E54CA2}"/>
    <hyperlink ref="AA40" r:id="rId40" display="137917" xr:uid="{0D283793-152B-481D-9DC7-94F36184CD01}"/>
    <hyperlink ref="AA41" r:id="rId41" display="137918" xr:uid="{76AABB72-97CE-4ED9-A639-963C2473B195}"/>
    <hyperlink ref="AA42" r:id="rId42" display="137922" xr:uid="{0B181C6B-54F4-47AC-9586-D2605D582394}"/>
    <hyperlink ref="AA43" r:id="rId43" display="137923" xr:uid="{9F062185-DD61-48C2-B182-563C6CE09F98}"/>
    <hyperlink ref="AA44" r:id="rId44" display="137924" xr:uid="{8469EBD9-B332-45A1-BC33-C42285C755AB}"/>
    <hyperlink ref="AA45" r:id="rId45" display="137925" xr:uid="{A6B97FDC-B989-4525-BA80-705706C0C07B}"/>
    <hyperlink ref="AA46" r:id="rId46" display="137927" xr:uid="{0304526D-BC92-4256-BB74-427B69B042B6}"/>
    <hyperlink ref="AA47" r:id="rId47" display="137928" xr:uid="{C84C7857-33A0-4370-973A-0ECDE1C41506}"/>
    <hyperlink ref="AA48" r:id="rId48" display="137939" xr:uid="{04ADCEF4-AD44-4776-8F4D-C4BA51156E62}"/>
    <hyperlink ref="AA49" r:id="rId49" display="137940" xr:uid="{B563DC9C-A0B7-419F-ABB2-B440B68E251E}"/>
    <hyperlink ref="AA50" r:id="rId50" display="137941" xr:uid="{24A0B0C3-2B44-4DA5-98F9-5B81B0F6D93E}"/>
    <hyperlink ref="AA51" r:id="rId51" display="138053" xr:uid="{A29FA4B3-8FA6-449B-A77C-D856D8C1DF7B}"/>
    <hyperlink ref="AA52" r:id="rId52" display="139273" xr:uid="{AA7BF963-9638-4A4B-AC50-6F1E6F85B045}"/>
    <hyperlink ref="AA53" r:id="rId53" display="139605" xr:uid="{65114811-DB21-4274-A512-F7D45914A1D5}"/>
    <hyperlink ref="AA54" r:id="rId54" display="139606" xr:uid="{AC4C24A1-CB57-456F-9B94-74CD0FE96391}"/>
    <hyperlink ref="AA55" r:id="rId55" display="139607" xr:uid="{8A811418-532E-40B0-8A4B-3635B95A3AE4}"/>
    <hyperlink ref="AA56" r:id="rId56" display="139608" xr:uid="{6E149B67-6750-46CB-B035-9CFCF524EFA4}"/>
    <hyperlink ref="AA57" r:id="rId57" display="139609" xr:uid="{4A77C185-5D38-4EC6-9760-5ACD7EBE78F2}"/>
    <hyperlink ref="AA58" r:id="rId58" display="139610" xr:uid="{33EBFB8F-6904-4E1D-9014-38C039D49A38}"/>
    <hyperlink ref="AA59" r:id="rId59" display="139611" xr:uid="{610C2D1F-3475-44F2-B28C-F468F4B05F36}"/>
    <hyperlink ref="AA60" r:id="rId60" display="139615" xr:uid="{243F4211-26A2-4417-8537-0404748F57A7}"/>
    <hyperlink ref="AA61" r:id="rId61" display="139618" xr:uid="{1300982B-7984-4B62-B913-162BCB4C6544}"/>
    <hyperlink ref="AA62" r:id="rId62" display="139619" xr:uid="{F05FA1C9-7F07-4CFC-A031-68718E8A3C60}"/>
    <hyperlink ref="AA63" r:id="rId63" display="139624" xr:uid="{DEE22430-80E5-412F-A6FE-1787244FA479}"/>
    <hyperlink ref="AA64" r:id="rId64" display="139631" xr:uid="{7455B45C-CAE3-4C65-ABA6-DA7EE55ADE83}"/>
    <hyperlink ref="AA65" r:id="rId65" display="139758" xr:uid="{2FB5198B-CB22-4257-936C-2D1A884C1178}"/>
    <hyperlink ref="AA66" r:id="rId66" display="140479" xr:uid="{F7103111-A798-4FA2-B3F7-8AA3E35B05BC}"/>
    <hyperlink ref="AA67" r:id="rId67" display="140483" xr:uid="{F455B91E-3D5C-414A-B349-E77F747BC745}"/>
    <hyperlink ref="AA68" r:id="rId68" display="140486" xr:uid="{4BE7FC99-D480-4DFC-97DF-A8855010ED6A}"/>
    <hyperlink ref="AA69" r:id="rId69" display="141387" xr:uid="{0FA56C0E-FA86-4F31-A0DE-BAD9800BB4B2}"/>
    <hyperlink ref="AA70" r:id="rId70" display="141400" xr:uid="{744B82F5-CB5F-45A1-BCC4-9F527E77B00C}"/>
    <hyperlink ref="AA71" r:id="rId71" display="141577" xr:uid="{5FCD1DF0-CFE5-4350-8107-5CBBBCC46C8B}"/>
    <hyperlink ref="AA72" r:id="rId72" display="141616" xr:uid="{C0924A57-5162-460B-97D4-8B0486B23612}"/>
    <hyperlink ref="AA73" r:id="rId73" display="141617" xr:uid="{94774AC4-B21E-4415-9831-8E8C70035532}"/>
    <hyperlink ref="AA74" r:id="rId74" display="141939" xr:uid="{68D6468A-C0BD-416B-8D0B-2C5F2704AD4D}"/>
    <hyperlink ref="AA75" r:id="rId75" display="141955" xr:uid="{AEF72EFF-02C1-4917-81C4-B4305C7EEAE8}"/>
    <hyperlink ref="AA76" r:id="rId76" display="142010" xr:uid="{4511D913-8BC7-4C3D-9504-99505EA0AA71}"/>
    <hyperlink ref="AA77" r:id="rId77" display="142995" xr:uid="{072A22C6-8D4C-4F7D-8303-9FAA4E634EC5}"/>
    <hyperlink ref="AA78" r:id="rId78" display="143008" xr:uid="{630EA125-FCF6-440D-A4D9-8B4AE31A8485}"/>
    <hyperlink ref="AA79" r:id="rId79" display="144305" xr:uid="{067D88B7-2CBC-42BF-BA69-04B92E15286F}"/>
    <hyperlink ref="AA80" r:id="rId80" display="144330" xr:uid="{D9B6077A-65A3-4A6C-937E-2A9179FFBE4E}"/>
    <hyperlink ref="AA81" r:id="rId81" display="144717" xr:uid="{96B10E09-2FD3-4900-8CDA-0202E0B0F13F}"/>
    <hyperlink ref="AA82" r:id="rId82" display="145988" xr:uid="{D903FE16-E1C8-45B5-9310-943DF8A7FA98}"/>
    <hyperlink ref="AA83" r:id="rId83" display="147116" xr:uid="{FD894D65-BCA4-4D68-A9A6-7F061B2AB2F8}"/>
    <hyperlink ref="AA84" r:id="rId84" display="147117" xr:uid="{ACA49DE8-D86A-4FD7-9175-00FFB6F9F403}"/>
    <hyperlink ref="AA85" r:id="rId85" display="147118" xr:uid="{06EE4BBB-6E50-42AB-BF04-CA9DFBC6AE0A}"/>
    <hyperlink ref="AA86" r:id="rId86" display="147119" xr:uid="{8EAE577E-1E39-4C75-8CA4-F3F2627678F8}"/>
    <hyperlink ref="AA87" r:id="rId87" display="148629" xr:uid="{D0CBA4BB-184A-4799-8B8F-4BBA223F6C48}"/>
    <hyperlink ref="AA88" r:id="rId88" display="149612" xr:uid="{48B7005B-C61B-4A2A-8765-47D7D0626380}"/>
    <hyperlink ref="AA89" r:id="rId89" display="150155" xr:uid="{F8CD1771-C950-4C75-9E6E-F07D594E6A50}"/>
    <hyperlink ref="AA90" r:id="rId90" display="150158" xr:uid="{F85E50C7-CAE4-4B46-B224-F1EB0ED85D3B}"/>
    <hyperlink ref="AA91" r:id="rId91" display="150159" xr:uid="{5794F8B0-0129-4535-8B5F-CADBB9D47E1F}"/>
    <hyperlink ref="AA92" r:id="rId92" display="150174" xr:uid="{122C0DC1-128A-4BF8-8CAE-B21FF7CA0811}"/>
    <hyperlink ref="AA93" r:id="rId93" display="150175" xr:uid="{B86D1C65-AA14-45C4-9692-CB61A1EF1FD2}"/>
    <hyperlink ref="AA94" r:id="rId94" display="150279" xr:uid="{C115EE3D-BF43-4A9C-8257-597E21B9E1D9}"/>
    <hyperlink ref="AA95" r:id="rId95" display="150587" xr:uid="{2ECFF04B-04EA-4312-BE43-3E74E6513915}"/>
    <hyperlink ref="AA96" r:id="rId96" display="150623" xr:uid="{4932D34C-7D24-49FF-B0BA-CA72207BA484}"/>
    <hyperlink ref="AA97" r:id="rId97" display="150624" xr:uid="{ABC5B154-9B69-4F12-B79A-60D6D6AA7D1C}"/>
    <hyperlink ref="AA98" r:id="rId98" display="150633" xr:uid="{02C3AB24-540A-4621-9804-DE6233488E1A}"/>
    <hyperlink ref="AA99" r:id="rId99" display="150893" xr:uid="{0AD7B13F-61D2-405C-94BA-A83F02B69AD0}"/>
    <hyperlink ref="AA100" r:id="rId100" display="151167" xr:uid="{0A4575AF-D8A7-4580-81EF-8B25D1E15FDF}"/>
    <hyperlink ref="AA101" r:id="rId101" display="151168" xr:uid="{13966737-1D29-4A36-99E7-9703DE10F1DC}"/>
    <hyperlink ref="AA102" r:id="rId102" display="151173" xr:uid="{BE619C2E-7FB3-475E-A7A4-9F2D00B56087}"/>
    <hyperlink ref="AA103" r:id="rId103" display="151177" xr:uid="{3BA3A77B-A018-4D00-96C7-63B03BBA721C}"/>
    <hyperlink ref="AA104" r:id="rId104" display="151241" xr:uid="{467BF013-1B15-4049-86A4-580D5E9A2514}"/>
    <hyperlink ref="AA105" r:id="rId105" display="151297" xr:uid="{47D8917C-E7E8-40D2-B5A1-43E7CFB15105}"/>
    <hyperlink ref="AA106" r:id="rId106" display="152571" xr:uid="{4CC72D6C-735C-4F9C-B3D6-E00ED0EF9EA4}"/>
    <hyperlink ref="AA107" r:id="rId107" display="152694" xr:uid="{1BCF08F1-26A3-4B86-99EC-18C1DC0B6792}"/>
    <hyperlink ref="AA108" r:id="rId108" display="152924" xr:uid="{7C2D9BC7-2225-4C6A-A4B6-27152CAE05F0}"/>
    <hyperlink ref="AA109" r:id="rId109" display="152925" xr:uid="{1D63A7E0-D775-443F-BF92-6D6F1A1550DC}"/>
    <hyperlink ref="AA110" r:id="rId110" display="152930" xr:uid="{3D4FA0CF-5C1C-4336-98E9-22946FAB5C90}"/>
    <hyperlink ref="AA111" r:id="rId111" display="152933" xr:uid="{9F2EC567-18DA-4555-ABC8-3665FBC6E6FD}"/>
    <hyperlink ref="AA112" r:id="rId112" display="153086" xr:uid="{C79DA338-2D6D-476A-862C-C2E07B25AEA6}"/>
    <hyperlink ref="AA113" r:id="rId113" display="153087" xr:uid="{DB0B7142-E711-4D52-A8F8-56ECFC0E300C}"/>
    <hyperlink ref="AA114" r:id="rId114" display="153137" xr:uid="{7C3C3476-E34C-44AA-89C7-81B361E1D21A}"/>
    <hyperlink ref="AA115" r:id="rId115" display="153476" xr:uid="{F4DAF118-431D-4F2B-955C-3BA72DB7BCBD}"/>
    <hyperlink ref="AA116" r:id="rId116" display="153477" xr:uid="{89162B34-5FFE-44FA-84C2-CEBE39184836}"/>
    <hyperlink ref="AA117" r:id="rId117" display="153478" xr:uid="{FD496484-77D5-4DAC-80C8-CEACD1AF8C53}"/>
    <hyperlink ref="AA118" r:id="rId118" display="153757" xr:uid="{D1331EF4-EF4C-4888-B588-09BDFC2F8810}"/>
    <hyperlink ref="AA119" r:id="rId119" display="153758" xr:uid="{EF53946E-F7EE-4464-A861-2C92F52F2669}"/>
    <hyperlink ref="AA120" r:id="rId120" display="153759" xr:uid="{0E231D3E-8AC3-4A2C-AA58-19E386EBEDB7}"/>
    <hyperlink ref="AA121" r:id="rId121" display="153777" xr:uid="{5D6C9342-1165-49E4-968C-EDDDBF54178D}"/>
    <hyperlink ref="AA122" r:id="rId122" display="153780" xr:uid="{59953E86-B355-462F-9961-FC3C5D009501}"/>
    <hyperlink ref="AA123" r:id="rId123" display="153783" xr:uid="{6F642D6A-3B83-47DB-AB9E-C3C0191004CD}"/>
    <hyperlink ref="AA124" r:id="rId124" display="153784" xr:uid="{225B4C84-558F-4C36-80FB-9B24E00EEE02}"/>
    <hyperlink ref="AA125" r:id="rId125" display="154137" xr:uid="{1DBD4983-070A-4E0B-A669-A82286BF3270}"/>
    <hyperlink ref="AA126" r:id="rId126" display="154382" xr:uid="{20957625-5372-492B-B522-D653FA81C448}"/>
    <hyperlink ref="AA127" r:id="rId127" display="154383" xr:uid="{AC5646EB-73B7-486C-9AFA-A0909D1F41C3}"/>
    <hyperlink ref="AA128" r:id="rId128" display="154384" xr:uid="{3D8985F6-61F8-4DF1-B68B-6D45A8D60E2C}"/>
    <hyperlink ref="AA129" r:id="rId129" display="154386" xr:uid="{27E4F388-820F-49FA-84F4-10C71D826A8E}"/>
    <hyperlink ref="AA130" r:id="rId130" display="154387" xr:uid="{BB7A5795-1E03-4FDF-8C8D-E9DDE09F3BA4}"/>
    <hyperlink ref="AA131" r:id="rId131" display="154396" xr:uid="{55FAAD2B-4A59-49ED-9041-41346205F930}"/>
    <hyperlink ref="AA132" r:id="rId132" display="154635" xr:uid="{C368F21D-6909-48FD-B469-98222FA0EB84}"/>
    <hyperlink ref="AA133" r:id="rId133" display="154636" xr:uid="{4D3E0C68-EF08-46BF-8663-2FFA85B845CA}"/>
    <hyperlink ref="AA134" r:id="rId134" display="154763" xr:uid="{2B9EDC6D-5436-4DA2-AFFF-B3FF7111ACBD}"/>
    <hyperlink ref="AA135" r:id="rId135" display="154885" xr:uid="{BE05B115-3934-4A26-94BB-507C2C6059FD}"/>
    <hyperlink ref="AA136" r:id="rId136" display="155372" xr:uid="{AFCFBEC0-5BF6-43C4-B573-4B40936B5CE5}"/>
    <hyperlink ref="AA137" r:id="rId137" display="155381" xr:uid="{BBDBC8C5-CE4B-4670-B354-746B743A081D}"/>
    <hyperlink ref="AA138" r:id="rId138" display="155384" xr:uid="{8C521531-3405-459F-95FA-F6A321C2AB6A}"/>
    <hyperlink ref="AA139" r:id="rId139" display="155678" xr:uid="{EB572676-9223-4567-BECE-C9255B1BC16D}"/>
    <hyperlink ref="AA140" r:id="rId140" display="155680" xr:uid="{CD2CB6F4-75F1-4F7D-8057-67CEDEA72696}"/>
    <hyperlink ref="AA141" r:id="rId141" display="155681" xr:uid="{39AF1F52-7704-4F4E-A3E1-5F252D326CF0}"/>
    <hyperlink ref="AA142" r:id="rId142" display="155692" xr:uid="{3DAB0291-0681-4488-ADFF-BE698B53261B}"/>
    <hyperlink ref="AA143" r:id="rId143" display="156913" xr:uid="{48A4FD28-6EBF-49AB-9748-CA168F059618}"/>
    <hyperlink ref="AA144" r:id="rId144" display="157680" xr:uid="{263E854A-6FEB-45FA-8CCE-87E1746B57EA}"/>
    <hyperlink ref="AA145" r:id="rId145" display="159010" xr:uid="{C2666D7C-A499-4E53-A910-3CD546E85878}"/>
    <hyperlink ref="AA146" r:id="rId146" display="159011" xr:uid="{857EBFEB-2CFA-433F-AC01-24B0B038D0A8}"/>
    <hyperlink ref="AA147" r:id="rId147" display="160066" xr:uid="{2D9C84CE-C5F6-4EBF-8DF7-7B2C67D15B0B}"/>
    <hyperlink ref="AA148" r:id="rId148" display="160120" xr:uid="{96619B85-6D78-4D04-81B7-3EE9E9C68567}"/>
    <hyperlink ref="AA149" r:id="rId149" display="160127" xr:uid="{F9A5F023-E1DC-481E-9C4F-5AAF3BF26F8F}"/>
    <hyperlink ref="AA150" r:id="rId150" display="160540" xr:uid="{D472D9E3-0210-47F5-AC91-517768135F0E}"/>
    <hyperlink ref="AA151" r:id="rId151" display="160891" xr:uid="{63D9200B-D552-46BB-87E9-F7B5CDAA6A82}"/>
    <hyperlink ref="AA152" r:id="rId152" display="161908" xr:uid="{5FA8BFFA-9054-42E7-8D65-2A7BDBDB3F78}"/>
    <hyperlink ref="AA153" r:id="rId153" display="163351" xr:uid="{1C52DB85-1D0C-49FF-BCA0-5149F85F457A}"/>
    <hyperlink ref="AA154" r:id="rId154" display="163410" xr:uid="{F5B95588-415E-4E3C-BD59-CD66D5D75F39}"/>
    <hyperlink ref="AA155" r:id="rId155" display="163521" xr:uid="{F3709152-47EA-452C-917F-1FB113E96ACE}"/>
    <hyperlink ref="AA156" r:id="rId156" display="164036" xr:uid="{3789EB33-7539-41CC-A32E-AB9AA45B1A4A}"/>
    <hyperlink ref="AA157" r:id="rId157" display="164039" xr:uid="{B47D6D33-D3FB-4907-BB6D-34D88485CDB3}"/>
    <hyperlink ref="AA158" r:id="rId158" display="164043" xr:uid="{F25E537E-1828-4A3B-B025-0B6ABD477140}"/>
    <hyperlink ref="AA159" r:id="rId159" display="164048" xr:uid="{0E6118C5-8BF9-4C46-ABB8-2A14D6CDD550}"/>
    <hyperlink ref="AA160" r:id="rId160" display="164049" xr:uid="{CBAE5D14-0B51-413F-89CB-BCE8EA2A5EA6}"/>
    <hyperlink ref="AA161" r:id="rId161" display="164096" xr:uid="{060D95B4-1D20-4AE3-B0DD-D0C70DBCEC94}"/>
    <hyperlink ref="AA162" r:id="rId162" display="164099" xr:uid="{CC4FB34F-5978-4FCB-AC8A-9F797A37D214}"/>
    <hyperlink ref="AA163" r:id="rId163" display="164360" xr:uid="{22055720-F964-4D76-95BD-579FE377B5A6}"/>
    <hyperlink ref="AA164" r:id="rId164" display="164667" xr:uid="{044F97EE-ED0E-47BE-8941-D9D75509EC7E}"/>
    <hyperlink ref="AA165" r:id="rId165" display="164711" xr:uid="{A883386E-016A-40AE-80D4-EB15E1742F1D}"/>
    <hyperlink ref="AA166" r:id="rId166" display="164712" xr:uid="{085782CA-F788-4927-87CF-212E14C6C884}"/>
    <hyperlink ref="AA167" r:id="rId167" display="165175" xr:uid="{D3CD7458-D5FB-43F1-9B6A-08E3F4BC62D7}"/>
    <hyperlink ref="AA168" r:id="rId168" display="165248" xr:uid="{4EA8FA2F-57E5-4583-9C6E-98EA12D1BE6F}"/>
    <hyperlink ref="AA169" r:id="rId169" display="165258" xr:uid="{0F4A142E-1E63-4DDF-8CE9-E4226B64F5A1}"/>
    <hyperlink ref="AA170" r:id="rId170" display="165268" xr:uid="{4EE618B2-F2BA-4484-ABF5-096838A0704F}"/>
    <hyperlink ref="AA171" r:id="rId171" display="165329" xr:uid="{9853F28E-0AAF-43AC-AC8F-24D8083D6FF0}"/>
    <hyperlink ref="AA172" r:id="rId172" display="165748" xr:uid="{486EA6B2-A1A5-489E-965B-1D34C3E46B90}"/>
    <hyperlink ref="AA173" r:id="rId173" display="165750" xr:uid="{2DFFA23B-B390-4029-BC11-6B6C1C7BE35E}"/>
    <hyperlink ref="AA174" r:id="rId174" display="165755" xr:uid="{CE8357A0-E6A1-4FFA-AA26-9D38051FD865}"/>
    <hyperlink ref="AA175" r:id="rId175" display="175789" xr:uid="{2CEA0CB6-3544-4BD9-8F9B-FBC651C15DCC}"/>
    <hyperlink ref="AA176" r:id="rId176" location="35 x1.pdf" display="176350" xr:uid="{176B851D-13DD-4D4B-BD69-502358F50E9B}"/>
    <hyperlink ref="AA177" r:id="rId177" location="30 x2.pdf" display="176351" xr:uid="{0D8C8975-D881-4020-838A-0752FB65AE48}"/>
    <hyperlink ref="AA178" r:id="rId178" location="70 x2.pdf" display="176353" xr:uid="{263756ED-6653-4302-BB71-CBA7CA78D7D1}"/>
    <hyperlink ref="AA179" r:id="rId179" display="176354" xr:uid="{BEB0C518-3E9F-4BA3-97C3-6D011F6358E0}"/>
    <hyperlink ref="AA180" r:id="rId180" display="176355" xr:uid="{6D6C0351-668A-4408-8820-70B46F78AD63}"/>
    <hyperlink ref="AA181" r:id="rId181" display="176356" xr:uid="{F453D75D-8F9C-4D7D-8812-5EB0043D98BC}"/>
    <hyperlink ref="AA182" r:id="rId182" display="176357" xr:uid="{83C7D4DA-BB05-4D6E-A89F-5AEB8DE98688}"/>
    <hyperlink ref="AA183" r:id="rId183" location="2 x2.pdf" display="176358" xr:uid="{63BDF0BA-47FA-44B7-91B7-851456A193A9}"/>
    <hyperlink ref="AA184" r:id="rId184" location="35 x4.pdf" display="176359" xr:uid="{AA0DF63A-5D82-45EC-84A6-4C085EA3FC37}"/>
    <hyperlink ref="AA185" r:id="rId185" location="15 x4.pdf" display="176360" xr:uid="{5355D282-322D-40FF-BF8C-BCEBD324034C}"/>
    <hyperlink ref="AA186" r:id="rId186" location="15 x2.pdf" display="176361" xr:uid="{BB6EFCD5-A2DE-4DD5-A044-1D6F63021D6F}"/>
    <hyperlink ref="AA187" r:id="rId187" location="15 x2.pdf" display="176362" xr:uid="{81B85FB1-CE65-4066-BB99-8E5219925315}"/>
    <hyperlink ref="AA188" r:id="rId188" location="15 x2.pdf" display="176363" xr:uid="{C148D7A8-8F63-4041-90EA-4D660A9F783E}"/>
    <hyperlink ref="AA189" r:id="rId189" location="10 x8.pdf" display="176364" xr:uid="{FCF592CE-2F3A-49E6-A175-D9502CCD0EE9}"/>
    <hyperlink ref="AA190" r:id="rId190" location="3 x4.pdf" display="176365" xr:uid="{0049675E-B7DF-4A7D-8032-BF95F4D68C73}"/>
    <hyperlink ref="AA191" r:id="rId191" location="3 x2.pdf" display="176366" xr:uid="{2B8F2CBF-3204-4B6F-BE8F-8745DE85DD3A}"/>
    <hyperlink ref="AA192" r:id="rId192" location="3 x2.pdf" display="176367" xr:uid="{614CDA4E-FA8A-41D6-BF10-B5F0295364B2}"/>
    <hyperlink ref="AA193" r:id="rId193" location="5 x2.pdf" display="176368" xr:uid="{622DB6EE-4755-4A66-BB4E-E69DB5CEC1B3}"/>
    <hyperlink ref="AA194" r:id="rId194" location="3 x2.pdf" display="176369" xr:uid="{A56B0730-20C6-4E05-8AFA-D5543F321C83}"/>
    <hyperlink ref="AA195" r:id="rId195" location="10 x8.pdf" display="176370" xr:uid="{FB4F13B2-B773-4DFD-A77C-CB89637673A1}"/>
    <hyperlink ref="AA196" r:id="rId196" location="10 x4.pdf" display="176371" xr:uid="{A59C645C-A9B9-4E64-AB53-34D984E5895C}"/>
    <hyperlink ref="AA197" r:id="rId197" location="10 x1.pdf" display="176372" xr:uid="{1E75A38D-4A08-47C2-8CF4-AE157884BD6A}"/>
    <hyperlink ref="AA198" r:id="rId198" location="10 x2.pdf" display="176373" xr:uid="{0842E85B-71ED-4ED5-89DF-391ED2FD160F}"/>
    <hyperlink ref="AA199" r:id="rId199" location="10 x2.pdf" display="176374" xr:uid="{3F6799B9-5BF1-49AC-A20F-401EBF1C3558}"/>
    <hyperlink ref="AA200" r:id="rId200" location="10 x2.pdf" display="176375" xr:uid="{B2D0D2A0-C1E6-436C-944C-6474E5808E47}"/>
    <hyperlink ref="AA201" r:id="rId201" location="5 x1.pdf" display="176376" xr:uid="{351376A3-93F0-4ADB-8DC8-50630CC9D9E1}"/>
    <hyperlink ref="AA202" r:id="rId202" location="5 x4.pdf" display="176377" xr:uid="{7808871D-CCD9-4136-931B-DD97F4B312DF}"/>
    <hyperlink ref="AA203" r:id="rId203" location="5 x2.pdf" display="176378" xr:uid="{F65F4149-8955-45FF-9431-E8E1706A204E}"/>
    <hyperlink ref="AA204" r:id="rId204" location="5 x2.pdf" display="176379" xr:uid="{84D37C65-33B3-4F1E-9B7C-67D0F901FA3D}"/>
    <hyperlink ref="AA205" r:id="rId205" location="5 x4.pdf" display="176380" xr:uid="{62185047-D127-476A-84C6-ADDC44327A17}"/>
    <hyperlink ref="AA206" r:id="rId206" location="5 x2.pdf" display="176381" xr:uid="{D11F5413-BBEF-48C4-9DA6-17C62EE7CF36}"/>
    <hyperlink ref="AA207" r:id="rId207" location="5 x2 Laser.pdf" display="176382" xr:uid="{0B8C0A2F-81B0-42AE-AC9D-476A2CBC9A38}"/>
    <hyperlink ref="AA208" r:id="rId208" location="5 x2.pdf" display="176382" xr:uid="{9CF613B0-6CEF-454C-9F41-A609D87AB88E}"/>
    <hyperlink ref="AA209" r:id="rId209" location="5 x1.pdf" display="176383" xr:uid="{23D8EA2D-7CB2-4D65-B34F-0170FE2001FC}"/>
    <hyperlink ref="AA210" r:id="rId210" location="5 x1.pdf" display="176384" xr:uid="{B4EA2C8A-079E-4486-A19C-D85031D85F98}"/>
    <hyperlink ref="AA211" r:id="rId211" location="5 x1.pdf" display="176385" xr:uid="{AE654FAB-BF1D-4F3E-A63F-9C52DC08249E}"/>
    <hyperlink ref="AA212" r:id="rId212" location="5 x1.pdf" display="176386" xr:uid="{06021C53-C644-424C-AE5B-3C31B8CF8D84}"/>
    <hyperlink ref="AA213" r:id="rId213" location="5 x1.pdf" display="176387" xr:uid="{E51FBA31-ED45-4380-9402-632CF43F238B}"/>
    <hyperlink ref="AA214" r:id="rId214" location="5 x1.pdf" display="176388" xr:uid="{C9ACFF08-6B5C-43C0-9BDB-EB46A60C1FB0}"/>
    <hyperlink ref="AA215" r:id="rId215" location="5 x1.pdf" display="176389" xr:uid="{095620AC-D503-4CC4-9A07-C61FAECC75B7}"/>
    <hyperlink ref="AA216" r:id="rId216" location="5 x2.pdf" display="176475" xr:uid="{5AAB80F2-5FDB-4D3B-A0C6-04B03EFDDDD8}"/>
    <hyperlink ref="AA217" r:id="rId217" location="5 x2.pdf" display="176484" xr:uid="{CD23FAD1-AAA2-4A12-9C54-91997A6C4839}"/>
    <hyperlink ref="AA218" r:id="rId218" display="176496" xr:uid="{7F539871-C381-4C68-8A77-D82BB6A3E6ED}"/>
    <hyperlink ref="AA219" r:id="rId219" display="176505" xr:uid="{53A6EC7C-4788-41BF-9024-419FD4AB432E}"/>
    <hyperlink ref="AA220" r:id="rId220" location="3.pdf" display="176518" xr:uid="{696B90D3-ECD5-4840-BF26-FBD8A7A65454}"/>
    <hyperlink ref="AA221" r:id="rId221" location="3.pdf" display="176519" xr:uid="{B7558E8F-0161-4ACB-A26C-E564ECD91CED}"/>
    <hyperlink ref="AA222" r:id="rId222" xr:uid="{EDA9C87C-8C9D-43D3-87BA-0A1F7CC9F622}"/>
  </hyperlinks>
  <pageMargins left="0.7" right="0.7" top="0.75" bottom="0.75" header="0.3" footer="0.3"/>
  <pageSetup paperSize="8" scale="55" orientation="portrait" r:id="rId223"/>
  <drawing r:id="rId224"/>
  <legacyDrawing r:id="rId22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5" r:id="rId226" name="Button 5">
              <controlPr defaultSize="0" print="0" autoFill="0" autoPict="0" macro="[0]!PROMJENA">
                <anchor moveWithCells="1" sizeWithCells="1">
                  <from>
                    <xdr:col>0</xdr:col>
                    <xdr:colOff>69850</xdr:colOff>
                    <xdr:row>0</xdr:row>
                    <xdr:rowOff>50800</xdr:rowOff>
                  </from>
                  <to>
                    <xdr:col>4</xdr:col>
                    <xdr:colOff>228600</xdr:colOff>
                    <xdr:row>1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6" r:id="rId227" name="Button 6">
              <controlPr defaultSize="0" print="0" autoFill="0" autoPict="0" macro="[0]!KPL_Zavrsen">
                <anchor moveWithCells="1" sizeWithCells="1">
                  <from>
                    <xdr:col>0</xdr:col>
                    <xdr:colOff>69850</xdr:colOff>
                    <xdr:row>1</xdr:row>
                    <xdr:rowOff>38100</xdr:rowOff>
                  </from>
                  <to>
                    <xdr:col>4</xdr:col>
                    <xdr:colOff>228600</xdr:colOff>
                    <xdr:row>1</xdr:row>
                    <xdr:rowOff>260350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7" r:id="rId228" name="Button 7">
              <controlPr defaultSize="0" print="0" autoFill="0" autoPict="0" macro="[0]!REDOSLIJED">
                <anchor moveWithCells="1" sizeWithCells="1">
                  <from>
                    <xdr:col>0</xdr:col>
                    <xdr:colOff>69850</xdr:colOff>
                    <xdr:row>2</xdr:row>
                    <xdr:rowOff>19050</xdr:rowOff>
                  </from>
                  <to>
                    <xdr:col>4</xdr:col>
                    <xdr:colOff>228600</xdr:colOff>
                    <xdr:row>2</xdr:row>
                    <xdr:rowOff>241300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8" r:id="rId229" name="Button 8">
              <controlPr defaultSize="0" print="0" autoFill="0" autoPict="0" macro="[0]!Azuriraj222">
                <anchor moveWithCells="1" sizeWithCells="1">
                  <from>
                    <xdr:col>5</xdr:col>
                    <xdr:colOff>203200</xdr:colOff>
                    <xdr:row>0</xdr:row>
                    <xdr:rowOff>171450</xdr:rowOff>
                  </from>
                  <to>
                    <xdr:col>5</xdr:col>
                    <xdr:colOff>1771650</xdr:colOff>
                    <xdr:row>2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9" r:id="rId230" name="Button 9">
              <controlPr defaultSize="0" print="0" autoFill="0" autoPict="0" macro="[0]!PDF">
                <anchor moveWithCells="1" sizeWithCells="1">
                  <from>
                    <xdr:col>19</xdr:col>
                    <xdr:colOff>31750</xdr:colOff>
                    <xdr:row>1</xdr:row>
                    <xdr:rowOff>19050</xdr:rowOff>
                  </from>
                  <to>
                    <xdr:col>20</xdr:col>
                    <xdr:colOff>488950</xdr:colOff>
                    <xdr:row>2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0" r:id="rId231" name="Button 10">
              <controlPr defaultSize="0" print="0" autoFill="0" autoPict="0" macro="[0]!ZOOM.ZOOM">
                <anchor moveWithCells="1" sizeWithCells="1">
                  <from>
                    <xdr:col>5</xdr:col>
                    <xdr:colOff>2095500</xdr:colOff>
                    <xdr:row>0</xdr:row>
                    <xdr:rowOff>184150</xdr:rowOff>
                  </from>
                  <to>
                    <xdr:col>5</xdr:col>
                    <xdr:colOff>3155950</xdr:colOff>
                    <xdr:row>2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1" r:id="rId232" name="Check Box 11">
              <controlPr defaultSize="0" autoFill="0" autoLine="0" autoPict="0">
                <anchor moveWithCells="1">
                  <from>
                    <xdr:col>10</xdr:col>
                    <xdr:colOff>393700</xdr:colOff>
                    <xdr:row>0</xdr:row>
                    <xdr:rowOff>0</xdr:rowOff>
                  </from>
                  <to>
                    <xdr:col>10</xdr:col>
                    <xdr:colOff>647700</xdr:colOff>
                    <xdr:row>1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2" r:id="rId233" name="Check Box 12">
              <controlPr defaultSize="0" autoFill="0" autoLine="0" autoPict="0">
                <anchor moveWithCells="1">
                  <from>
                    <xdr:col>10</xdr:col>
                    <xdr:colOff>393700</xdr:colOff>
                    <xdr:row>0</xdr:row>
                    <xdr:rowOff>260350</xdr:rowOff>
                  </from>
                  <to>
                    <xdr:col>10</xdr:col>
                    <xdr:colOff>622300</xdr:colOff>
                    <xdr:row>1</xdr:row>
                    <xdr:rowOff>260350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3" r:id="rId234" name="Spinner 13">
              <controlPr defaultSize="0" autoPict="0">
                <anchor moveWithCells="1" sizeWithCells="1">
                  <from>
                    <xdr:col>15</xdr:col>
                    <xdr:colOff>228600</xdr:colOff>
                    <xdr:row>0</xdr:row>
                    <xdr:rowOff>133350</xdr:rowOff>
                  </from>
                  <to>
                    <xdr:col>15</xdr:col>
                    <xdr:colOff>546100</xdr:colOff>
                    <xdr:row>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4" r:id="rId235" name="Check Box 14">
              <controlPr defaultSize="0" autoFill="0" autoLine="0" autoPict="0">
                <anchor moveWithCells="1">
                  <from>
                    <xdr:col>10</xdr:col>
                    <xdr:colOff>393700</xdr:colOff>
                    <xdr:row>1</xdr:row>
                    <xdr:rowOff>228600</xdr:rowOff>
                  </from>
                  <to>
                    <xdr:col>10</xdr:col>
                    <xdr:colOff>647700</xdr:colOff>
                    <xdr:row>2</xdr:row>
                    <xdr:rowOff>241300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5988" stopIfTrue="1" id="{C4FF76C3-A586-40E2-A8D1-672186EF407E}">
            <xm:f>COUNTIF(REDOSLIJED!$B:$B,$C5&amp;"-"&amp;$E5)&gt;0</xm:f>
            <x14:dxf>
              <font>
                <b/>
                <i val="0"/>
                <color rgb="FFFF0000"/>
              </font>
              <fill>
                <patternFill patternType="none">
                  <bgColor auto="1"/>
                </patternFill>
              </fill>
            </x14:dxf>
          </x14:cfRule>
          <xm:sqref>A5:T1327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A49B76-FD43-4FCD-B816-9ECB437930D5}">
  <sheetPr codeName="Sheet14"/>
  <dimension ref="A1:AN833"/>
  <sheetViews>
    <sheetView zoomScale="95" zoomScaleNormal="95" workbookViewId="0">
      <selection activeCell="Z8" sqref="Z8"/>
    </sheetView>
  </sheetViews>
  <sheetFormatPr defaultRowHeight="14.5" x14ac:dyDescent="0.35"/>
  <cols>
    <col min="1" max="1" width="8.54296875" bestFit="1" customWidth="1"/>
    <col min="2" max="2" width="8.1796875" bestFit="1" customWidth="1"/>
    <col min="3" max="3" width="8.54296875" bestFit="1" customWidth="1"/>
    <col min="4" max="4" width="55.54296875" bestFit="1" customWidth="1"/>
    <col min="5" max="5" width="9.453125" bestFit="1" customWidth="1"/>
    <col min="6" max="6" width="5" bestFit="1" customWidth="1"/>
    <col min="7" max="8" width="6" bestFit="1" customWidth="1"/>
    <col min="9" max="9" width="9.36328125" customWidth="1"/>
    <col min="10" max="10" width="30.08984375" customWidth="1"/>
    <col min="11" max="11" width="23.7265625" customWidth="1"/>
    <col min="12" max="12" width="14" customWidth="1"/>
    <col min="13" max="13" width="11.7265625" style="9" customWidth="1"/>
    <col min="14" max="14" width="17.453125" customWidth="1"/>
    <col min="15" max="15" width="14.453125" style="5" customWidth="1"/>
    <col min="16" max="16" width="11.26953125" customWidth="1"/>
    <col min="17" max="17" width="13.26953125" bestFit="1" customWidth="1"/>
    <col min="18" max="18" width="9.1796875" bestFit="1" customWidth="1"/>
    <col min="19" max="19" width="10.7265625" bestFit="1" customWidth="1"/>
    <col min="20" max="20" width="23.7265625" style="3" bestFit="1" customWidth="1"/>
    <col min="21" max="21" width="11.26953125" bestFit="1" customWidth="1"/>
    <col min="22" max="22" width="11.26953125" style="3" bestFit="1" customWidth="1"/>
    <col min="23" max="23" width="11.26953125" bestFit="1" customWidth="1"/>
    <col min="26" max="26" width="11.26953125" customWidth="1"/>
    <col min="27" max="27" width="13" customWidth="1"/>
    <col min="28" max="29" width="13" style="9" customWidth="1"/>
    <col min="30" max="31" width="11.1796875" style="9" customWidth="1"/>
  </cols>
  <sheetData>
    <row r="1" spans="1:31" x14ac:dyDescent="0.35">
      <c r="A1" t="s">
        <v>182</v>
      </c>
      <c r="B1" t="s">
        <v>183</v>
      </c>
      <c r="C1" t="s">
        <v>0</v>
      </c>
      <c r="D1" t="s">
        <v>184</v>
      </c>
      <c r="E1" t="s">
        <v>185</v>
      </c>
      <c r="F1" t="s">
        <v>186</v>
      </c>
      <c r="G1" t="s">
        <v>187</v>
      </c>
      <c r="H1" t="s">
        <v>188</v>
      </c>
      <c r="I1" t="s">
        <v>189</v>
      </c>
      <c r="J1" t="s">
        <v>190</v>
      </c>
      <c r="K1" t="s">
        <v>191</v>
      </c>
      <c r="L1" t="s">
        <v>192</v>
      </c>
      <c r="M1" s="9" t="s">
        <v>193</v>
      </c>
      <c r="N1" t="s">
        <v>194</v>
      </c>
      <c r="O1" s="5" t="s">
        <v>201</v>
      </c>
      <c r="P1" t="s">
        <v>338</v>
      </c>
      <c r="Q1" t="s">
        <v>207</v>
      </c>
      <c r="R1" t="s">
        <v>215</v>
      </c>
      <c r="S1" t="s">
        <v>578</v>
      </c>
      <c r="T1" s="3" t="s">
        <v>964</v>
      </c>
      <c r="U1" t="s">
        <v>963</v>
      </c>
      <c r="V1" s="3" t="s">
        <v>965</v>
      </c>
      <c r="W1" t="s">
        <v>966</v>
      </c>
      <c r="Z1" s="3" t="s">
        <v>967</v>
      </c>
      <c r="AA1" t="s">
        <v>968</v>
      </c>
      <c r="AB1" s="9" t="s">
        <v>972</v>
      </c>
      <c r="AC1" s="9" t="s">
        <v>969</v>
      </c>
      <c r="AD1" s="9" t="s">
        <v>970</v>
      </c>
      <c r="AE1" s="9" t="s">
        <v>971</v>
      </c>
    </row>
    <row r="2" spans="1:31" x14ac:dyDescent="0.35">
      <c r="A2">
        <v>978188</v>
      </c>
      <c r="B2">
        <v>3</v>
      </c>
      <c r="C2">
        <v>978188</v>
      </c>
      <c r="D2" t="s">
        <v>1610</v>
      </c>
      <c r="E2">
        <v>180</v>
      </c>
      <c r="F2">
        <v>3</v>
      </c>
      <c r="G2">
        <v>0</v>
      </c>
      <c r="H2">
        <v>0</v>
      </c>
      <c r="I2" t="s">
        <v>24</v>
      </c>
      <c r="J2" t="s">
        <v>597</v>
      </c>
      <c r="K2" t="s">
        <v>1611</v>
      </c>
      <c r="L2" s="3">
        <v>45653</v>
      </c>
      <c r="M2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0.125</v>
      </c>
      <c r="N2" s="3">
        <v>45650</v>
      </c>
      <c r="O2" s="5">
        <f>IFERROR((PlanMasine[[#This Row],[Norma]]/PlanMasine[[#This Row],[Q]])*(PlanMasine[[#This Row],[Q]]/SUMIF(C:C,PlanMasine[[#This Row],[RN]],B:B)*PlanMasine[[#This Row],[KPLQ]]),0)</f>
        <v>180</v>
      </c>
      <c r="P2">
        <v>225858</v>
      </c>
      <c r="Q2">
        <f>COUNTIF(PROMJENA!A:A,PlanMasine[[#This Row],[KPL]]&amp;"-"&amp;PlanMasine[[#This Row],[RN]])</f>
        <v>2</v>
      </c>
      <c r="R2">
        <f>IFERROR(INDEX(REDOSLIJED!A:A,MATCH(PlanMasine[[#This Row],[KPL]],REDOSLIJED!B:B,0)),MAX(REDOSLIJED!A:A)+1)</f>
        <v>45</v>
      </c>
      <c r="S2" s="9">
        <f>SUM($M$2:M2)</f>
        <v>0.125</v>
      </c>
      <c r="T2" s="3">
        <f>PlanMasine[[#This Row],[Datum SAS]]-1</f>
        <v>45649</v>
      </c>
      <c r="U2">
        <f>WEEKDAY(PlanMasine[[#This Row],[ZAVRŠETAK MAŠINSKE]],2)</f>
        <v>1</v>
      </c>
      <c r="V2" s="3">
        <f>IF(WEEKDAY(PlanMasine[[#This Row],[Datum SAS]]-1,2)=7,PlanMasine[[#This Row],[Datum SAS]]-3,PlanMasine[[#This Row],[Datum SAS]]-1)</f>
        <v>45649</v>
      </c>
      <c r="W2">
        <f>WEEKNUM(PlanMasine[[#This Row],[Column2]],1)</f>
        <v>52</v>
      </c>
      <c r="Z2" s="56">
        <f>PlanMasine[[#This Row],[Column3]]</f>
        <v>52</v>
      </c>
      <c r="AA2" s="9">
        <f t="shared" ref="AA2:AA33" si="0">SUMIF(W:W,Z2,M:M)</f>
        <v>0.125</v>
      </c>
      <c r="AB2" s="9">
        <v>6</v>
      </c>
      <c r="AC2" s="9">
        <f>IF(Table2[[#This Row],[KAPACITET]]&gt;Table2[[#This Row],[SUMA SATI]],Table2[[#This Row],[SUMA SATI]],Table2[[#This Row],[KAPACITET]])</f>
        <v>0.125</v>
      </c>
      <c r="AD2" s="9">
        <f>IF(Table2[[#This Row],[SUMA SATI]]&gt;0,IF(Table2[[#This Row],[KAPACITET]]-Table2[[#This Row],[SUMA SATI]]&gt;0,Table2[[#This Row],[KAPACITET]]-Table2[[#This Row],[SUMA SATI]],""),"")</f>
        <v>5.875</v>
      </c>
      <c r="AE2" s="9" t="str">
        <f>IF(Table2[[#This Row],[SUMA SATI]]&gt;0,IF(Table2[[#This Row],[KAPACITET]]-Table2[[#This Row],[SUMA SATI]]&lt;0,Table2[[#This Row],[SUMA SATI]]-Table2[[#This Row],[KAPACITET]],""),"")</f>
        <v/>
      </c>
    </row>
    <row r="3" spans="1:31" x14ac:dyDescent="0.35">
      <c r="A3">
        <v>1004892</v>
      </c>
      <c r="B3">
        <v>3</v>
      </c>
      <c r="C3">
        <v>1004848</v>
      </c>
      <c r="D3" t="s">
        <v>1810</v>
      </c>
      <c r="E3">
        <v>120</v>
      </c>
      <c r="F3">
        <v>3</v>
      </c>
      <c r="G3">
        <v>0</v>
      </c>
      <c r="H3">
        <v>0</v>
      </c>
      <c r="I3" t="s">
        <v>24</v>
      </c>
      <c r="J3" t="s">
        <v>597</v>
      </c>
      <c r="K3" t="s">
        <v>1811</v>
      </c>
      <c r="L3" s="3">
        <v>45756</v>
      </c>
      <c r="M3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8.3333333333333329E-2</v>
      </c>
      <c r="N3" s="3">
        <v>45751</v>
      </c>
      <c r="O3" s="5">
        <f>IFERROR((PlanMasine[[#This Row],[Norma]]/PlanMasine[[#This Row],[Q]])*(PlanMasine[[#This Row],[Q]]/SUMIF(C:C,PlanMasine[[#This Row],[RN]],B:B)*PlanMasine[[#This Row],[KPLQ]]),0)</f>
        <v>120</v>
      </c>
      <c r="P3">
        <v>209321</v>
      </c>
      <c r="Q3">
        <f>COUNTIF(PROMJENA!A:A,PlanMasine[[#This Row],[KPL]]&amp;"-"&amp;PlanMasine[[#This Row],[RN]])</f>
        <v>1</v>
      </c>
      <c r="R3">
        <f>IFERROR(INDEX(REDOSLIJED!A:A,MATCH(PlanMasine[[#This Row],[KPL]],REDOSLIJED!B:B,0)),MAX(REDOSLIJED!A:A)+1)</f>
        <v>45</v>
      </c>
      <c r="S3" s="9">
        <f>SUM($M$2:M3)</f>
        <v>0.20833333333333331</v>
      </c>
      <c r="T3" s="3">
        <f>PlanMasine[[#This Row],[Datum SAS]]-1</f>
        <v>45750</v>
      </c>
      <c r="U3">
        <f>WEEKDAY(PlanMasine[[#This Row],[ZAVRŠETAK MAŠINSKE]],2)</f>
        <v>4</v>
      </c>
      <c r="V3" s="3">
        <f>IF(WEEKDAY(PlanMasine[[#This Row],[Datum SAS]]-1,2)=7,PlanMasine[[#This Row],[Datum SAS]]-3,PlanMasine[[#This Row],[Datum SAS]]-1)</f>
        <v>45750</v>
      </c>
      <c r="W3">
        <f>WEEKNUM(PlanMasine[[#This Row],[Column2]],1)</f>
        <v>14</v>
      </c>
      <c r="Z3" s="56">
        <f t="shared" ref="Z3:Z50" si="1">Z2+1</f>
        <v>53</v>
      </c>
      <c r="AA3" s="9">
        <f t="shared" si="0"/>
        <v>0</v>
      </c>
      <c r="AB3" s="9">
        <f>AB2</f>
        <v>6</v>
      </c>
      <c r="AC3" s="9">
        <f>IF(Table2[[#This Row],[KAPACITET]]&gt;Table2[[#This Row],[SUMA SATI]],Table2[[#This Row],[SUMA SATI]],Table2[[#This Row],[KAPACITET]])</f>
        <v>0</v>
      </c>
      <c r="AD3" s="9" t="str">
        <f>IF(Table2[[#This Row],[SUMA SATI]]&gt;0,IF(Table2[[#This Row],[KAPACITET]]-Table2[[#This Row],[SUMA SATI]]&gt;0,Table2[[#This Row],[KAPACITET]]-Table2[[#This Row],[SUMA SATI]],""),"")</f>
        <v/>
      </c>
      <c r="AE3" s="9" t="str">
        <f>IF(Table2[[#This Row],[SUMA SATI]]&gt;0,IF(Table2[[#This Row],[KAPACITET]]-Table2[[#This Row],[SUMA SATI]]&lt;0,Table2[[#This Row],[SUMA SATI]]-Table2[[#This Row],[KAPACITET]],""),"")</f>
        <v/>
      </c>
    </row>
    <row r="4" spans="1:31" x14ac:dyDescent="0.35">
      <c r="A4">
        <v>1004892</v>
      </c>
      <c r="B4">
        <v>3</v>
      </c>
      <c r="C4">
        <v>1004889</v>
      </c>
      <c r="D4" t="s">
        <v>1812</v>
      </c>
      <c r="E4">
        <v>240</v>
      </c>
      <c r="F4">
        <v>3</v>
      </c>
      <c r="G4">
        <v>0</v>
      </c>
      <c r="H4">
        <v>0</v>
      </c>
      <c r="I4" t="s">
        <v>24</v>
      </c>
      <c r="J4" t="s">
        <v>597</v>
      </c>
      <c r="K4" t="s">
        <v>1811</v>
      </c>
      <c r="L4" s="3">
        <v>45756</v>
      </c>
      <c r="M4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0.16666666666666666</v>
      </c>
      <c r="N4" s="3">
        <v>45751</v>
      </c>
      <c r="O4" s="5">
        <f>IFERROR((PlanMasine[[#This Row],[Norma]]/PlanMasine[[#This Row],[Q]])*(PlanMasine[[#This Row],[Q]]/SUMIF(C:C,PlanMasine[[#This Row],[RN]],B:B)*PlanMasine[[#This Row],[KPLQ]]),0)</f>
        <v>240</v>
      </c>
      <c r="P4">
        <v>210803</v>
      </c>
      <c r="Q4">
        <f>COUNTIF(PROMJENA!A:A,PlanMasine[[#This Row],[KPL]]&amp;"-"&amp;PlanMasine[[#This Row],[RN]])</f>
        <v>2</v>
      </c>
      <c r="R4">
        <f>IFERROR(INDEX(REDOSLIJED!A:A,MATCH(PlanMasine[[#This Row],[KPL]],REDOSLIJED!B:B,0)),MAX(REDOSLIJED!A:A)+1)</f>
        <v>45</v>
      </c>
      <c r="S4" s="9">
        <f>SUM($M$2:M4)</f>
        <v>0.375</v>
      </c>
      <c r="T4" s="3">
        <f>PlanMasine[[#This Row],[Datum SAS]]-1</f>
        <v>45750</v>
      </c>
      <c r="U4">
        <f>WEEKDAY(PlanMasine[[#This Row],[ZAVRŠETAK MAŠINSKE]],2)</f>
        <v>4</v>
      </c>
      <c r="V4" s="3">
        <f>IF(WEEKDAY(PlanMasine[[#This Row],[Datum SAS]]-1,2)=7,PlanMasine[[#This Row],[Datum SAS]]-3,PlanMasine[[#This Row],[Datum SAS]]-1)</f>
        <v>45750</v>
      </c>
      <c r="W4">
        <f>WEEKNUM(PlanMasine[[#This Row],[Column2]],1)</f>
        <v>14</v>
      </c>
      <c r="Z4" s="56">
        <f t="shared" si="1"/>
        <v>54</v>
      </c>
      <c r="AA4" s="9">
        <f t="shared" si="0"/>
        <v>0</v>
      </c>
      <c r="AB4" s="9">
        <f t="shared" ref="AB4:AB50" si="2">AB3</f>
        <v>6</v>
      </c>
      <c r="AC4" s="9">
        <f>IF(Table2[[#This Row],[KAPACITET]]&gt;Table2[[#This Row],[SUMA SATI]],Table2[[#This Row],[SUMA SATI]],Table2[[#This Row],[KAPACITET]])</f>
        <v>0</v>
      </c>
      <c r="AD4" s="9" t="str">
        <f>IF(Table2[[#This Row],[SUMA SATI]]&gt;0,IF(Table2[[#This Row],[KAPACITET]]-Table2[[#This Row],[SUMA SATI]]&gt;0,Table2[[#This Row],[KAPACITET]]-Table2[[#This Row],[SUMA SATI]],""),"")</f>
        <v/>
      </c>
      <c r="AE4" s="9" t="str">
        <f>IF(Table2[[#This Row],[SUMA SATI]]&gt;0,IF(Table2[[#This Row],[KAPACITET]]-Table2[[#This Row],[SUMA SATI]]&lt;0,Table2[[#This Row],[SUMA SATI]]-Table2[[#This Row],[KAPACITET]],""),"")</f>
        <v/>
      </c>
    </row>
    <row r="5" spans="1:31" x14ac:dyDescent="0.35">
      <c r="A5">
        <v>1000263</v>
      </c>
      <c r="B5">
        <v>1</v>
      </c>
      <c r="C5">
        <v>1000273</v>
      </c>
      <c r="D5" t="s">
        <v>1112</v>
      </c>
      <c r="E5">
        <v>8</v>
      </c>
      <c r="F5">
        <v>1</v>
      </c>
      <c r="G5">
        <v>0</v>
      </c>
      <c r="H5">
        <v>0</v>
      </c>
      <c r="I5" t="s">
        <v>24</v>
      </c>
      <c r="J5" t="s">
        <v>597</v>
      </c>
      <c r="K5" t="s">
        <v>1800</v>
      </c>
      <c r="L5" s="3">
        <v>45789</v>
      </c>
      <c r="M5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5.5555555555555558E-3</v>
      </c>
      <c r="N5" s="3">
        <v>45756</v>
      </c>
      <c r="O5" s="5">
        <f>IFERROR((PlanMasine[[#This Row],[Norma]]/PlanMasine[[#This Row],[Q]])*(PlanMasine[[#This Row],[Q]]/SUMIF(C:C,PlanMasine[[#This Row],[RN]],B:B)*PlanMasine[[#This Row],[KPLQ]]),0)</f>
        <v>8</v>
      </c>
      <c r="P5">
        <v>204265</v>
      </c>
      <c r="Q5">
        <f>COUNTIF(PROMJENA!A:A,PlanMasine[[#This Row],[KPL]]&amp;"-"&amp;PlanMasine[[#This Row],[RN]])</f>
        <v>1</v>
      </c>
      <c r="R5">
        <f>IFERROR(INDEX(REDOSLIJED!A:A,MATCH(PlanMasine[[#This Row],[KPL]],REDOSLIJED!B:B,0)),MAX(REDOSLIJED!A:A)+1)</f>
        <v>45</v>
      </c>
      <c r="S5" s="9">
        <f>SUM($M$2:M5)</f>
        <v>0.38055555555555554</v>
      </c>
      <c r="T5" s="3">
        <f>PlanMasine[[#This Row],[Datum SAS]]-1</f>
        <v>45755</v>
      </c>
      <c r="U5">
        <f>WEEKDAY(PlanMasine[[#This Row],[ZAVRŠETAK MAŠINSKE]],2)</f>
        <v>2</v>
      </c>
      <c r="V5" s="3">
        <f>IF(WEEKDAY(PlanMasine[[#This Row],[Datum SAS]]-1,2)=7,PlanMasine[[#This Row],[Datum SAS]]-3,PlanMasine[[#This Row],[Datum SAS]]-1)</f>
        <v>45755</v>
      </c>
      <c r="W5">
        <f>WEEKNUM(PlanMasine[[#This Row],[Column2]],1)</f>
        <v>15</v>
      </c>
      <c r="Z5" s="56">
        <f t="shared" si="1"/>
        <v>55</v>
      </c>
      <c r="AA5" s="9">
        <f t="shared" si="0"/>
        <v>0</v>
      </c>
      <c r="AB5" s="9">
        <f t="shared" si="2"/>
        <v>6</v>
      </c>
      <c r="AC5" s="9">
        <f>IF(Table2[[#This Row],[KAPACITET]]&gt;Table2[[#This Row],[SUMA SATI]],Table2[[#This Row],[SUMA SATI]],Table2[[#This Row],[KAPACITET]])</f>
        <v>0</v>
      </c>
      <c r="AD5" s="9" t="str">
        <f>IF(Table2[[#This Row],[SUMA SATI]]&gt;0,IF(Table2[[#This Row],[KAPACITET]]-Table2[[#This Row],[SUMA SATI]]&gt;0,Table2[[#This Row],[KAPACITET]]-Table2[[#This Row],[SUMA SATI]],""),"")</f>
        <v/>
      </c>
      <c r="AE5" s="9" t="str">
        <f>IF(Table2[[#This Row],[SUMA SATI]]&gt;0,IF(Table2[[#This Row],[KAPACITET]]-Table2[[#This Row],[SUMA SATI]]&lt;0,Table2[[#This Row],[SUMA SATI]]-Table2[[#This Row],[KAPACITET]],""),"")</f>
        <v/>
      </c>
    </row>
    <row r="6" spans="1:31" x14ac:dyDescent="0.35">
      <c r="A6">
        <v>1000263</v>
      </c>
      <c r="B6">
        <v>1</v>
      </c>
      <c r="C6">
        <v>1000305</v>
      </c>
      <c r="D6" t="s">
        <v>1117</v>
      </c>
      <c r="E6">
        <v>8</v>
      </c>
      <c r="F6">
        <v>1</v>
      </c>
      <c r="G6">
        <v>0</v>
      </c>
      <c r="H6">
        <v>0</v>
      </c>
      <c r="I6" t="s">
        <v>24</v>
      </c>
      <c r="J6" t="s">
        <v>597</v>
      </c>
      <c r="K6" t="s">
        <v>1800</v>
      </c>
      <c r="L6" s="3">
        <v>45789</v>
      </c>
      <c r="M6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5.5555555555555558E-3</v>
      </c>
      <c r="N6" s="3">
        <v>45756</v>
      </c>
      <c r="O6" s="5">
        <f>IFERROR((PlanMasine[[#This Row],[Norma]]/PlanMasine[[#This Row],[Q]])*(PlanMasine[[#This Row],[Q]]/SUMIF(C:C,PlanMasine[[#This Row],[RN]],B:B)*PlanMasine[[#This Row],[KPLQ]]),0)</f>
        <v>8</v>
      </c>
      <c r="P6">
        <v>204297</v>
      </c>
      <c r="Q6">
        <f>COUNTIF(PROMJENA!A:A,PlanMasine[[#This Row],[KPL]]&amp;"-"&amp;PlanMasine[[#This Row],[RN]])</f>
        <v>1</v>
      </c>
      <c r="R6">
        <f>IFERROR(INDEX(REDOSLIJED!A:A,MATCH(PlanMasine[[#This Row],[KPL]],REDOSLIJED!B:B,0)),MAX(REDOSLIJED!A:A)+1)</f>
        <v>45</v>
      </c>
      <c r="S6" s="9">
        <f>SUM($M$2:M6)</f>
        <v>0.38611111111111107</v>
      </c>
      <c r="T6" s="3">
        <f>PlanMasine[[#This Row],[Datum SAS]]-1</f>
        <v>45755</v>
      </c>
      <c r="U6">
        <f>WEEKDAY(PlanMasine[[#This Row],[ZAVRŠETAK MAŠINSKE]],2)</f>
        <v>2</v>
      </c>
      <c r="V6" s="3">
        <f>IF(WEEKDAY(PlanMasine[[#This Row],[Datum SAS]]-1,2)=7,PlanMasine[[#This Row],[Datum SAS]]-3,PlanMasine[[#This Row],[Datum SAS]]-1)</f>
        <v>45755</v>
      </c>
      <c r="W6">
        <f>WEEKNUM(PlanMasine[[#This Row],[Column2]],1)</f>
        <v>15</v>
      </c>
      <c r="Z6" s="56">
        <f t="shared" si="1"/>
        <v>56</v>
      </c>
      <c r="AA6" s="9">
        <f t="shared" si="0"/>
        <v>0</v>
      </c>
      <c r="AB6" s="9">
        <f t="shared" si="2"/>
        <v>6</v>
      </c>
      <c r="AC6" s="9">
        <f>IF(Table2[[#This Row],[KAPACITET]]&gt;Table2[[#This Row],[SUMA SATI]],Table2[[#This Row],[SUMA SATI]],Table2[[#This Row],[KAPACITET]])</f>
        <v>0</v>
      </c>
      <c r="AD6" s="9" t="str">
        <f>IF(Table2[[#This Row],[SUMA SATI]]&gt;0,IF(Table2[[#This Row],[KAPACITET]]-Table2[[#This Row],[SUMA SATI]]&gt;0,Table2[[#This Row],[KAPACITET]]-Table2[[#This Row],[SUMA SATI]],""),"")</f>
        <v/>
      </c>
      <c r="AE6" s="9" t="str">
        <f>IF(Table2[[#This Row],[SUMA SATI]]&gt;0,IF(Table2[[#This Row],[KAPACITET]]-Table2[[#This Row],[SUMA SATI]]&lt;0,Table2[[#This Row],[SUMA SATI]]-Table2[[#This Row],[KAPACITET]],""),"")</f>
        <v/>
      </c>
    </row>
    <row r="7" spans="1:31" x14ac:dyDescent="0.35">
      <c r="A7">
        <v>1007871</v>
      </c>
      <c r="B7">
        <v>3</v>
      </c>
      <c r="C7">
        <v>1007873</v>
      </c>
      <c r="D7" t="s">
        <v>1813</v>
      </c>
      <c r="E7">
        <v>30</v>
      </c>
      <c r="F7">
        <v>3</v>
      </c>
      <c r="G7">
        <v>2</v>
      </c>
      <c r="H7">
        <v>20</v>
      </c>
      <c r="I7" t="s">
        <v>24</v>
      </c>
      <c r="J7" t="s">
        <v>597</v>
      </c>
      <c r="K7" t="s">
        <v>1814</v>
      </c>
      <c r="L7" s="3">
        <v>45786</v>
      </c>
      <c r="M7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2.0833333333333332E-2</v>
      </c>
      <c r="N7" s="3">
        <v>45772</v>
      </c>
      <c r="O7" s="5">
        <f>IFERROR((PlanMasine[[#This Row],[Norma]]/PlanMasine[[#This Row],[Q]])*(PlanMasine[[#This Row],[Q]]/SUMIF(C:C,PlanMasine[[#This Row],[RN]],B:B)*PlanMasine[[#This Row],[KPLQ]]),0)</f>
        <v>30</v>
      </c>
      <c r="P7">
        <v>230516</v>
      </c>
      <c r="Q7">
        <f>COUNTIF(PROMJENA!A:A,PlanMasine[[#This Row],[KPL]]&amp;"-"&amp;PlanMasine[[#This Row],[RN]])</f>
        <v>1</v>
      </c>
      <c r="R7">
        <f>IFERROR(INDEX(REDOSLIJED!A:A,MATCH(PlanMasine[[#This Row],[KPL]],REDOSLIJED!B:B,0)),MAX(REDOSLIJED!A:A)+1)</f>
        <v>45</v>
      </c>
      <c r="S7" s="9">
        <f>SUM($M$2:M7)</f>
        <v>0.40694444444444439</v>
      </c>
      <c r="T7" s="3">
        <f>PlanMasine[[#This Row],[Datum SAS]]-1</f>
        <v>45771</v>
      </c>
      <c r="U7">
        <f>WEEKDAY(PlanMasine[[#This Row],[ZAVRŠETAK MAŠINSKE]],2)</f>
        <v>4</v>
      </c>
      <c r="V7" s="3">
        <f>IF(WEEKDAY(PlanMasine[[#This Row],[Datum SAS]]-1,2)=7,PlanMasine[[#This Row],[Datum SAS]]-3,PlanMasine[[#This Row],[Datum SAS]]-1)</f>
        <v>45771</v>
      </c>
      <c r="W7">
        <f>WEEKNUM(PlanMasine[[#This Row],[Column2]],1)</f>
        <v>17</v>
      </c>
      <c r="Z7" s="56">
        <f t="shared" si="1"/>
        <v>57</v>
      </c>
      <c r="AA7" s="9">
        <f t="shared" si="0"/>
        <v>0</v>
      </c>
      <c r="AB7" s="9">
        <f t="shared" si="2"/>
        <v>6</v>
      </c>
      <c r="AC7" s="9">
        <f>IF(Table2[[#This Row],[KAPACITET]]&gt;Table2[[#This Row],[SUMA SATI]],Table2[[#This Row],[SUMA SATI]],Table2[[#This Row],[KAPACITET]])</f>
        <v>0</v>
      </c>
      <c r="AD7" s="9" t="str">
        <f>IF(Table2[[#This Row],[SUMA SATI]]&gt;0,IF(Table2[[#This Row],[KAPACITET]]-Table2[[#This Row],[SUMA SATI]]&gt;0,Table2[[#This Row],[KAPACITET]]-Table2[[#This Row],[SUMA SATI]],""),"")</f>
        <v/>
      </c>
      <c r="AE7" s="9" t="str">
        <f>IF(Table2[[#This Row],[SUMA SATI]]&gt;0,IF(Table2[[#This Row],[KAPACITET]]-Table2[[#This Row],[SUMA SATI]]&lt;0,Table2[[#This Row],[SUMA SATI]]-Table2[[#This Row],[KAPACITET]],""),"")</f>
        <v/>
      </c>
    </row>
    <row r="8" spans="1:31" x14ac:dyDescent="0.35">
      <c r="A8">
        <v>1019171</v>
      </c>
      <c r="B8">
        <v>1</v>
      </c>
      <c r="C8">
        <v>1019173</v>
      </c>
      <c r="D8" t="s">
        <v>1815</v>
      </c>
      <c r="E8">
        <v>90</v>
      </c>
      <c r="F8">
        <v>1</v>
      </c>
      <c r="G8">
        <v>0</v>
      </c>
      <c r="H8">
        <v>0</v>
      </c>
      <c r="I8" t="s">
        <v>24</v>
      </c>
      <c r="J8" t="s">
        <v>597</v>
      </c>
      <c r="K8" t="s">
        <v>1816</v>
      </c>
      <c r="L8" s="3">
        <v>45782</v>
      </c>
      <c r="M8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6.25E-2</v>
      </c>
      <c r="N8" s="3">
        <v>45772</v>
      </c>
      <c r="O8" s="5">
        <f>IFERROR((PlanMasine[[#This Row],[Norma]]/PlanMasine[[#This Row],[Q]])*(PlanMasine[[#This Row],[Q]]/SUMIF(C:C,PlanMasine[[#This Row],[RN]],B:B)*PlanMasine[[#This Row],[KPLQ]]),0)</f>
        <v>90</v>
      </c>
      <c r="P8">
        <v>231678</v>
      </c>
      <c r="Q8">
        <f>COUNTIF(PROMJENA!A:A,PlanMasine[[#This Row],[KPL]]&amp;"-"&amp;PlanMasine[[#This Row],[RN]])</f>
        <v>0</v>
      </c>
      <c r="R8">
        <f>IFERROR(INDEX(REDOSLIJED!A:A,MATCH(PlanMasine[[#This Row],[KPL]],REDOSLIJED!B:B,0)),MAX(REDOSLIJED!A:A)+1)</f>
        <v>45</v>
      </c>
      <c r="S8" s="9">
        <f>SUM($M$2:M8)</f>
        <v>0.46944444444444439</v>
      </c>
      <c r="T8" s="3">
        <f>PlanMasine[[#This Row],[Datum SAS]]-1</f>
        <v>45771</v>
      </c>
      <c r="U8">
        <f>WEEKDAY(PlanMasine[[#This Row],[ZAVRŠETAK MAŠINSKE]],2)</f>
        <v>4</v>
      </c>
      <c r="V8" s="3">
        <f>IF(WEEKDAY(PlanMasine[[#This Row],[Datum SAS]]-1,2)=7,PlanMasine[[#This Row],[Datum SAS]]-3,PlanMasine[[#This Row],[Datum SAS]]-1)</f>
        <v>45771</v>
      </c>
      <c r="W8">
        <f>WEEKNUM(PlanMasine[[#This Row],[Column2]],1)</f>
        <v>17</v>
      </c>
      <c r="Z8" s="56">
        <f t="shared" si="1"/>
        <v>58</v>
      </c>
      <c r="AA8" s="9">
        <f t="shared" si="0"/>
        <v>0</v>
      </c>
      <c r="AB8" s="9">
        <f t="shared" si="2"/>
        <v>6</v>
      </c>
      <c r="AC8" s="9">
        <f>IF(Table2[[#This Row],[KAPACITET]]&gt;Table2[[#This Row],[SUMA SATI]],Table2[[#This Row],[SUMA SATI]],Table2[[#This Row],[KAPACITET]])</f>
        <v>0</v>
      </c>
      <c r="AD8" s="9" t="str">
        <f>IF(Table2[[#This Row],[SUMA SATI]]&gt;0,IF(Table2[[#This Row],[KAPACITET]]-Table2[[#This Row],[SUMA SATI]]&gt;0,Table2[[#This Row],[KAPACITET]]-Table2[[#This Row],[SUMA SATI]],""),"")</f>
        <v/>
      </c>
      <c r="AE8" s="9" t="str">
        <f>IF(Table2[[#This Row],[SUMA SATI]]&gt;0,IF(Table2[[#This Row],[KAPACITET]]-Table2[[#This Row],[SUMA SATI]]&lt;0,Table2[[#This Row],[SUMA SATI]]-Table2[[#This Row],[KAPACITET]],""),"")</f>
        <v/>
      </c>
    </row>
    <row r="9" spans="1:31" x14ac:dyDescent="0.35">
      <c r="A9">
        <v>1013072</v>
      </c>
      <c r="B9">
        <v>1</v>
      </c>
      <c r="C9">
        <v>1013165</v>
      </c>
      <c r="D9" t="s">
        <v>452</v>
      </c>
      <c r="E9">
        <v>10</v>
      </c>
      <c r="F9">
        <v>1</v>
      </c>
      <c r="G9">
        <v>0</v>
      </c>
      <c r="H9">
        <v>0</v>
      </c>
      <c r="I9" t="s">
        <v>24</v>
      </c>
      <c r="J9" t="s">
        <v>597</v>
      </c>
      <c r="K9" t="s">
        <v>1817</v>
      </c>
      <c r="L9" s="3">
        <v>45804</v>
      </c>
      <c r="M9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6.9444444444444441E-3</v>
      </c>
      <c r="N9" s="3">
        <v>45775</v>
      </c>
      <c r="O9" s="5">
        <f>IFERROR((PlanMasine[[#This Row],[Norma]]/PlanMasine[[#This Row],[Q]])*(PlanMasine[[#This Row],[Q]]/SUMIF(C:C,PlanMasine[[#This Row],[RN]],B:B)*PlanMasine[[#This Row],[KPLQ]]),0)</f>
        <v>10</v>
      </c>
      <c r="P9">
        <v>175901</v>
      </c>
      <c r="Q9">
        <f>COUNTIF(PROMJENA!A:A,PlanMasine[[#This Row],[KPL]]&amp;"-"&amp;PlanMasine[[#This Row],[RN]])</f>
        <v>0</v>
      </c>
      <c r="R9">
        <f>IFERROR(INDEX(REDOSLIJED!A:A,MATCH(PlanMasine[[#This Row],[KPL]],REDOSLIJED!B:B,0)),MAX(REDOSLIJED!A:A)+1)</f>
        <v>45</v>
      </c>
      <c r="S9" s="9">
        <f>SUM($M$2:M9)</f>
        <v>0.47638888888888881</v>
      </c>
      <c r="T9" s="3">
        <f>PlanMasine[[#This Row],[Datum SAS]]-1</f>
        <v>45774</v>
      </c>
      <c r="U9">
        <f>WEEKDAY(PlanMasine[[#This Row],[ZAVRŠETAK MAŠINSKE]],2)</f>
        <v>7</v>
      </c>
      <c r="V9" s="3">
        <f>IF(WEEKDAY(PlanMasine[[#This Row],[Datum SAS]]-1,2)=7,PlanMasine[[#This Row],[Datum SAS]]-3,PlanMasine[[#This Row],[Datum SAS]]-1)</f>
        <v>45772</v>
      </c>
      <c r="W9">
        <f>WEEKNUM(PlanMasine[[#This Row],[Column2]],1)</f>
        <v>17</v>
      </c>
      <c r="Z9" s="56">
        <f t="shared" si="1"/>
        <v>59</v>
      </c>
      <c r="AA9" s="9">
        <f t="shared" si="0"/>
        <v>0</v>
      </c>
      <c r="AB9" s="9">
        <f t="shared" si="2"/>
        <v>6</v>
      </c>
      <c r="AC9" s="9">
        <f>IF(Table2[[#This Row],[KAPACITET]]&gt;Table2[[#This Row],[SUMA SATI]],Table2[[#This Row],[SUMA SATI]],Table2[[#This Row],[KAPACITET]])</f>
        <v>0</v>
      </c>
      <c r="AD9" s="9" t="str">
        <f>IF(Table2[[#This Row],[SUMA SATI]]&gt;0,IF(Table2[[#This Row],[KAPACITET]]-Table2[[#This Row],[SUMA SATI]]&gt;0,Table2[[#This Row],[KAPACITET]]-Table2[[#This Row],[SUMA SATI]],""),"")</f>
        <v/>
      </c>
      <c r="AE9" s="9" t="str">
        <f>IF(Table2[[#This Row],[SUMA SATI]]&gt;0,IF(Table2[[#This Row],[KAPACITET]]-Table2[[#This Row],[SUMA SATI]]&lt;0,Table2[[#This Row],[SUMA SATI]]-Table2[[#This Row],[KAPACITET]],""),"")</f>
        <v/>
      </c>
    </row>
    <row r="10" spans="1:31" x14ac:dyDescent="0.35">
      <c r="A10">
        <v>1006326</v>
      </c>
      <c r="B10">
        <v>1</v>
      </c>
      <c r="C10">
        <v>1006419</v>
      </c>
      <c r="D10" t="s">
        <v>452</v>
      </c>
      <c r="E10">
        <v>10</v>
      </c>
      <c r="F10">
        <v>1</v>
      </c>
      <c r="G10">
        <v>0</v>
      </c>
      <c r="H10">
        <v>0</v>
      </c>
      <c r="I10" t="s">
        <v>24</v>
      </c>
      <c r="J10" t="s">
        <v>597</v>
      </c>
      <c r="K10" t="s">
        <v>1818</v>
      </c>
      <c r="L10" s="3">
        <v>45812</v>
      </c>
      <c r="M10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6.9444444444444441E-3</v>
      </c>
      <c r="N10" s="3">
        <v>45782</v>
      </c>
      <c r="O10" s="5">
        <f>IFERROR((PlanMasine[[#This Row],[Norma]]/PlanMasine[[#This Row],[Q]])*(PlanMasine[[#This Row],[Q]]/SUMIF(C:C,PlanMasine[[#This Row],[RN]],B:B)*PlanMasine[[#This Row],[KPLQ]]),0)</f>
        <v>10</v>
      </c>
      <c r="P10">
        <v>175901</v>
      </c>
      <c r="Q10">
        <f>COUNTIF(PROMJENA!A:A,PlanMasine[[#This Row],[KPL]]&amp;"-"&amp;PlanMasine[[#This Row],[RN]])</f>
        <v>0</v>
      </c>
      <c r="R10">
        <f>IFERROR(INDEX(REDOSLIJED!A:A,MATCH(PlanMasine[[#This Row],[KPL]],REDOSLIJED!B:B,0)),MAX(REDOSLIJED!A:A)+1)</f>
        <v>45</v>
      </c>
      <c r="S10" s="9">
        <f>SUM($M$2:M10)</f>
        <v>0.48333333333333323</v>
      </c>
      <c r="T10" s="3">
        <f>PlanMasine[[#This Row],[Datum SAS]]-1</f>
        <v>45781</v>
      </c>
      <c r="U10">
        <f>WEEKDAY(PlanMasine[[#This Row],[ZAVRŠETAK MAŠINSKE]],2)</f>
        <v>7</v>
      </c>
      <c r="V10" s="3">
        <f>IF(WEEKDAY(PlanMasine[[#This Row],[Datum SAS]]-1,2)=7,PlanMasine[[#This Row],[Datum SAS]]-3,PlanMasine[[#This Row],[Datum SAS]]-1)</f>
        <v>45779</v>
      </c>
      <c r="W10">
        <f>WEEKNUM(PlanMasine[[#This Row],[Column2]],1)</f>
        <v>18</v>
      </c>
      <c r="Z10" s="56">
        <f t="shared" si="1"/>
        <v>60</v>
      </c>
      <c r="AA10" s="9">
        <f t="shared" si="0"/>
        <v>0</v>
      </c>
      <c r="AB10" s="9">
        <f t="shared" si="2"/>
        <v>6</v>
      </c>
      <c r="AC10" s="9">
        <f>IF(Table2[[#This Row],[KAPACITET]]&gt;Table2[[#This Row],[SUMA SATI]],Table2[[#This Row],[SUMA SATI]],Table2[[#This Row],[KAPACITET]])</f>
        <v>0</v>
      </c>
      <c r="AD10" s="9" t="str">
        <f>IF(Table2[[#This Row],[SUMA SATI]]&gt;0,IF(Table2[[#This Row],[KAPACITET]]-Table2[[#This Row],[SUMA SATI]]&gt;0,Table2[[#This Row],[KAPACITET]]-Table2[[#This Row],[SUMA SATI]],""),"")</f>
        <v/>
      </c>
      <c r="AE10" s="9" t="str">
        <f>IF(Table2[[#This Row],[SUMA SATI]]&gt;0,IF(Table2[[#This Row],[KAPACITET]]-Table2[[#This Row],[SUMA SATI]]&lt;0,Table2[[#This Row],[SUMA SATI]]-Table2[[#This Row],[KAPACITET]],""),"")</f>
        <v/>
      </c>
    </row>
    <row r="11" spans="1:31" x14ac:dyDescent="0.35">
      <c r="A11">
        <v>1023735</v>
      </c>
      <c r="B11">
        <v>2</v>
      </c>
      <c r="C11">
        <v>1023740</v>
      </c>
      <c r="D11" t="s">
        <v>1819</v>
      </c>
      <c r="E11">
        <v>80</v>
      </c>
      <c r="F11">
        <v>2</v>
      </c>
      <c r="G11">
        <v>0</v>
      </c>
      <c r="H11">
        <v>0</v>
      </c>
      <c r="I11" t="s">
        <v>24</v>
      </c>
      <c r="J11" t="s">
        <v>597</v>
      </c>
      <c r="K11" t="s">
        <v>1820</v>
      </c>
      <c r="L11" s="3">
        <v>45812</v>
      </c>
      <c r="M11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5.5555555555555552E-2</v>
      </c>
      <c r="N11" s="3">
        <v>45782</v>
      </c>
      <c r="O11" s="5">
        <f>IFERROR((PlanMasine[[#This Row],[Norma]]/PlanMasine[[#This Row],[Q]])*(PlanMasine[[#This Row],[Q]]/SUMIF(C:C,PlanMasine[[#This Row],[RN]],B:B)*PlanMasine[[#This Row],[KPLQ]]),0)</f>
        <v>80</v>
      </c>
      <c r="P11">
        <v>232110</v>
      </c>
      <c r="Q11">
        <f>COUNTIF(PROMJENA!A:A,PlanMasine[[#This Row],[KPL]]&amp;"-"&amp;PlanMasine[[#This Row],[RN]])</f>
        <v>0</v>
      </c>
      <c r="R11">
        <f>IFERROR(INDEX(REDOSLIJED!A:A,MATCH(PlanMasine[[#This Row],[KPL]],REDOSLIJED!B:B,0)),MAX(REDOSLIJED!A:A)+1)</f>
        <v>45</v>
      </c>
      <c r="S11" s="9">
        <f>SUM($M$2:M11)</f>
        <v>0.53888888888888875</v>
      </c>
      <c r="T11" s="3">
        <f>PlanMasine[[#This Row],[Datum SAS]]-1</f>
        <v>45781</v>
      </c>
      <c r="U11">
        <f>WEEKDAY(PlanMasine[[#This Row],[ZAVRŠETAK MAŠINSKE]],2)</f>
        <v>7</v>
      </c>
      <c r="V11" s="3">
        <f>IF(WEEKDAY(PlanMasine[[#This Row],[Datum SAS]]-1,2)=7,PlanMasine[[#This Row],[Datum SAS]]-3,PlanMasine[[#This Row],[Datum SAS]]-1)</f>
        <v>45779</v>
      </c>
      <c r="W11">
        <f>WEEKNUM(PlanMasine[[#This Row],[Column2]],1)</f>
        <v>18</v>
      </c>
      <c r="Z11" s="56">
        <f t="shared" si="1"/>
        <v>61</v>
      </c>
      <c r="AA11" s="9">
        <f t="shared" si="0"/>
        <v>0</v>
      </c>
      <c r="AB11" s="9">
        <f t="shared" si="2"/>
        <v>6</v>
      </c>
      <c r="AC11" s="9">
        <f>IF(Table2[[#This Row],[KAPACITET]]&gt;Table2[[#This Row],[SUMA SATI]],Table2[[#This Row],[SUMA SATI]],Table2[[#This Row],[KAPACITET]])</f>
        <v>0</v>
      </c>
      <c r="AD11" s="9" t="str">
        <f>IF(Table2[[#This Row],[SUMA SATI]]&gt;0,IF(Table2[[#This Row],[KAPACITET]]-Table2[[#This Row],[SUMA SATI]]&gt;0,Table2[[#This Row],[KAPACITET]]-Table2[[#This Row],[SUMA SATI]],""),"")</f>
        <v/>
      </c>
      <c r="AE11" s="9" t="str">
        <f>IF(Table2[[#This Row],[SUMA SATI]]&gt;0,IF(Table2[[#This Row],[KAPACITET]]-Table2[[#This Row],[SUMA SATI]]&lt;0,Table2[[#This Row],[SUMA SATI]]-Table2[[#This Row],[KAPACITET]],""),"")</f>
        <v/>
      </c>
    </row>
    <row r="12" spans="1:31" x14ac:dyDescent="0.35">
      <c r="A12">
        <v>1023735</v>
      </c>
      <c r="B12">
        <v>2</v>
      </c>
      <c r="C12">
        <v>1023739</v>
      </c>
      <c r="D12" t="s">
        <v>1821</v>
      </c>
      <c r="E12">
        <v>200</v>
      </c>
      <c r="F12">
        <v>4</v>
      </c>
      <c r="G12">
        <v>0</v>
      </c>
      <c r="H12">
        <v>0</v>
      </c>
      <c r="I12" t="s">
        <v>24</v>
      </c>
      <c r="J12" t="s">
        <v>597</v>
      </c>
      <c r="K12" t="s">
        <v>1820</v>
      </c>
      <c r="L12" s="3">
        <v>45812</v>
      </c>
      <c r="M12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0.1388888888888889</v>
      </c>
      <c r="N12" s="3">
        <v>45782</v>
      </c>
      <c r="O12" s="5">
        <f>IFERROR((PlanMasine[[#This Row],[Norma]]/PlanMasine[[#This Row],[Q]])*(PlanMasine[[#This Row],[Q]]/SUMIF(C:C,PlanMasine[[#This Row],[RN]],B:B)*PlanMasine[[#This Row],[KPLQ]]),0)</f>
        <v>200</v>
      </c>
      <c r="P12">
        <v>232109</v>
      </c>
      <c r="Q12">
        <f>COUNTIF(PROMJENA!A:A,PlanMasine[[#This Row],[KPL]]&amp;"-"&amp;PlanMasine[[#This Row],[RN]])</f>
        <v>0</v>
      </c>
      <c r="R12">
        <f>IFERROR(INDEX(REDOSLIJED!A:A,MATCH(PlanMasine[[#This Row],[KPL]],REDOSLIJED!B:B,0)),MAX(REDOSLIJED!A:A)+1)</f>
        <v>45</v>
      </c>
      <c r="S12" s="9">
        <f>SUM($M$2:M12)</f>
        <v>0.67777777777777759</v>
      </c>
      <c r="T12" s="3">
        <f>PlanMasine[[#This Row],[Datum SAS]]-1</f>
        <v>45781</v>
      </c>
      <c r="U12">
        <f>WEEKDAY(PlanMasine[[#This Row],[ZAVRŠETAK MAŠINSKE]],2)</f>
        <v>7</v>
      </c>
      <c r="V12" s="3">
        <f>IF(WEEKDAY(PlanMasine[[#This Row],[Datum SAS]]-1,2)=7,PlanMasine[[#This Row],[Datum SAS]]-3,PlanMasine[[#This Row],[Datum SAS]]-1)</f>
        <v>45779</v>
      </c>
      <c r="W12">
        <f>WEEKNUM(PlanMasine[[#This Row],[Column2]],1)</f>
        <v>18</v>
      </c>
      <c r="Z12" s="56">
        <f t="shared" si="1"/>
        <v>62</v>
      </c>
      <c r="AA12" s="9">
        <f t="shared" si="0"/>
        <v>0</v>
      </c>
      <c r="AB12" s="9">
        <f t="shared" si="2"/>
        <v>6</v>
      </c>
      <c r="AC12" s="9">
        <f>IF(Table2[[#This Row],[KAPACITET]]&gt;Table2[[#This Row],[SUMA SATI]],Table2[[#This Row],[SUMA SATI]],Table2[[#This Row],[KAPACITET]])</f>
        <v>0</v>
      </c>
      <c r="AD12" s="9" t="str">
        <f>IF(Table2[[#This Row],[SUMA SATI]]&gt;0,IF(Table2[[#This Row],[KAPACITET]]-Table2[[#This Row],[SUMA SATI]]&gt;0,Table2[[#This Row],[KAPACITET]]-Table2[[#This Row],[SUMA SATI]],""),"")</f>
        <v/>
      </c>
      <c r="AE12" s="9" t="str">
        <f>IF(Table2[[#This Row],[SUMA SATI]]&gt;0,IF(Table2[[#This Row],[KAPACITET]]-Table2[[#This Row],[SUMA SATI]]&lt;0,Table2[[#This Row],[SUMA SATI]]-Table2[[#This Row],[KAPACITET]],""),"")</f>
        <v/>
      </c>
    </row>
    <row r="13" spans="1:31" x14ac:dyDescent="0.35">
      <c r="A13">
        <v>1007060</v>
      </c>
      <c r="B13">
        <v>1</v>
      </c>
      <c r="C13">
        <v>1007044</v>
      </c>
      <c r="D13" t="s">
        <v>1052</v>
      </c>
      <c r="E13">
        <v>50</v>
      </c>
      <c r="F13">
        <v>1</v>
      </c>
      <c r="G13">
        <v>0</v>
      </c>
      <c r="H13">
        <v>0</v>
      </c>
      <c r="I13" t="s">
        <v>24</v>
      </c>
      <c r="J13" t="s">
        <v>597</v>
      </c>
      <c r="K13" t="s">
        <v>1822</v>
      </c>
      <c r="L13" s="3">
        <v>45791</v>
      </c>
      <c r="M13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3.4722222222222224E-2</v>
      </c>
      <c r="N13" s="3">
        <v>45785</v>
      </c>
      <c r="O13" s="5">
        <f>IFERROR((PlanMasine[[#This Row],[Norma]]/PlanMasine[[#This Row],[Q]])*(PlanMasine[[#This Row],[Q]]/SUMIF(C:C,PlanMasine[[#This Row],[RN]],B:B)*PlanMasine[[#This Row],[KPLQ]]),0)</f>
        <v>50</v>
      </c>
      <c r="P13">
        <v>190453</v>
      </c>
      <c r="Q13">
        <f>COUNTIF(PROMJENA!A:A,PlanMasine[[#This Row],[KPL]]&amp;"-"&amp;PlanMasine[[#This Row],[RN]])</f>
        <v>0</v>
      </c>
      <c r="R13">
        <f>IFERROR(INDEX(REDOSLIJED!A:A,MATCH(PlanMasine[[#This Row],[KPL]],REDOSLIJED!B:B,0)),MAX(REDOSLIJED!A:A)+1)</f>
        <v>45</v>
      </c>
      <c r="S13" s="9">
        <f>SUM($M$2:M13)</f>
        <v>0.7124999999999998</v>
      </c>
      <c r="T13" s="3">
        <f>PlanMasine[[#This Row],[Datum SAS]]-1</f>
        <v>45784</v>
      </c>
      <c r="U13">
        <f>WEEKDAY(PlanMasine[[#This Row],[ZAVRŠETAK MAŠINSKE]],2)</f>
        <v>3</v>
      </c>
      <c r="V13" s="3">
        <f>IF(WEEKDAY(PlanMasine[[#This Row],[Datum SAS]]-1,2)=7,PlanMasine[[#This Row],[Datum SAS]]-3,PlanMasine[[#This Row],[Datum SAS]]-1)</f>
        <v>45784</v>
      </c>
      <c r="W13">
        <f>WEEKNUM(PlanMasine[[#This Row],[Column2]],1)</f>
        <v>19</v>
      </c>
      <c r="Z13" s="56">
        <f t="shared" si="1"/>
        <v>63</v>
      </c>
      <c r="AA13" s="9">
        <f t="shared" si="0"/>
        <v>0</v>
      </c>
      <c r="AB13" s="9">
        <f t="shared" si="2"/>
        <v>6</v>
      </c>
      <c r="AC13" s="9">
        <f>IF(Table2[[#This Row],[KAPACITET]]&gt;Table2[[#This Row],[SUMA SATI]],Table2[[#This Row],[SUMA SATI]],Table2[[#This Row],[KAPACITET]])</f>
        <v>0</v>
      </c>
      <c r="AD13" s="9" t="str">
        <f>IF(Table2[[#This Row],[SUMA SATI]]&gt;0,IF(Table2[[#This Row],[KAPACITET]]-Table2[[#This Row],[SUMA SATI]]&gt;0,Table2[[#This Row],[KAPACITET]]-Table2[[#This Row],[SUMA SATI]],""),"")</f>
        <v/>
      </c>
      <c r="AE13" s="9" t="str">
        <f>IF(Table2[[#This Row],[SUMA SATI]]&gt;0,IF(Table2[[#This Row],[KAPACITET]]-Table2[[#This Row],[SUMA SATI]]&lt;0,Table2[[#This Row],[SUMA SATI]]-Table2[[#This Row],[KAPACITET]],""),"")</f>
        <v/>
      </c>
    </row>
    <row r="14" spans="1:31" x14ac:dyDescent="0.35">
      <c r="A14">
        <v>1004376</v>
      </c>
      <c r="B14">
        <v>3</v>
      </c>
      <c r="C14">
        <v>1004400</v>
      </c>
      <c r="D14" t="s">
        <v>1656</v>
      </c>
      <c r="E14">
        <v>120</v>
      </c>
      <c r="F14">
        <v>3</v>
      </c>
      <c r="G14">
        <v>0</v>
      </c>
      <c r="H14">
        <v>105</v>
      </c>
      <c r="I14" t="s">
        <v>24</v>
      </c>
      <c r="J14" t="s">
        <v>597</v>
      </c>
      <c r="K14" t="s">
        <v>1823</v>
      </c>
      <c r="L14" s="3">
        <v>45804</v>
      </c>
      <c r="M14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8.3333333333333329E-2</v>
      </c>
      <c r="N14" s="3">
        <v>45789</v>
      </c>
      <c r="O14" s="5">
        <f>IFERROR((PlanMasine[[#This Row],[Norma]]/PlanMasine[[#This Row],[Q]])*(PlanMasine[[#This Row],[Q]]/SUMIF(C:C,PlanMasine[[#This Row],[RN]],B:B)*PlanMasine[[#This Row],[KPLQ]]),0)</f>
        <v>120</v>
      </c>
      <c r="P14">
        <v>209469</v>
      </c>
      <c r="Q14">
        <f>COUNTIF(PROMJENA!A:A,PlanMasine[[#This Row],[KPL]]&amp;"-"&amp;PlanMasine[[#This Row],[RN]])</f>
        <v>0</v>
      </c>
      <c r="R14">
        <f>IFERROR(INDEX(REDOSLIJED!A:A,MATCH(PlanMasine[[#This Row],[KPL]],REDOSLIJED!B:B,0)),MAX(REDOSLIJED!A:A)+1)</f>
        <v>45</v>
      </c>
      <c r="S14" s="9">
        <f>SUM($M$2:M14)</f>
        <v>0.79583333333333317</v>
      </c>
      <c r="T14" s="3">
        <f>PlanMasine[[#This Row],[Datum SAS]]-1</f>
        <v>45788</v>
      </c>
      <c r="U14">
        <f>WEEKDAY(PlanMasine[[#This Row],[ZAVRŠETAK MAŠINSKE]],2)</f>
        <v>7</v>
      </c>
      <c r="V14" s="3">
        <f>IF(WEEKDAY(PlanMasine[[#This Row],[Datum SAS]]-1,2)=7,PlanMasine[[#This Row],[Datum SAS]]-3,PlanMasine[[#This Row],[Datum SAS]]-1)</f>
        <v>45786</v>
      </c>
      <c r="W14">
        <f>WEEKNUM(PlanMasine[[#This Row],[Column2]],1)</f>
        <v>19</v>
      </c>
      <c r="Z14" s="56">
        <f t="shared" si="1"/>
        <v>64</v>
      </c>
      <c r="AA14" s="9">
        <f t="shared" si="0"/>
        <v>0</v>
      </c>
      <c r="AB14" s="9">
        <f t="shared" si="2"/>
        <v>6</v>
      </c>
      <c r="AC14" s="9">
        <f>IF(Table2[[#This Row],[KAPACITET]]&gt;Table2[[#This Row],[SUMA SATI]],Table2[[#This Row],[SUMA SATI]],Table2[[#This Row],[KAPACITET]])</f>
        <v>0</v>
      </c>
      <c r="AD14" s="9" t="str">
        <f>IF(Table2[[#This Row],[SUMA SATI]]&gt;0,IF(Table2[[#This Row],[KAPACITET]]-Table2[[#This Row],[SUMA SATI]]&gt;0,Table2[[#This Row],[KAPACITET]]-Table2[[#This Row],[SUMA SATI]],""),"")</f>
        <v/>
      </c>
      <c r="AE14" s="9" t="str">
        <f>IF(Table2[[#This Row],[SUMA SATI]]&gt;0,IF(Table2[[#This Row],[KAPACITET]]-Table2[[#This Row],[SUMA SATI]]&lt;0,Table2[[#This Row],[SUMA SATI]]-Table2[[#This Row],[KAPACITET]],""),"")</f>
        <v/>
      </c>
    </row>
    <row r="15" spans="1:31" x14ac:dyDescent="0.35">
      <c r="A15">
        <v>1004376</v>
      </c>
      <c r="B15">
        <v>3</v>
      </c>
      <c r="C15">
        <v>1004389</v>
      </c>
      <c r="D15" t="s">
        <v>1712</v>
      </c>
      <c r="E15">
        <v>75</v>
      </c>
      <c r="F15">
        <v>3</v>
      </c>
      <c r="G15">
        <v>0</v>
      </c>
      <c r="H15">
        <v>0</v>
      </c>
      <c r="I15" t="s">
        <v>24</v>
      </c>
      <c r="J15" t="s">
        <v>597</v>
      </c>
      <c r="K15" t="s">
        <v>1823</v>
      </c>
      <c r="L15" s="3">
        <v>45804</v>
      </c>
      <c r="M15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5.2083333333333336E-2</v>
      </c>
      <c r="N15" s="3">
        <v>45789</v>
      </c>
      <c r="O15" s="5">
        <f>IFERROR((PlanMasine[[#This Row],[Norma]]/PlanMasine[[#This Row],[Q]])*(PlanMasine[[#This Row],[Q]]/SUMIF(C:C,PlanMasine[[#This Row],[RN]],B:B)*PlanMasine[[#This Row],[KPLQ]]),0)</f>
        <v>75</v>
      </c>
      <c r="P15">
        <v>209458</v>
      </c>
      <c r="Q15">
        <f>COUNTIF(PROMJENA!A:A,PlanMasine[[#This Row],[KPL]]&amp;"-"&amp;PlanMasine[[#This Row],[RN]])</f>
        <v>0</v>
      </c>
      <c r="R15">
        <f>IFERROR(INDEX(REDOSLIJED!A:A,MATCH(PlanMasine[[#This Row],[KPL]],REDOSLIJED!B:B,0)),MAX(REDOSLIJED!A:A)+1)</f>
        <v>45</v>
      </c>
      <c r="S15" s="9">
        <f>SUM($M$2:M15)</f>
        <v>0.84791666666666654</v>
      </c>
      <c r="T15" s="3">
        <f>PlanMasine[[#This Row],[Datum SAS]]-1</f>
        <v>45788</v>
      </c>
      <c r="U15">
        <f>WEEKDAY(PlanMasine[[#This Row],[ZAVRŠETAK MAŠINSKE]],2)</f>
        <v>7</v>
      </c>
      <c r="V15" s="3">
        <f>IF(WEEKDAY(PlanMasine[[#This Row],[Datum SAS]]-1,2)=7,PlanMasine[[#This Row],[Datum SAS]]-3,PlanMasine[[#This Row],[Datum SAS]]-1)</f>
        <v>45786</v>
      </c>
      <c r="W15">
        <f>WEEKNUM(PlanMasine[[#This Row],[Column2]],1)</f>
        <v>19</v>
      </c>
      <c r="Z15" s="56">
        <f t="shared" si="1"/>
        <v>65</v>
      </c>
      <c r="AA15" s="9">
        <f t="shared" si="0"/>
        <v>0</v>
      </c>
      <c r="AB15" s="9">
        <f t="shared" si="2"/>
        <v>6</v>
      </c>
      <c r="AC15" s="9">
        <f>IF(Table2[[#This Row],[KAPACITET]]&gt;Table2[[#This Row],[SUMA SATI]],Table2[[#This Row],[SUMA SATI]],Table2[[#This Row],[KAPACITET]])</f>
        <v>0</v>
      </c>
      <c r="AD15" s="9" t="str">
        <f>IF(Table2[[#This Row],[SUMA SATI]]&gt;0,IF(Table2[[#This Row],[KAPACITET]]-Table2[[#This Row],[SUMA SATI]]&gt;0,Table2[[#This Row],[KAPACITET]]-Table2[[#This Row],[SUMA SATI]],""),"")</f>
        <v/>
      </c>
      <c r="AE15" s="9" t="str">
        <f>IF(Table2[[#This Row],[SUMA SATI]]&gt;0,IF(Table2[[#This Row],[KAPACITET]]-Table2[[#This Row],[SUMA SATI]]&lt;0,Table2[[#This Row],[SUMA SATI]]-Table2[[#This Row],[KAPACITET]],""),"")</f>
        <v/>
      </c>
    </row>
    <row r="16" spans="1:31" x14ac:dyDescent="0.35">
      <c r="A16">
        <v>1004376</v>
      </c>
      <c r="B16">
        <v>3</v>
      </c>
      <c r="C16">
        <v>1004401</v>
      </c>
      <c r="D16" t="s">
        <v>1657</v>
      </c>
      <c r="E16">
        <v>225</v>
      </c>
      <c r="F16">
        <v>3</v>
      </c>
      <c r="G16">
        <v>0</v>
      </c>
      <c r="H16">
        <v>180</v>
      </c>
      <c r="I16" t="s">
        <v>24</v>
      </c>
      <c r="J16" t="s">
        <v>597</v>
      </c>
      <c r="K16" t="s">
        <v>1823</v>
      </c>
      <c r="L16" s="3">
        <v>45804</v>
      </c>
      <c r="M16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0.15625</v>
      </c>
      <c r="N16" s="3">
        <v>45789</v>
      </c>
      <c r="O16" s="5">
        <f>IFERROR((PlanMasine[[#This Row],[Norma]]/PlanMasine[[#This Row],[Q]])*(PlanMasine[[#This Row],[Q]]/SUMIF(C:C,PlanMasine[[#This Row],[RN]],B:B)*PlanMasine[[#This Row],[KPLQ]]),0)</f>
        <v>225</v>
      </c>
      <c r="P16">
        <v>209470</v>
      </c>
      <c r="Q16">
        <f>COUNTIF(PROMJENA!A:A,PlanMasine[[#This Row],[KPL]]&amp;"-"&amp;PlanMasine[[#This Row],[RN]])</f>
        <v>0</v>
      </c>
      <c r="R16">
        <f>IFERROR(INDEX(REDOSLIJED!A:A,MATCH(PlanMasine[[#This Row],[KPL]],REDOSLIJED!B:B,0)),MAX(REDOSLIJED!A:A)+1)</f>
        <v>45</v>
      </c>
      <c r="S16" s="9">
        <f>SUM($M$2:M16)</f>
        <v>1.0041666666666664</v>
      </c>
      <c r="T16" s="3">
        <f>PlanMasine[[#This Row],[Datum SAS]]-1</f>
        <v>45788</v>
      </c>
      <c r="U16">
        <f>WEEKDAY(PlanMasine[[#This Row],[ZAVRŠETAK MAŠINSKE]],2)</f>
        <v>7</v>
      </c>
      <c r="V16" s="3">
        <f>IF(WEEKDAY(PlanMasine[[#This Row],[Datum SAS]]-1,2)=7,PlanMasine[[#This Row],[Datum SAS]]-3,PlanMasine[[#This Row],[Datum SAS]]-1)</f>
        <v>45786</v>
      </c>
      <c r="W16">
        <f>WEEKNUM(PlanMasine[[#This Row],[Column2]],1)</f>
        <v>19</v>
      </c>
      <c r="Z16" s="56">
        <f t="shared" si="1"/>
        <v>66</v>
      </c>
      <c r="AA16" s="9">
        <f t="shared" si="0"/>
        <v>0</v>
      </c>
      <c r="AB16" s="9">
        <f t="shared" si="2"/>
        <v>6</v>
      </c>
      <c r="AC16" s="9">
        <f>IF(Table2[[#This Row],[KAPACITET]]&gt;Table2[[#This Row],[SUMA SATI]],Table2[[#This Row],[SUMA SATI]],Table2[[#This Row],[KAPACITET]])</f>
        <v>0</v>
      </c>
      <c r="AD16" s="9" t="str">
        <f>IF(Table2[[#This Row],[SUMA SATI]]&gt;0,IF(Table2[[#This Row],[KAPACITET]]-Table2[[#This Row],[SUMA SATI]]&gt;0,Table2[[#This Row],[KAPACITET]]-Table2[[#This Row],[SUMA SATI]],""),"")</f>
        <v/>
      </c>
      <c r="AE16" s="9" t="str">
        <f>IF(Table2[[#This Row],[SUMA SATI]]&gt;0,IF(Table2[[#This Row],[KAPACITET]]-Table2[[#This Row],[SUMA SATI]]&lt;0,Table2[[#This Row],[SUMA SATI]]-Table2[[#This Row],[KAPACITET]],""),"")</f>
        <v/>
      </c>
    </row>
    <row r="17" spans="1:40" x14ac:dyDescent="0.35">
      <c r="A17">
        <v>1021494</v>
      </c>
      <c r="B17">
        <v>1</v>
      </c>
      <c r="C17">
        <v>1021496</v>
      </c>
      <c r="D17" t="s">
        <v>1824</v>
      </c>
      <c r="E17">
        <v>10</v>
      </c>
      <c r="F17">
        <v>1</v>
      </c>
      <c r="G17">
        <v>0</v>
      </c>
      <c r="H17">
        <v>0</v>
      </c>
      <c r="I17" t="s">
        <v>24</v>
      </c>
      <c r="J17" t="s">
        <v>597</v>
      </c>
      <c r="K17" t="s">
        <v>1825</v>
      </c>
      <c r="L17" s="3">
        <v>45807</v>
      </c>
      <c r="M17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6.9444444444444441E-3</v>
      </c>
      <c r="N17" s="3">
        <v>45789</v>
      </c>
      <c r="O17" s="5">
        <f>IFERROR((PlanMasine[[#This Row],[Norma]]/PlanMasine[[#This Row],[Q]])*(PlanMasine[[#This Row],[Q]]/SUMIF(C:C,PlanMasine[[#This Row],[RN]],B:B)*PlanMasine[[#This Row],[KPLQ]]),0)</f>
        <v>10</v>
      </c>
      <c r="P17">
        <v>231763</v>
      </c>
      <c r="Q17">
        <f>COUNTIF(PROMJENA!A:A,PlanMasine[[#This Row],[KPL]]&amp;"-"&amp;PlanMasine[[#This Row],[RN]])</f>
        <v>0</v>
      </c>
      <c r="R17">
        <f>IFERROR(INDEX(REDOSLIJED!A:A,MATCH(PlanMasine[[#This Row],[KPL]],REDOSLIJED!B:B,0)),MAX(REDOSLIJED!A:A)+1)</f>
        <v>45</v>
      </c>
      <c r="S17" s="9">
        <f>SUM($M$2:M17)</f>
        <v>1.0111111111111108</v>
      </c>
      <c r="T17" s="3">
        <f>PlanMasine[[#This Row],[Datum SAS]]-1</f>
        <v>45788</v>
      </c>
      <c r="U17">
        <f>WEEKDAY(PlanMasine[[#This Row],[ZAVRŠETAK MAŠINSKE]],2)</f>
        <v>7</v>
      </c>
      <c r="V17" s="3">
        <f>IF(WEEKDAY(PlanMasine[[#This Row],[Datum SAS]]-1,2)=7,PlanMasine[[#This Row],[Datum SAS]]-3,PlanMasine[[#This Row],[Datum SAS]]-1)</f>
        <v>45786</v>
      </c>
      <c r="W17">
        <f>WEEKNUM(PlanMasine[[#This Row],[Column2]],1)</f>
        <v>19</v>
      </c>
      <c r="Z17" s="56">
        <f t="shared" si="1"/>
        <v>67</v>
      </c>
      <c r="AA17" s="9">
        <f t="shared" si="0"/>
        <v>0</v>
      </c>
      <c r="AB17" s="9">
        <f t="shared" si="2"/>
        <v>6</v>
      </c>
      <c r="AC17" s="9">
        <f>IF(Table2[[#This Row],[KAPACITET]]&gt;Table2[[#This Row],[SUMA SATI]],Table2[[#This Row],[SUMA SATI]],Table2[[#This Row],[KAPACITET]])</f>
        <v>0</v>
      </c>
      <c r="AD17" s="9" t="str">
        <f>IF(Table2[[#This Row],[SUMA SATI]]&gt;0,IF(Table2[[#This Row],[KAPACITET]]-Table2[[#This Row],[SUMA SATI]]&gt;0,Table2[[#This Row],[KAPACITET]]-Table2[[#This Row],[SUMA SATI]],""),"")</f>
        <v/>
      </c>
      <c r="AE17" s="9" t="str">
        <f>IF(Table2[[#This Row],[SUMA SATI]]&gt;0,IF(Table2[[#This Row],[KAPACITET]]-Table2[[#This Row],[SUMA SATI]]&lt;0,Table2[[#This Row],[SUMA SATI]]-Table2[[#This Row],[KAPACITET]],""),"")</f>
        <v/>
      </c>
    </row>
    <row r="18" spans="1:40" x14ac:dyDescent="0.35">
      <c r="A18">
        <v>1008734</v>
      </c>
      <c r="B18">
        <v>4</v>
      </c>
      <c r="C18">
        <v>1008736</v>
      </c>
      <c r="D18" t="s">
        <v>1826</v>
      </c>
      <c r="E18">
        <v>240</v>
      </c>
      <c r="F18">
        <v>4</v>
      </c>
      <c r="G18">
        <v>0</v>
      </c>
      <c r="H18">
        <v>0</v>
      </c>
      <c r="I18" t="s">
        <v>24</v>
      </c>
      <c r="J18" t="s">
        <v>597</v>
      </c>
      <c r="K18" t="s">
        <v>1827</v>
      </c>
      <c r="L18" s="3">
        <v>45811</v>
      </c>
      <c r="M18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0.16666666666666666</v>
      </c>
      <c r="N18" s="3">
        <v>45790</v>
      </c>
      <c r="O18" s="5">
        <f>IFERROR((PlanMasine[[#This Row],[Norma]]/PlanMasine[[#This Row],[Q]])*(PlanMasine[[#This Row],[Q]]/SUMIF(C:C,PlanMasine[[#This Row],[RN]],B:B)*PlanMasine[[#This Row],[KPLQ]]),0)</f>
        <v>240</v>
      </c>
      <c r="P18">
        <v>173565</v>
      </c>
      <c r="Q18">
        <f>COUNTIF(PROMJENA!A:A,PlanMasine[[#This Row],[KPL]]&amp;"-"&amp;PlanMasine[[#This Row],[RN]])</f>
        <v>0</v>
      </c>
      <c r="R18">
        <f>IFERROR(INDEX(REDOSLIJED!A:A,MATCH(PlanMasine[[#This Row],[KPL]],REDOSLIJED!B:B,0)),MAX(REDOSLIJED!A:A)+1)</f>
        <v>45</v>
      </c>
      <c r="S18" s="9">
        <f>SUM($M$2:M18)</f>
        <v>1.1777777777777776</v>
      </c>
      <c r="T18" s="3">
        <f>PlanMasine[[#This Row],[Datum SAS]]-1</f>
        <v>45789</v>
      </c>
      <c r="U18">
        <f>WEEKDAY(PlanMasine[[#This Row],[ZAVRŠETAK MAŠINSKE]],2)</f>
        <v>1</v>
      </c>
      <c r="V18" s="3">
        <f>IF(WEEKDAY(PlanMasine[[#This Row],[Datum SAS]]-1,2)=7,PlanMasine[[#This Row],[Datum SAS]]-3,PlanMasine[[#This Row],[Datum SAS]]-1)</f>
        <v>45789</v>
      </c>
      <c r="W18">
        <f>WEEKNUM(PlanMasine[[#This Row],[Column2]],1)</f>
        <v>20</v>
      </c>
      <c r="Z18" s="56">
        <f t="shared" si="1"/>
        <v>68</v>
      </c>
      <c r="AA18" s="9">
        <f t="shared" si="0"/>
        <v>0</v>
      </c>
      <c r="AB18" s="9">
        <f t="shared" si="2"/>
        <v>6</v>
      </c>
      <c r="AC18" s="9">
        <f>IF(Table2[[#This Row],[KAPACITET]]&gt;Table2[[#This Row],[SUMA SATI]],Table2[[#This Row],[SUMA SATI]],Table2[[#This Row],[KAPACITET]])</f>
        <v>0</v>
      </c>
      <c r="AD18" s="9" t="str">
        <f>IF(Table2[[#This Row],[SUMA SATI]]&gt;0,IF(Table2[[#This Row],[KAPACITET]]-Table2[[#This Row],[SUMA SATI]]&gt;0,Table2[[#This Row],[KAPACITET]]-Table2[[#This Row],[SUMA SATI]],""),"")</f>
        <v/>
      </c>
      <c r="AE18" s="9" t="str">
        <f>IF(Table2[[#This Row],[SUMA SATI]]&gt;0,IF(Table2[[#This Row],[KAPACITET]]-Table2[[#This Row],[SUMA SATI]]&lt;0,Table2[[#This Row],[SUMA SATI]]-Table2[[#This Row],[KAPACITET]],""),"")</f>
        <v/>
      </c>
    </row>
    <row r="19" spans="1:40" x14ac:dyDescent="0.35">
      <c r="A19">
        <v>1014421</v>
      </c>
      <c r="B19">
        <v>16</v>
      </c>
      <c r="C19">
        <v>1014423</v>
      </c>
      <c r="D19" t="s">
        <v>1622</v>
      </c>
      <c r="E19">
        <v>960</v>
      </c>
      <c r="F19">
        <v>16</v>
      </c>
      <c r="G19">
        <v>0</v>
      </c>
      <c r="H19">
        <v>0</v>
      </c>
      <c r="I19" t="s">
        <v>24</v>
      </c>
      <c r="J19" t="s">
        <v>597</v>
      </c>
      <c r="K19" t="s">
        <v>1828</v>
      </c>
      <c r="L19" s="3">
        <v>45821</v>
      </c>
      <c r="M19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0.66666666666666663</v>
      </c>
      <c r="N19" s="3">
        <v>45791</v>
      </c>
      <c r="O19" s="5">
        <f>IFERROR((PlanMasine[[#This Row],[Norma]]/PlanMasine[[#This Row],[Q]])*(PlanMasine[[#This Row],[Q]]/SUMIF(C:C,PlanMasine[[#This Row],[RN]],B:B)*PlanMasine[[#This Row],[KPLQ]]),0)</f>
        <v>960</v>
      </c>
      <c r="P19">
        <v>151241</v>
      </c>
      <c r="Q19">
        <f>COUNTIF(PROMJENA!A:A,PlanMasine[[#This Row],[KPL]]&amp;"-"&amp;PlanMasine[[#This Row],[RN]])</f>
        <v>0</v>
      </c>
      <c r="R19">
        <f>IFERROR(INDEX(REDOSLIJED!A:A,MATCH(PlanMasine[[#This Row],[KPL]],REDOSLIJED!B:B,0)),MAX(REDOSLIJED!A:A)+1)</f>
        <v>45</v>
      </c>
      <c r="S19" s="9">
        <f>SUM($M$2:M19)</f>
        <v>1.8444444444444441</v>
      </c>
      <c r="T19" s="3">
        <f>PlanMasine[[#This Row],[Datum SAS]]-1</f>
        <v>45790</v>
      </c>
      <c r="U19">
        <f>WEEKDAY(PlanMasine[[#This Row],[ZAVRŠETAK MAŠINSKE]],2)</f>
        <v>2</v>
      </c>
      <c r="V19" s="3">
        <f>IF(WEEKDAY(PlanMasine[[#This Row],[Datum SAS]]-1,2)=7,PlanMasine[[#This Row],[Datum SAS]]-3,PlanMasine[[#This Row],[Datum SAS]]-1)</f>
        <v>45790</v>
      </c>
      <c r="W19">
        <f>WEEKNUM(PlanMasine[[#This Row],[Column2]],1)</f>
        <v>20</v>
      </c>
      <c r="Z19" s="56">
        <f t="shared" si="1"/>
        <v>69</v>
      </c>
      <c r="AA19" s="9">
        <f t="shared" si="0"/>
        <v>0</v>
      </c>
      <c r="AB19" s="9">
        <f t="shared" si="2"/>
        <v>6</v>
      </c>
      <c r="AC19" s="9">
        <f>IF(Table2[[#This Row],[KAPACITET]]&gt;Table2[[#This Row],[SUMA SATI]],Table2[[#This Row],[SUMA SATI]],Table2[[#This Row],[KAPACITET]])</f>
        <v>0</v>
      </c>
      <c r="AD19" s="9" t="str">
        <f>IF(Table2[[#This Row],[SUMA SATI]]&gt;0,IF(Table2[[#This Row],[KAPACITET]]-Table2[[#This Row],[SUMA SATI]]&gt;0,Table2[[#This Row],[KAPACITET]]-Table2[[#This Row],[SUMA SATI]],""),"")</f>
        <v/>
      </c>
      <c r="AE19" s="9" t="str">
        <f>IF(Table2[[#This Row],[SUMA SATI]]&gt;0,IF(Table2[[#This Row],[KAPACITET]]-Table2[[#This Row],[SUMA SATI]]&lt;0,Table2[[#This Row],[SUMA SATI]]-Table2[[#This Row],[KAPACITET]],""),"")</f>
        <v/>
      </c>
    </row>
    <row r="20" spans="1:40" x14ac:dyDescent="0.35">
      <c r="A20">
        <v>1014421</v>
      </c>
      <c r="B20">
        <v>16</v>
      </c>
      <c r="C20">
        <v>1014424</v>
      </c>
      <c r="D20" t="s">
        <v>1621</v>
      </c>
      <c r="E20">
        <v>320</v>
      </c>
      <c r="F20">
        <v>16</v>
      </c>
      <c r="G20">
        <v>0</v>
      </c>
      <c r="H20">
        <v>0</v>
      </c>
      <c r="I20" t="s">
        <v>24</v>
      </c>
      <c r="J20" t="s">
        <v>597</v>
      </c>
      <c r="K20" t="s">
        <v>1828</v>
      </c>
      <c r="L20" s="3">
        <v>45821</v>
      </c>
      <c r="M20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0.22222222222222221</v>
      </c>
      <c r="N20" s="3">
        <v>45791</v>
      </c>
      <c r="O20" s="5">
        <f>IFERROR((PlanMasine[[#This Row],[Norma]]/PlanMasine[[#This Row],[Q]])*(PlanMasine[[#This Row],[Q]]/SUMIF(C:C,PlanMasine[[#This Row],[RN]],B:B)*PlanMasine[[#This Row],[KPLQ]]),0)</f>
        <v>320</v>
      </c>
      <c r="P20">
        <v>151242</v>
      </c>
      <c r="Q20">
        <f>COUNTIF(PROMJENA!A:A,PlanMasine[[#This Row],[KPL]]&amp;"-"&amp;PlanMasine[[#This Row],[RN]])</f>
        <v>0</v>
      </c>
      <c r="R20">
        <f>IFERROR(INDEX(REDOSLIJED!A:A,MATCH(PlanMasine[[#This Row],[KPL]],REDOSLIJED!B:B,0)),MAX(REDOSLIJED!A:A)+1)</f>
        <v>45</v>
      </c>
      <c r="S20" s="9">
        <f>SUM($M$2:M20)</f>
        <v>2.0666666666666664</v>
      </c>
      <c r="T20" s="3">
        <f>PlanMasine[[#This Row],[Datum SAS]]-1</f>
        <v>45790</v>
      </c>
      <c r="U20">
        <f>WEEKDAY(PlanMasine[[#This Row],[ZAVRŠETAK MAŠINSKE]],2)</f>
        <v>2</v>
      </c>
      <c r="V20" s="3">
        <f>IF(WEEKDAY(PlanMasine[[#This Row],[Datum SAS]]-1,2)=7,PlanMasine[[#This Row],[Datum SAS]]-3,PlanMasine[[#This Row],[Datum SAS]]-1)</f>
        <v>45790</v>
      </c>
      <c r="W20">
        <f>WEEKNUM(PlanMasine[[#This Row],[Column2]],1)</f>
        <v>20</v>
      </c>
      <c r="Z20" s="56">
        <f t="shared" si="1"/>
        <v>70</v>
      </c>
      <c r="AA20" s="9">
        <f t="shared" si="0"/>
        <v>0</v>
      </c>
      <c r="AB20" s="9">
        <f t="shared" si="2"/>
        <v>6</v>
      </c>
      <c r="AC20" s="9">
        <f>IF(Table2[[#This Row],[KAPACITET]]&gt;Table2[[#This Row],[SUMA SATI]],Table2[[#This Row],[SUMA SATI]],Table2[[#This Row],[KAPACITET]])</f>
        <v>0</v>
      </c>
      <c r="AD20" s="9" t="str">
        <f>IF(Table2[[#This Row],[SUMA SATI]]&gt;0,IF(Table2[[#This Row],[KAPACITET]]-Table2[[#This Row],[SUMA SATI]]&gt;0,Table2[[#This Row],[KAPACITET]]-Table2[[#This Row],[SUMA SATI]],""),"")</f>
        <v/>
      </c>
      <c r="AE20" s="9" t="str">
        <f>IF(Table2[[#This Row],[SUMA SATI]]&gt;0,IF(Table2[[#This Row],[KAPACITET]]-Table2[[#This Row],[SUMA SATI]]&lt;0,Table2[[#This Row],[SUMA SATI]]-Table2[[#This Row],[KAPACITET]],""),"")</f>
        <v/>
      </c>
      <c r="AN20">
        <f>7.5*5*2</f>
        <v>75</v>
      </c>
    </row>
    <row r="21" spans="1:40" x14ac:dyDescent="0.35">
      <c r="A21">
        <v>1012916</v>
      </c>
      <c r="B21">
        <v>10</v>
      </c>
      <c r="C21">
        <v>1012920</v>
      </c>
      <c r="D21" t="s">
        <v>1305</v>
      </c>
      <c r="E21">
        <v>550.1</v>
      </c>
      <c r="F21">
        <v>10</v>
      </c>
      <c r="G21">
        <v>0</v>
      </c>
      <c r="H21">
        <v>550</v>
      </c>
      <c r="I21" t="s">
        <v>24</v>
      </c>
      <c r="J21" t="s">
        <v>597</v>
      </c>
      <c r="K21" t="s">
        <v>1829</v>
      </c>
      <c r="L21" s="3">
        <v>45811</v>
      </c>
      <c r="M21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0.38201388888888893</v>
      </c>
      <c r="N21" s="3">
        <v>45792</v>
      </c>
      <c r="O21" s="5">
        <f>IFERROR((PlanMasine[[#This Row],[Norma]]/PlanMasine[[#This Row],[Q]])*(PlanMasine[[#This Row],[Q]]/SUMIF(C:C,PlanMasine[[#This Row],[RN]],B:B)*PlanMasine[[#This Row],[KPLQ]]),0)</f>
        <v>550.1</v>
      </c>
      <c r="P21">
        <v>202323</v>
      </c>
      <c r="Q21">
        <f>COUNTIF(PROMJENA!A:A,PlanMasine[[#This Row],[KPL]]&amp;"-"&amp;PlanMasine[[#This Row],[RN]])</f>
        <v>0</v>
      </c>
      <c r="R21">
        <f>IFERROR(INDEX(REDOSLIJED!A:A,MATCH(PlanMasine[[#This Row],[KPL]],REDOSLIJED!B:B,0)),MAX(REDOSLIJED!A:A)+1)</f>
        <v>45</v>
      </c>
      <c r="S21" s="9">
        <f>SUM($M$2:M21)</f>
        <v>2.4486805555555553</v>
      </c>
      <c r="T21" s="3">
        <f>PlanMasine[[#This Row],[Datum SAS]]-1</f>
        <v>45791</v>
      </c>
      <c r="U21">
        <f>WEEKDAY(PlanMasine[[#This Row],[ZAVRŠETAK MAŠINSKE]],2)</f>
        <v>3</v>
      </c>
      <c r="V21" s="3">
        <f>IF(WEEKDAY(PlanMasine[[#This Row],[Datum SAS]]-1,2)=7,PlanMasine[[#This Row],[Datum SAS]]-3,PlanMasine[[#This Row],[Datum SAS]]-1)</f>
        <v>45791</v>
      </c>
      <c r="W21">
        <f>WEEKNUM(PlanMasine[[#This Row],[Column2]],1)</f>
        <v>20</v>
      </c>
      <c r="Z21" s="56">
        <f t="shared" si="1"/>
        <v>71</v>
      </c>
      <c r="AA21" s="9">
        <f t="shared" si="0"/>
        <v>0</v>
      </c>
      <c r="AB21" s="9">
        <f t="shared" si="2"/>
        <v>6</v>
      </c>
      <c r="AC21" s="9">
        <f>IF(Table2[[#This Row],[KAPACITET]]&gt;Table2[[#This Row],[SUMA SATI]],Table2[[#This Row],[SUMA SATI]],Table2[[#This Row],[KAPACITET]])</f>
        <v>0</v>
      </c>
      <c r="AD21" s="9" t="str">
        <f>IF(Table2[[#This Row],[SUMA SATI]]&gt;0,IF(Table2[[#This Row],[KAPACITET]]-Table2[[#This Row],[SUMA SATI]]&gt;0,Table2[[#This Row],[KAPACITET]]-Table2[[#This Row],[SUMA SATI]],""),"")</f>
        <v/>
      </c>
      <c r="AE21" s="9" t="str">
        <f>IF(Table2[[#This Row],[SUMA SATI]]&gt;0,IF(Table2[[#This Row],[KAPACITET]]-Table2[[#This Row],[SUMA SATI]]&lt;0,Table2[[#This Row],[SUMA SATI]]-Table2[[#This Row],[KAPACITET]],""),"")</f>
        <v/>
      </c>
    </row>
    <row r="22" spans="1:40" x14ac:dyDescent="0.35">
      <c r="A22">
        <v>1012916</v>
      </c>
      <c r="B22">
        <v>10</v>
      </c>
      <c r="C22">
        <v>1012918</v>
      </c>
      <c r="D22" t="s">
        <v>1307</v>
      </c>
      <c r="E22">
        <v>250.1</v>
      </c>
      <c r="F22">
        <v>10</v>
      </c>
      <c r="G22">
        <v>0</v>
      </c>
      <c r="H22">
        <v>250</v>
      </c>
      <c r="I22" t="s">
        <v>24</v>
      </c>
      <c r="J22" t="s">
        <v>597</v>
      </c>
      <c r="K22" t="s">
        <v>1829</v>
      </c>
      <c r="L22" s="3">
        <v>45811</v>
      </c>
      <c r="M22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0.17368055555555556</v>
      </c>
      <c r="N22" s="3">
        <v>45792</v>
      </c>
      <c r="O22" s="5">
        <f>IFERROR((PlanMasine[[#This Row],[Norma]]/PlanMasine[[#This Row],[Q]])*(PlanMasine[[#This Row],[Q]]/SUMIF(C:C,PlanMasine[[#This Row],[RN]],B:B)*PlanMasine[[#This Row],[KPLQ]]),0)</f>
        <v>250.09999999999997</v>
      </c>
      <c r="P22">
        <v>202321</v>
      </c>
      <c r="Q22">
        <f>COUNTIF(PROMJENA!A:A,PlanMasine[[#This Row],[KPL]]&amp;"-"&amp;PlanMasine[[#This Row],[RN]])</f>
        <v>0</v>
      </c>
      <c r="R22">
        <f>IFERROR(INDEX(REDOSLIJED!A:A,MATCH(PlanMasine[[#This Row],[KPL]],REDOSLIJED!B:B,0)),MAX(REDOSLIJED!A:A)+1)</f>
        <v>45</v>
      </c>
      <c r="S22" s="9">
        <f>SUM($M$2:M22)</f>
        <v>2.6223611111111107</v>
      </c>
      <c r="T22" s="3">
        <f>PlanMasine[[#This Row],[Datum SAS]]-1</f>
        <v>45791</v>
      </c>
      <c r="U22">
        <f>WEEKDAY(PlanMasine[[#This Row],[ZAVRŠETAK MAŠINSKE]],2)</f>
        <v>3</v>
      </c>
      <c r="V22" s="3">
        <f>IF(WEEKDAY(PlanMasine[[#This Row],[Datum SAS]]-1,2)=7,PlanMasine[[#This Row],[Datum SAS]]-3,PlanMasine[[#This Row],[Datum SAS]]-1)</f>
        <v>45791</v>
      </c>
      <c r="W22">
        <f>WEEKNUM(PlanMasine[[#This Row],[Column2]],1)</f>
        <v>20</v>
      </c>
      <c r="Z22" s="56">
        <f t="shared" si="1"/>
        <v>72</v>
      </c>
      <c r="AA22" s="9">
        <f t="shared" si="0"/>
        <v>0</v>
      </c>
      <c r="AB22" s="9">
        <f t="shared" si="2"/>
        <v>6</v>
      </c>
      <c r="AC22" s="9">
        <f>IF(Table2[[#This Row],[KAPACITET]]&gt;Table2[[#This Row],[SUMA SATI]],Table2[[#This Row],[SUMA SATI]],Table2[[#This Row],[KAPACITET]])</f>
        <v>0</v>
      </c>
      <c r="AD22" s="9" t="str">
        <f>IF(Table2[[#This Row],[SUMA SATI]]&gt;0,IF(Table2[[#This Row],[KAPACITET]]-Table2[[#This Row],[SUMA SATI]]&gt;0,Table2[[#This Row],[KAPACITET]]-Table2[[#This Row],[SUMA SATI]],""),"")</f>
        <v/>
      </c>
      <c r="AE22" s="9" t="str">
        <f>IF(Table2[[#This Row],[SUMA SATI]]&gt;0,IF(Table2[[#This Row],[KAPACITET]]-Table2[[#This Row],[SUMA SATI]]&lt;0,Table2[[#This Row],[SUMA SATI]]-Table2[[#This Row],[KAPACITET]],""),"")</f>
        <v/>
      </c>
    </row>
    <row r="23" spans="1:40" x14ac:dyDescent="0.35">
      <c r="A23">
        <v>1012916</v>
      </c>
      <c r="B23">
        <v>10</v>
      </c>
      <c r="C23">
        <v>1012924</v>
      </c>
      <c r="D23" t="s">
        <v>1308</v>
      </c>
      <c r="E23">
        <v>100.1</v>
      </c>
      <c r="F23">
        <v>10</v>
      </c>
      <c r="G23">
        <v>0</v>
      </c>
      <c r="H23">
        <v>100</v>
      </c>
      <c r="I23" t="s">
        <v>24</v>
      </c>
      <c r="J23" t="s">
        <v>597</v>
      </c>
      <c r="K23" t="s">
        <v>1829</v>
      </c>
      <c r="L23" s="3">
        <v>45811</v>
      </c>
      <c r="M23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6.9513888888888889E-2</v>
      </c>
      <c r="N23" s="3">
        <v>45792</v>
      </c>
      <c r="O23" s="5">
        <f>IFERROR((PlanMasine[[#This Row],[Norma]]/PlanMasine[[#This Row],[Q]])*(PlanMasine[[#This Row],[Q]]/SUMIF(C:C,PlanMasine[[#This Row],[RN]],B:B)*PlanMasine[[#This Row],[KPLQ]]),0)</f>
        <v>100.1</v>
      </c>
      <c r="P23">
        <v>202327</v>
      </c>
      <c r="Q23">
        <f>COUNTIF(PROMJENA!A:A,PlanMasine[[#This Row],[KPL]]&amp;"-"&amp;PlanMasine[[#This Row],[RN]])</f>
        <v>0</v>
      </c>
      <c r="R23">
        <f>IFERROR(INDEX(REDOSLIJED!A:A,MATCH(PlanMasine[[#This Row],[KPL]],REDOSLIJED!B:B,0)),MAX(REDOSLIJED!A:A)+1)</f>
        <v>45</v>
      </c>
      <c r="S23" s="9">
        <f>SUM($M$2:M23)</f>
        <v>2.6918749999999996</v>
      </c>
      <c r="T23" s="3">
        <f>PlanMasine[[#This Row],[Datum SAS]]-1</f>
        <v>45791</v>
      </c>
      <c r="U23">
        <f>WEEKDAY(PlanMasine[[#This Row],[ZAVRŠETAK MAŠINSKE]],2)</f>
        <v>3</v>
      </c>
      <c r="V23" s="3">
        <f>IF(WEEKDAY(PlanMasine[[#This Row],[Datum SAS]]-1,2)=7,PlanMasine[[#This Row],[Datum SAS]]-3,PlanMasine[[#This Row],[Datum SAS]]-1)</f>
        <v>45791</v>
      </c>
      <c r="W23">
        <f>WEEKNUM(PlanMasine[[#This Row],[Column2]],1)</f>
        <v>20</v>
      </c>
      <c r="Z23" s="56">
        <f t="shared" si="1"/>
        <v>73</v>
      </c>
      <c r="AA23" s="9">
        <f t="shared" si="0"/>
        <v>0</v>
      </c>
      <c r="AB23" s="9">
        <f t="shared" si="2"/>
        <v>6</v>
      </c>
      <c r="AC23" s="9">
        <f>IF(Table2[[#This Row],[KAPACITET]]&gt;Table2[[#This Row],[SUMA SATI]],Table2[[#This Row],[SUMA SATI]],Table2[[#This Row],[KAPACITET]])</f>
        <v>0</v>
      </c>
      <c r="AD23" s="9" t="str">
        <f>IF(Table2[[#This Row],[SUMA SATI]]&gt;0,IF(Table2[[#This Row],[KAPACITET]]-Table2[[#This Row],[SUMA SATI]]&gt;0,Table2[[#This Row],[KAPACITET]]-Table2[[#This Row],[SUMA SATI]],""),"")</f>
        <v/>
      </c>
      <c r="AE23" s="9" t="str">
        <f>IF(Table2[[#This Row],[SUMA SATI]]&gt;0,IF(Table2[[#This Row],[KAPACITET]]-Table2[[#This Row],[SUMA SATI]]&lt;0,Table2[[#This Row],[SUMA SATI]]-Table2[[#This Row],[KAPACITET]],""),"")</f>
        <v/>
      </c>
    </row>
    <row r="24" spans="1:40" x14ac:dyDescent="0.35">
      <c r="A24">
        <v>1027803</v>
      </c>
      <c r="B24">
        <v>1</v>
      </c>
      <c r="C24">
        <v>1027804</v>
      </c>
      <c r="D24" t="s">
        <v>1830</v>
      </c>
      <c r="E24">
        <v>180</v>
      </c>
      <c r="F24">
        <v>1</v>
      </c>
      <c r="G24">
        <v>0</v>
      </c>
      <c r="H24">
        <v>0</v>
      </c>
      <c r="I24" t="s">
        <v>24</v>
      </c>
      <c r="J24" t="s">
        <v>597</v>
      </c>
      <c r="K24" t="s">
        <v>1831</v>
      </c>
      <c r="L24" s="3">
        <v>45803</v>
      </c>
      <c r="M24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0.125</v>
      </c>
      <c r="N24" s="3">
        <v>45792</v>
      </c>
      <c r="O24" s="5">
        <f>IFERROR((PlanMasine[[#This Row],[Norma]]/PlanMasine[[#This Row],[Q]])*(PlanMasine[[#This Row],[Q]]/SUMIF(C:C,PlanMasine[[#This Row],[RN]],B:B)*PlanMasine[[#This Row],[KPLQ]]),0)</f>
        <v>180</v>
      </c>
      <c r="P24">
        <v>232611</v>
      </c>
      <c r="Q24">
        <f>COUNTIF(PROMJENA!A:A,PlanMasine[[#This Row],[KPL]]&amp;"-"&amp;PlanMasine[[#This Row],[RN]])</f>
        <v>0</v>
      </c>
      <c r="R24">
        <f>IFERROR(INDEX(REDOSLIJED!A:A,MATCH(PlanMasine[[#This Row],[KPL]],REDOSLIJED!B:B,0)),MAX(REDOSLIJED!A:A)+1)</f>
        <v>45</v>
      </c>
      <c r="S24" s="9">
        <f>SUM($M$2:M24)</f>
        <v>2.8168749999999996</v>
      </c>
      <c r="T24" s="3">
        <f>PlanMasine[[#This Row],[Datum SAS]]-1</f>
        <v>45791</v>
      </c>
      <c r="U24">
        <f>WEEKDAY(PlanMasine[[#This Row],[ZAVRŠETAK MAŠINSKE]],2)</f>
        <v>3</v>
      </c>
      <c r="V24" s="3">
        <f>IF(WEEKDAY(PlanMasine[[#This Row],[Datum SAS]]-1,2)=7,PlanMasine[[#This Row],[Datum SAS]]-3,PlanMasine[[#This Row],[Datum SAS]]-1)</f>
        <v>45791</v>
      </c>
      <c r="W24">
        <f>WEEKNUM(PlanMasine[[#This Row],[Column2]],1)</f>
        <v>20</v>
      </c>
      <c r="Z24" s="56">
        <f t="shared" si="1"/>
        <v>74</v>
      </c>
      <c r="AA24" s="9">
        <f t="shared" si="0"/>
        <v>0</v>
      </c>
      <c r="AB24" s="9">
        <f t="shared" si="2"/>
        <v>6</v>
      </c>
      <c r="AC24" s="9">
        <f>IF(Table2[[#This Row],[KAPACITET]]&gt;Table2[[#This Row],[SUMA SATI]],Table2[[#This Row],[SUMA SATI]],Table2[[#This Row],[KAPACITET]])</f>
        <v>0</v>
      </c>
      <c r="AD24" s="9" t="str">
        <f>IF(Table2[[#This Row],[SUMA SATI]]&gt;0,IF(Table2[[#This Row],[KAPACITET]]-Table2[[#This Row],[SUMA SATI]]&gt;0,Table2[[#This Row],[KAPACITET]]-Table2[[#This Row],[SUMA SATI]],""),"")</f>
        <v/>
      </c>
      <c r="AE24" s="9" t="str">
        <f>IF(Table2[[#This Row],[SUMA SATI]]&gt;0,IF(Table2[[#This Row],[KAPACITET]]-Table2[[#This Row],[SUMA SATI]]&lt;0,Table2[[#This Row],[SUMA SATI]]-Table2[[#This Row],[KAPACITET]],""),"")</f>
        <v/>
      </c>
    </row>
    <row r="25" spans="1:40" x14ac:dyDescent="0.35">
      <c r="A25">
        <v>1012372</v>
      </c>
      <c r="B25">
        <v>1</v>
      </c>
      <c r="C25">
        <v>1012443</v>
      </c>
      <c r="D25" t="s">
        <v>1832</v>
      </c>
      <c r="E25">
        <v>7</v>
      </c>
      <c r="F25">
        <v>1</v>
      </c>
      <c r="G25">
        <v>0</v>
      </c>
      <c r="H25">
        <v>0</v>
      </c>
      <c r="I25" t="s">
        <v>24</v>
      </c>
      <c r="J25" t="s">
        <v>597</v>
      </c>
      <c r="K25" t="s">
        <v>1833</v>
      </c>
      <c r="L25" s="3">
        <v>45818</v>
      </c>
      <c r="M25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4.8611111111111112E-3</v>
      </c>
      <c r="N25" s="3">
        <v>45796</v>
      </c>
      <c r="O25" s="5">
        <f>IFERROR((PlanMasine[[#This Row],[Norma]]/PlanMasine[[#This Row],[Q]])*(PlanMasine[[#This Row],[Q]]/SUMIF(C:C,PlanMasine[[#This Row],[RN]],B:B)*PlanMasine[[#This Row],[KPLQ]]),0)</f>
        <v>7</v>
      </c>
      <c r="P25">
        <v>179986</v>
      </c>
      <c r="Q25">
        <f>COUNTIF(PROMJENA!A:A,PlanMasine[[#This Row],[KPL]]&amp;"-"&amp;PlanMasine[[#This Row],[RN]])</f>
        <v>0</v>
      </c>
      <c r="R25">
        <f>IFERROR(INDEX(REDOSLIJED!A:A,MATCH(PlanMasine[[#This Row],[KPL]],REDOSLIJED!B:B,0)),MAX(REDOSLIJED!A:A)+1)</f>
        <v>45</v>
      </c>
      <c r="S25" s="9">
        <f>SUM($M$2:M25)</f>
        <v>2.8217361111111106</v>
      </c>
      <c r="T25" s="3">
        <f>PlanMasine[[#This Row],[Datum SAS]]-1</f>
        <v>45795</v>
      </c>
      <c r="U25">
        <f>WEEKDAY(PlanMasine[[#This Row],[ZAVRŠETAK MAŠINSKE]],2)</f>
        <v>7</v>
      </c>
      <c r="V25" s="3">
        <f>IF(WEEKDAY(PlanMasine[[#This Row],[Datum SAS]]-1,2)=7,PlanMasine[[#This Row],[Datum SAS]]-3,PlanMasine[[#This Row],[Datum SAS]]-1)</f>
        <v>45793</v>
      </c>
      <c r="W25">
        <f>WEEKNUM(PlanMasine[[#This Row],[Column2]],1)</f>
        <v>20</v>
      </c>
      <c r="Z25" s="56">
        <f t="shared" si="1"/>
        <v>75</v>
      </c>
      <c r="AA25" s="9">
        <f t="shared" si="0"/>
        <v>0</v>
      </c>
      <c r="AB25" s="9">
        <f t="shared" si="2"/>
        <v>6</v>
      </c>
      <c r="AC25" s="9">
        <f>IF(Table2[[#This Row],[KAPACITET]]&gt;Table2[[#This Row],[SUMA SATI]],Table2[[#This Row],[SUMA SATI]],Table2[[#This Row],[KAPACITET]])</f>
        <v>0</v>
      </c>
      <c r="AD25" s="9" t="str">
        <f>IF(Table2[[#This Row],[SUMA SATI]]&gt;0,IF(Table2[[#This Row],[KAPACITET]]-Table2[[#This Row],[SUMA SATI]]&gt;0,Table2[[#This Row],[KAPACITET]]-Table2[[#This Row],[SUMA SATI]],""),"")</f>
        <v/>
      </c>
      <c r="AE25" s="9" t="str">
        <f>IF(Table2[[#This Row],[SUMA SATI]]&gt;0,IF(Table2[[#This Row],[KAPACITET]]-Table2[[#This Row],[SUMA SATI]]&lt;0,Table2[[#This Row],[SUMA SATI]]-Table2[[#This Row],[KAPACITET]],""),"")</f>
        <v/>
      </c>
    </row>
    <row r="26" spans="1:40" x14ac:dyDescent="0.35">
      <c r="A26">
        <v>1014435</v>
      </c>
      <c r="B26">
        <v>21</v>
      </c>
      <c r="C26">
        <v>1014437</v>
      </c>
      <c r="D26" t="s">
        <v>1456</v>
      </c>
      <c r="E26">
        <v>1260</v>
      </c>
      <c r="F26">
        <v>21</v>
      </c>
      <c r="G26">
        <v>0</v>
      </c>
      <c r="H26">
        <v>0</v>
      </c>
      <c r="I26" t="s">
        <v>24</v>
      </c>
      <c r="J26" t="s">
        <v>597</v>
      </c>
      <c r="K26" t="s">
        <v>1834</v>
      </c>
      <c r="L26" s="3">
        <v>45828</v>
      </c>
      <c r="M26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0.875</v>
      </c>
      <c r="N26" s="3">
        <v>45796</v>
      </c>
      <c r="O26" s="5">
        <f>IFERROR((PlanMasine[[#This Row],[Norma]]/PlanMasine[[#This Row],[Q]])*(PlanMasine[[#This Row],[Q]]/SUMIF(C:C,PlanMasine[[#This Row],[RN]],B:B)*PlanMasine[[#This Row],[KPLQ]]),0)</f>
        <v>1260</v>
      </c>
      <c r="P26">
        <v>151945</v>
      </c>
      <c r="Q26">
        <f>COUNTIF(PROMJENA!A:A,PlanMasine[[#This Row],[KPL]]&amp;"-"&amp;PlanMasine[[#This Row],[RN]])</f>
        <v>0</v>
      </c>
      <c r="R26">
        <f>IFERROR(INDEX(REDOSLIJED!A:A,MATCH(PlanMasine[[#This Row],[KPL]],REDOSLIJED!B:B,0)),MAX(REDOSLIJED!A:A)+1)</f>
        <v>45</v>
      </c>
      <c r="S26" s="9">
        <f>SUM($M$2:M26)</f>
        <v>3.6967361111111106</v>
      </c>
      <c r="T26" s="3">
        <f>PlanMasine[[#This Row],[Datum SAS]]-1</f>
        <v>45795</v>
      </c>
      <c r="U26">
        <f>WEEKDAY(PlanMasine[[#This Row],[ZAVRŠETAK MAŠINSKE]],2)</f>
        <v>7</v>
      </c>
      <c r="V26" s="3">
        <f>IF(WEEKDAY(PlanMasine[[#This Row],[Datum SAS]]-1,2)=7,PlanMasine[[#This Row],[Datum SAS]]-3,PlanMasine[[#This Row],[Datum SAS]]-1)</f>
        <v>45793</v>
      </c>
      <c r="W26">
        <f>WEEKNUM(PlanMasine[[#This Row],[Column2]],1)</f>
        <v>20</v>
      </c>
      <c r="Z26" s="56">
        <f t="shared" si="1"/>
        <v>76</v>
      </c>
      <c r="AA26" s="9">
        <f t="shared" si="0"/>
        <v>0</v>
      </c>
      <c r="AB26" s="9">
        <f t="shared" si="2"/>
        <v>6</v>
      </c>
      <c r="AC26" s="9">
        <f>IF(Table2[[#This Row],[KAPACITET]]&gt;Table2[[#This Row],[SUMA SATI]],Table2[[#This Row],[SUMA SATI]],Table2[[#This Row],[KAPACITET]])</f>
        <v>0</v>
      </c>
      <c r="AD26" s="9" t="str">
        <f>IF(Table2[[#This Row],[SUMA SATI]]&gt;0,IF(Table2[[#This Row],[KAPACITET]]-Table2[[#This Row],[SUMA SATI]]&gt;0,Table2[[#This Row],[KAPACITET]]-Table2[[#This Row],[SUMA SATI]],""),"")</f>
        <v/>
      </c>
      <c r="AE26" s="9" t="str">
        <f>IF(Table2[[#This Row],[SUMA SATI]]&gt;0,IF(Table2[[#This Row],[KAPACITET]]-Table2[[#This Row],[SUMA SATI]]&lt;0,Table2[[#This Row],[SUMA SATI]]-Table2[[#This Row],[KAPACITET]],""),"")</f>
        <v/>
      </c>
    </row>
    <row r="27" spans="1:40" x14ac:dyDescent="0.35">
      <c r="A27">
        <v>1014435</v>
      </c>
      <c r="B27">
        <v>21</v>
      </c>
      <c r="C27">
        <v>1014438</v>
      </c>
      <c r="D27" t="s">
        <v>1587</v>
      </c>
      <c r="E27">
        <v>420</v>
      </c>
      <c r="F27">
        <v>21</v>
      </c>
      <c r="G27">
        <v>0</v>
      </c>
      <c r="H27">
        <v>0</v>
      </c>
      <c r="I27" t="s">
        <v>24</v>
      </c>
      <c r="J27" t="s">
        <v>597</v>
      </c>
      <c r="K27" t="s">
        <v>1834</v>
      </c>
      <c r="L27" s="3">
        <v>45828</v>
      </c>
      <c r="M27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0.29166666666666669</v>
      </c>
      <c r="N27" s="3">
        <v>45796</v>
      </c>
      <c r="O27" s="5">
        <f>IFERROR((PlanMasine[[#This Row],[Norma]]/PlanMasine[[#This Row],[Q]])*(PlanMasine[[#This Row],[Q]]/SUMIF(C:C,PlanMasine[[#This Row],[RN]],B:B)*PlanMasine[[#This Row],[KPLQ]]),0)</f>
        <v>420</v>
      </c>
      <c r="P27">
        <v>151946</v>
      </c>
      <c r="Q27">
        <f>COUNTIF(PROMJENA!A:A,PlanMasine[[#This Row],[KPL]]&amp;"-"&amp;PlanMasine[[#This Row],[RN]])</f>
        <v>0</v>
      </c>
      <c r="R27">
        <f>IFERROR(INDEX(REDOSLIJED!A:A,MATCH(PlanMasine[[#This Row],[KPL]],REDOSLIJED!B:B,0)),MAX(REDOSLIJED!A:A)+1)</f>
        <v>45</v>
      </c>
      <c r="S27" s="9">
        <f>SUM($M$2:M27)</f>
        <v>3.9884027777777771</v>
      </c>
      <c r="T27" s="3">
        <f>PlanMasine[[#This Row],[Datum SAS]]-1</f>
        <v>45795</v>
      </c>
      <c r="U27">
        <f>WEEKDAY(PlanMasine[[#This Row],[ZAVRŠETAK MAŠINSKE]],2)</f>
        <v>7</v>
      </c>
      <c r="V27" s="3">
        <f>IF(WEEKDAY(PlanMasine[[#This Row],[Datum SAS]]-1,2)=7,PlanMasine[[#This Row],[Datum SAS]]-3,PlanMasine[[#This Row],[Datum SAS]]-1)</f>
        <v>45793</v>
      </c>
      <c r="W27">
        <f>WEEKNUM(PlanMasine[[#This Row],[Column2]],1)</f>
        <v>20</v>
      </c>
      <c r="Z27" s="56">
        <f t="shared" si="1"/>
        <v>77</v>
      </c>
      <c r="AA27" s="9">
        <f t="shared" si="0"/>
        <v>0</v>
      </c>
      <c r="AB27" s="9">
        <f t="shared" si="2"/>
        <v>6</v>
      </c>
      <c r="AC27" s="9">
        <f>IF(Table2[[#This Row],[KAPACITET]]&gt;Table2[[#This Row],[SUMA SATI]],Table2[[#This Row],[SUMA SATI]],Table2[[#This Row],[KAPACITET]])</f>
        <v>0</v>
      </c>
      <c r="AD27" s="9" t="str">
        <f>IF(Table2[[#This Row],[SUMA SATI]]&gt;0,IF(Table2[[#This Row],[KAPACITET]]-Table2[[#This Row],[SUMA SATI]]&gt;0,Table2[[#This Row],[KAPACITET]]-Table2[[#This Row],[SUMA SATI]],""),"")</f>
        <v/>
      </c>
      <c r="AE27" s="9" t="str">
        <f>IF(Table2[[#This Row],[SUMA SATI]]&gt;0,IF(Table2[[#This Row],[KAPACITET]]-Table2[[#This Row],[SUMA SATI]]&lt;0,Table2[[#This Row],[SUMA SATI]]-Table2[[#This Row],[KAPACITET]],""),"")</f>
        <v/>
      </c>
    </row>
    <row r="28" spans="1:40" x14ac:dyDescent="0.35">
      <c r="A28">
        <v>1015668</v>
      </c>
      <c r="B28">
        <v>1</v>
      </c>
      <c r="C28">
        <v>1015699</v>
      </c>
      <c r="D28" t="s">
        <v>242</v>
      </c>
      <c r="E28">
        <v>30</v>
      </c>
      <c r="F28">
        <v>1</v>
      </c>
      <c r="G28">
        <v>0</v>
      </c>
      <c r="H28">
        <v>0</v>
      </c>
      <c r="I28" t="s">
        <v>24</v>
      </c>
      <c r="J28" t="s">
        <v>597</v>
      </c>
      <c r="K28" t="s">
        <v>1835</v>
      </c>
      <c r="L28" s="3">
        <v>45813</v>
      </c>
      <c r="M28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2.0833333333333332E-2</v>
      </c>
      <c r="N28" s="3">
        <v>45796</v>
      </c>
      <c r="O28" s="5">
        <f>IFERROR((PlanMasine[[#This Row],[Norma]]/PlanMasine[[#This Row],[Q]])*(PlanMasine[[#This Row],[Q]]/SUMIF(C:C,PlanMasine[[#This Row],[RN]],B:B)*PlanMasine[[#This Row],[KPLQ]]),0)</f>
        <v>30</v>
      </c>
      <c r="P28">
        <v>133531</v>
      </c>
      <c r="Q28">
        <f>COUNTIF(PROMJENA!A:A,PlanMasine[[#This Row],[KPL]]&amp;"-"&amp;PlanMasine[[#This Row],[RN]])</f>
        <v>0</v>
      </c>
      <c r="R28">
        <f>IFERROR(INDEX(REDOSLIJED!A:A,MATCH(PlanMasine[[#This Row],[KPL]],REDOSLIJED!B:B,0)),MAX(REDOSLIJED!A:A)+1)</f>
        <v>45</v>
      </c>
      <c r="S28" s="9">
        <f>SUM($M$2:M28)</f>
        <v>4.0092361111111101</v>
      </c>
      <c r="T28" s="3">
        <f>PlanMasine[[#This Row],[Datum SAS]]-1</f>
        <v>45795</v>
      </c>
      <c r="U28">
        <f>WEEKDAY(PlanMasine[[#This Row],[ZAVRŠETAK MAŠINSKE]],2)</f>
        <v>7</v>
      </c>
      <c r="V28" s="3">
        <f>IF(WEEKDAY(PlanMasine[[#This Row],[Datum SAS]]-1,2)=7,PlanMasine[[#This Row],[Datum SAS]]-3,PlanMasine[[#This Row],[Datum SAS]]-1)</f>
        <v>45793</v>
      </c>
      <c r="W28">
        <f>WEEKNUM(PlanMasine[[#This Row],[Column2]],1)</f>
        <v>20</v>
      </c>
      <c r="Z28" s="56">
        <f t="shared" si="1"/>
        <v>78</v>
      </c>
      <c r="AA28" s="9">
        <f t="shared" si="0"/>
        <v>0</v>
      </c>
      <c r="AB28" s="9">
        <f t="shared" si="2"/>
        <v>6</v>
      </c>
      <c r="AC28" s="9">
        <f>IF(Table2[[#This Row],[KAPACITET]]&gt;Table2[[#This Row],[SUMA SATI]],Table2[[#This Row],[SUMA SATI]],Table2[[#This Row],[KAPACITET]])</f>
        <v>0</v>
      </c>
      <c r="AD28" s="9" t="str">
        <f>IF(Table2[[#This Row],[SUMA SATI]]&gt;0,IF(Table2[[#This Row],[KAPACITET]]-Table2[[#This Row],[SUMA SATI]]&gt;0,Table2[[#This Row],[KAPACITET]]-Table2[[#This Row],[SUMA SATI]],""),"")</f>
        <v/>
      </c>
      <c r="AE28" s="9" t="str">
        <f>IF(Table2[[#This Row],[SUMA SATI]]&gt;0,IF(Table2[[#This Row],[KAPACITET]]-Table2[[#This Row],[SUMA SATI]]&lt;0,Table2[[#This Row],[SUMA SATI]]-Table2[[#This Row],[KAPACITET]],""),"")</f>
        <v/>
      </c>
    </row>
    <row r="29" spans="1:40" x14ac:dyDescent="0.35">
      <c r="A29">
        <v>1015668</v>
      </c>
      <c r="B29">
        <v>1</v>
      </c>
      <c r="C29">
        <v>1015688</v>
      </c>
      <c r="D29" t="s">
        <v>1836</v>
      </c>
      <c r="E29">
        <v>10</v>
      </c>
      <c r="F29">
        <v>1</v>
      </c>
      <c r="G29">
        <v>0</v>
      </c>
      <c r="H29">
        <v>0</v>
      </c>
      <c r="I29" t="s">
        <v>24</v>
      </c>
      <c r="J29" t="s">
        <v>597</v>
      </c>
      <c r="K29" t="s">
        <v>1835</v>
      </c>
      <c r="L29" s="3">
        <v>45813</v>
      </c>
      <c r="M29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6.9444444444444441E-3</v>
      </c>
      <c r="N29" s="3">
        <v>45796</v>
      </c>
      <c r="O29" s="5">
        <f>IFERROR((PlanMasine[[#This Row],[Norma]]/PlanMasine[[#This Row],[Q]])*(PlanMasine[[#This Row],[Q]]/SUMIF(C:C,PlanMasine[[#This Row],[RN]],B:B)*PlanMasine[[#This Row],[KPLQ]]),0)</f>
        <v>10</v>
      </c>
      <c r="P29">
        <v>133520</v>
      </c>
      <c r="Q29">
        <f>COUNTIF(PROMJENA!A:A,PlanMasine[[#This Row],[KPL]]&amp;"-"&amp;PlanMasine[[#This Row],[RN]])</f>
        <v>0</v>
      </c>
      <c r="R29">
        <f>IFERROR(INDEX(REDOSLIJED!A:A,MATCH(PlanMasine[[#This Row],[KPL]],REDOSLIJED!B:B,0)),MAX(REDOSLIJED!A:A)+1)</f>
        <v>45</v>
      </c>
      <c r="S29" s="9">
        <f>SUM($M$2:M29)</f>
        <v>4.0161805555555548</v>
      </c>
      <c r="T29" s="3">
        <f>PlanMasine[[#This Row],[Datum SAS]]-1</f>
        <v>45795</v>
      </c>
      <c r="U29">
        <f>WEEKDAY(PlanMasine[[#This Row],[ZAVRŠETAK MAŠINSKE]],2)</f>
        <v>7</v>
      </c>
      <c r="V29" s="3">
        <f>IF(WEEKDAY(PlanMasine[[#This Row],[Datum SAS]]-1,2)=7,PlanMasine[[#This Row],[Datum SAS]]-3,PlanMasine[[#This Row],[Datum SAS]]-1)</f>
        <v>45793</v>
      </c>
      <c r="W29">
        <f>WEEKNUM(PlanMasine[[#This Row],[Column2]],1)</f>
        <v>20</v>
      </c>
      <c r="Z29" s="56">
        <f t="shared" si="1"/>
        <v>79</v>
      </c>
      <c r="AA29" s="9">
        <f t="shared" si="0"/>
        <v>0</v>
      </c>
      <c r="AB29" s="9">
        <f t="shared" si="2"/>
        <v>6</v>
      </c>
      <c r="AC29" s="9">
        <f>IF(Table2[[#This Row],[KAPACITET]]&gt;Table2[[#This Row],[SUMA SATI]],Table2[[#This Row],[SUMA SATI]],Table2[[#This Row],[KAPACITET]])</f>
        <v>0</v>
      </c>
      <c r="AD29" s="9" t="str">
        <f>IF(Table2[[#This Row],[SUMA SATI]]&gt;0,IF(Table2[[#This Row],[KAPACITET]]-Table2[[#This Row],[SUMA SATI]]&gt;0,Table2[[#This Row],[KAPACITET]]-Table2[[#This Row],[SUMA SATI]],""),"")</f>
        <v/>
      </c>
      <c r="AE29" s="9" t="str">
        <f>IF(Table2[[#This Row],[SUMA SATI]]&gt;0,IF(Table2[[#This Row],[KAPACITET]]-Table2[[#This Row],[SUMA SATI]]&lt;0,Table2[[#This Row],[SUMA SATI]]-Table2[[#This Row],[KAPACITET]],""),"")</f>
        <v/>
      </c>
    </row>
    <row r="30" spans="1:40" x14ac:dyDescent="0.35">
      <c r="A30">
        <v>1015827</v>
      </c>
      <c r="B30">
        <v>1</v>
      </c>
      <c r="C30">
        <v>1015858</v>
      </c>
      <c r="D30" t="s">
        <v>242</v>
      </c>
      <c r="E30">
        <v>30</v>
      </c>
      <c r="F30">
        <v>1</v>
      </c>
      <c r="G30">
        <v>0</v>
      </c>
      <c r="H30">
        <v>0</v>
      </c>
      <c r="I30" t="s">
        <v>24</v>
      </c>
      <c r="J30" t="s">
        <v>597</v>
      </c>
      <c r="K30" t="s">
        <v>1837</v>
      </c>
      <c r="L30" s="3">
        <v>45813</v>
      </c>
      <c r="M30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2.0833333333333332E-2</v>
      </c>
      <c r="N30" s="3">
        <v>45796</v>
      </c>
      <c r="O30" s="5">
        <f>IFERROR((PlanMasine[[#This Row],[Norma]]/PlanMasine[[#This Row],[Q]])*(PlanMasine[[#This Row],[Q]]/SUMIF(C:C,PlanMasine[[#This Row],[RN]],B:B)*PlanMasine[[#This Row],[KPLQ]]),0)</f>
        <v>30</v>
      </c>
      <c r="P30">
        <v>133531</v>
      </c>
      <c r="Q30">
        <f>COUNTIF(PROMJENA!A:A,PlanMasine[[#This Row],[KPL]]&amp;"-"&amp;PlanMasine[[#This Row],[RN]])</f>
        <v>0</v>
      </c>
      <c r="R30">
        <f>IFERROR(INDEX(REDOSLIJED!A:A,MATCH(PlanMasine[[#This Row],[KPL]],REDOSLIJED!B:B,0)),MAX(REDOSLIJED!A:A)+1)</f>
        <v>45</v>
      </c>
      <c r="S30" s="9">
        <f>SUM($M$2:M30)</f>
        <v>4.0370138888888878</v>
      </c>
      <c r="T30" s="3">
        <f>PlanMasine[[#This Row],[Datum SAS]]-1</f>
        <v>45795</v>
      </c>
      <c r="U30">
        <f>WEEKDAY(PlanMasine[[#This Row],[ZAVRŠETAK MAŠINSKE]],2)</f>
        <v>7</v>
      </c>
      <c r="V30" s="3">
        <f>IF(WEEKDAY(PlanMasine[[#This Row],[Datum SAS]]-1,2)=7,PlanMasine[[#This Row],[Datum SAS]]-3,PlanMasine[[#This Row],[Datum SAS]]-1)</f>
        <v>45793</v>
      </c>
      <c r="W30">
        <f>WEEKNUM(PlanMasine[[#This Row],[Column2]],1)</f>
        <v>20</v>
      </c>
      <c r="Z30" s="56">
        <f t="shared" si="1"/>
        <v>80</v>
      </c>
      <c r="AA30" s="9">
        <f t="shared" si="0"/>
        <v>0</v>
      </c>
      <c r="AB30" s="9">
        <f t="shared" si="2"/>
        <v>6</v>
      </c>
      <c r="AC30" s="9">
        <f>IF(Table2[[#This Row],[KAPACITET]]&gt;Table2[[#This Row],[SUMA SATI]],Table2[[#This Row],[SUMA SATI]],Table2[[#This Row],[KAPACITET]])</f>
        <v>0</v>
      </c>
      <c r="AD30" s="9" t="str">
        <f>IF(Table2[[#This Row],[SUMA SATI]]&gt;0,IF(Table2[[#This Row],[KAPACITET]]-Table2[[#This Row],[SUMA SATI]]&gt;0,Table2[[#This Row],[KAPACITET]]-Table2[[#This Row],[SUMA SATI]],""),"")</f>
        <v/>
      </c>
      <c r="AE30" s="9" t="str">
        <f>IF(Table2[[#This Row],[SUMA SATI]]&gt;0,IF(Table2[[#This Row],[KAPACITET]]-Table2[[#This Row],[SUMA SATI]]&lt;0,Table2[[#This Row],[SUMA SATI]]-Table2[[#This Row],[KAPACITET]],""),"")</f>
        <v/>
      </c>
    </row>
    <row r="31" spans="1:40" x14ac:dyDescent="0.35">
      <c r="A31">
        <v>1015827</v>
      </c>
      <c r="B31">
        <v>1</v>
      </c>
      <c r="C31">
        <v>1015847</v>
      </c>
      <c r="D31" t="s">
        <v>1836</v>
      </c>
      <c r="E31">
        <v>10</v>
      </c>
      <c r="F31">
        <v>1</v>
      </c>
      <c r="G31">
        <v>0</v>
      </c>
      <c r="H31">
        <v>0</v>
      </c>
      <c r="I31" t="s">
        <v>24</v>
      </c>
      <c r="J31" t="s">
        <v>597</v>
      </c>
      <c r="K31" t="s">
        <v>1837</v>
      </c>
      <c r="L31" s="3">
        <v>45813</v>
      </c>
      <c r="M31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6.9444444444444441E-3</v>
      </c>
      <c r="N31" s="3">
        <v>45796</v>
      </c>
      <c r="O31" s="5">
        <f>IFERROR((PlanMasine[[#This Row],[Norma]]/PlanMasine[[#This Row],[Q]])*(PlanMasine[[#This Row],[Q]]/SUMIF(C:C,PlanMasine[[#This Row],[RN]],B:B)*PlanMasine[[#This Row],[KPLQ]]),0)</f>
        <v>10</v>
      </c>
      <c r="P31">
        <v>133520</v>
      </c>
      <c r="Q31">
        <f>COUNTIF(PROMJENA!A:A,PlanMasine[[#This Row],[KPL]]&amp;"-"&amp;PlanMasine[[#This Row],[RN]])</f>
        <v>0</v>
      </c>
      <c r="R31">
        <f>IFERROR(INDEX(REDOSLIJED!A:A,MATCH(PlanMasine[[#This Row],[KPL]],REDOSLIJED!B:B,0)),MAX(REDOSLIJED!A:A)+1)</f>
        <v>45</v>
      </c>
      <c r="S31" s="9">
        <f>SUM($M$2:M31)</f>
        <v>4.0439583333333324</v>
      </c>
      <c r="T31" s="3">
        <f>PlanMasine[[#This Row],[Datum SAS]]-1</f>
        <v>45795</v>
      </c>
      <c r="U31">
        <f>WEEKDAY(PlanMasine[[#This Row],[ZAVRŠETAK MAŠINSKE]],2)</f>
        <v>7</v>
      </c>
      <c r="V31" s="3">
        <f>IF(WEEKDAY(PlanMasine[[#This Row],[Datum SAS]]-1,2)=7,PlanMasine[[#This Row],[Datum SAS]]-3,PlanMasine[[#This Row],[Datum SAS]]-1)</f>
        <v>45793</v>
      </c>
      <c r="W31">
        <f>WEEKNUM(PlanMasine[[#This Row],[Column2]],1)</f>
        <v>20</v>
      </c>
      <c r="Z31" s="56">
        <f t="shared" si="1"/>
        <v>81</v>
      </c>
      <c r="AA31" s="9">
        <f t="shared" si="0"/>
        <v>0</v>
      </c>
      <c r="AB31" s="9">
        <f t="shared" si="2"/>
        <v>6</v>
      </c>
      <c r="AC31" s="9">
        <f>IF(Table2[[#This Row],[KAPACITET]]&gt;Table2[[#This Row],[SUMA SATI]],Table2[[#This Row],[SUMA SATI]],Table2[[#This Row],[KAPACITET]])</f>
        <v>0</v>
      </c>
      <c r="AD31" s="9" t="str">
        <f>IF(Table2[[#This Row],[SUMA SATI]]&gt;0,IF(Table2[[#This Row],[KAPACITET]]-Table2[[#This Row],[SUMA SATI]]&gt;0,Table2[[#This Row],[KAPACITET]]-Table2[[#This Row],[SUMA SATI]],""),"")</f>
        <v/>
      </c>
      <c r="AE31" s="9" t="str">
        <f>IF(Table2[[#This Row],[SUMA SATI]]&gt;0,IF(Table2[[#This Row],[KAPACITET]]-Table2[[#This Row],[SUMA SATI]]&lt;0,Table2[[#This Row],[SUMA SATI]]-Table2[[#This Row],[KAPACITET]],""),"")</f>
        <v/>
      </c>
    </row>
    <row r="32" spans="1:40" x14ac:dyDescent="0.35">
      <c r="A32">
        <v>1017197</v>
      </c>
      <c r="B32">
        <v>10</v>
      </c>
      <c r="C32">
        <v>1017201</v>
      </c>
      <c r="D32" t="s">
        <v>225</v>
      </c>
      <c r="E32">
        <v>250</v>
      </c>
      <c r="F32">
        <v>10</v>
      </c>
      <c r="G32">
        <v>0</v>
      </c>
      <c r="H32">
        <v>0</v>
      </c>
      <c r="I32" t="s">
        <v>24</v>
      </c>
      <c r="J32" t="s">
        <v>597</v>
      </c>
      <c r="K32" t="s">
        <v>1838</v>
      </c>
      <c r="L32" s="3">
        <v>45828</v>
      </c>
      <c r="M32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0.1736111111111111</v>
      </c>
      <c r="N32" s="3">
        <v>45796</v>
      </c>
      <c r="O32" s="5">
        <f>IFERROR((PlanMasine[[#This Row],[Norma]]/PlanMasine[[#This Row],[Q]])*(PlanMasine[[#This Row],[Q]]/SUMIF(C:C,PlanMasine[[#This Row],[RN]],B:B)*PlanMasine[[#This Row],[KPLQ]]),0)</f>
        <v>250</v>
      </c>
      <c r="P32">
        <v>138053</v>
      </c>
      <c r="Q32">
        <f>COUNTIF(PROMJENA!A:A,PlanMasine[[#This Row],[KPL]]&amp;"-"&amp;PlanMasine[[#This Row],[RN]])</f>
        <v>0</v>
      </c>
      <c r="R32">
        <f>IFERROR(INDEX(REDOSLIJED!A:A,MATCH(PlanMasine[[#This Row],[KPL]],REDOSLIJED!B:B,0)),MAX(REDOSLIJED!A:A)+1)</f>
        <v>45</v>
      </c>
      <c r="S32" s="9">
        <f>SUM($M$2:M32)</f>
        <v>4.2175694444444431</v>
      </c>
      <c r="T32" s="3">
        <f>PlanMasine[[#This Row],[Datum SAS]]-1</f>
        <v>45795</v>
      </c>
      <c r="U32">
        <f>WEEKDAY(PlanMasine[[#This Row],[ZAVRŠETAK MAŠINSKE]],2)</f>
        <v>7</v>
      </c>
      <c r="V32" s="3">
        <f>IF(WEEKDAY(PlanMasine[[#This Row],[Datum SAS]]-1,2)=7,PlanMasine[[#This Row],[Datum SAS]]-3,PlanMasine[[#This Row],[Datum SAS]]-1)</f>
        <v>45793</v>
      </c>
      <c r="W32">
        <f>WEEKNUM(PlanMasine[[#This Row],[Column2]],1)</f>
        <v>20</v>
      </c>
      <c r="Z32" s="56">
        <f t="shared" si="1"/>
        <v>82</v>
      </c>
      <c r="AA32" s="9">
        <f t="shared" si="0"/>
        <v>0</v>
      </c>
      <c r="AB32" s="9">
        <f t="shared" si="2"/>
        <v>6</v>
      </c>
      <c r="AC32" s="9">
        <f>IF(Table2[[#This Row],[KAPACITET]]&gt;Table2[[#This Row],[SUMA SATI]],Table2[[#This Row],[SUMA SATI]],Table2[[#This Row],[KAPACITET]])</f>
        <v>0</v>
      </c>
      <c r="AD32" s="9" t="str">
        <f>IF(Table2[[#This Row],[SUMA SATI]]&gt;0,IF(Table2[[#This Row],[KAPACITET]]-Table2[[#This Row],[SUMA SATI]]&gt;0,Table2[[#This Row],[KAPACITET]]-Table2[[#This Row],[SUMA SATI]],""),"")</f>
        <v/>
      </c>
      <c r="AE32" s="9" t="str">
        <f>IF(Table2[[#This Row],[SUMA SATI]]&gt;0,IF(Table2[[#This Row],[KAPACITET]]-Table2[[#This Row],[SUMA SATI]]&lt;0,Table2[[#This Row],[SUMA SATI]]-Table2[[#This Row],[KAPACITET]],""),"")</f>
        <v/>
      </c>
    </row>
    <row r="33" spans="1:31" x14ac:dyDescent="0.35">
      <c r="A33">
        <v>1019923</v>
      </c>
      <c r="B33">
        <v>1</v>
      </c>
      <c r="C33">
        <v>1019946</v>
      </c>
      <c r="D33" t="s">
        <v>1839</v>
      </c>
      <c r="E33">
        <v>60</v>
      </c>
      <c r="F33">
        <v>6</v>
      </c>
      <c r="G33">
        <v>0</v>
      </c>
      <c r="H33">
        <v>0</v>
      </c>
      <c r="I33" t="s">
        <v>24</v>
      </c>
      <c r="J33" t="s">
        <v>597</v>
      </c>
      <c r="K33" t="s">
        <v>1840</v>
      </c>
      <c r="L33" s="3">
        <v>45820</v>
      </c>
      <c r="M33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1.3888888888888888E-2</v>
      </c>
      <c r="N33" s="3">
        <v>45796</v>
      </c>
      <c r="O33" s="5">
        <f>IFERROR((PlanMasine[[#This Row],[Norma]]/PlanMasine[[#This Row],[Q]])*(PlanMasine[[#This Row],[Q]]/SUMIF(C:C,PlanMasine[[#This Row],[RN]],B:B)*PlanMasine[[#This Row],[KPLQ]]),0)</f>
        <v>20</v>
      </c>
      <c r="P33">
        <v>183698</v>
      </c>
      <c r="Q33">
        <f>COUNTIF(PROMJENA!A:A,PlanMasine[[#This Row],[KPL]]&amp;"-"&amp;PlanMasine[[#This Row],[RN]])</f>
        <v>0</v>
      </c>
      <c r="R33">
        <f>IFERROR(INDEX(REDOSLIJED!A:A,MATCH(PlanMasine[[#This Row],[KPL]],REDOSLIJED!B:B,0)),MAX(REDOSLIJED!A:A)+1)</f>
        <v>45</v>
      </c>
      <c r="S33" s="9">
        <f>SUM($M$2:M33)</f>
        <v>4.2314583333333324</v>
      </c>
      <c r="T33" s="3">
        <f>PlanMasine[[#This Row],[Datum SAS]]-1</f>
        <v>45795</v>
      </c>
      <c r="U33">
        <f>WEEKDAY(PlanMasine[[#This Row],[ZAVRŠETAK MAŠINSKE]],2)</f>
        <v>7</v>
      </c>
      <c r="V33" s="3">
        <f>IF(WEEKDAY(PlanMasine[[#This Row],[Datum SAS]]-1,2)=7,PlanMasine[[#This Row],[Datum SAS]]-3,PlanMasine[[#This Row],[Datum SAS]]-1)</f>
        <v>45793</v>
      </c>
      <c r="W33">
        <f>WEEKNUM(PlanMasine[[#This Row],[Column2]],1)</f>
        <v>20</v>
      </c>
      <c r="Z33" s="56">
        <f t="shared" si="1"/>
        <v>83</v>
      </c>
      <c r="AA33" s="9">
        <f t="shared" si="0"/>
        <v>0</v>
      </c>
      <c r="AB33" s="9">
        <f t="shared" si="2"/>
        <v>6</v>
      </c>
      <c r="AC33" s="9">
        <f>IF(Table2[[#This Row],[KAPACITET]]&gt;Table2[[#This Row],[SUMA SATI]],Table2[[#This Row],[SUMA SATI]],Table2[[#This Row],[KAPACITET]])</f>
        <v>0</v>
      </c>
      <c r="AD33" s="9" t="str">
        <f>IF(Table2[[#This Row],[SUMA SATI]]&gt;0,IF(Table2[[#This Row],[KAPACITET]]-Table2[[#This Row],[SUMA SATI]]&gt;0,Table2[[#This Row],[KAPACITET]]-Table2[[#This Row],[SUMA SATI]],""),"")</f>
        <v/>
      </c>
      <c r="AE33" s="9" t="str">
        <f>IF(Table2[[#This Row],[SUMA SATI]]&gt;0,IF(Table2[[#This Row],[KAPACITET]]-Table2[[#This Row],[SUMA SATI]]&lt;0,Table2[[#This Row],[SUMA SATI]]-Table2[[#This Row],[KAPACITET]],""),"")</f>
        <v/>
      </c>
    </row>
    <row r="34" spans="1:31" x14ac:dyDescent="0.35">
      <c r="A34">
        <v>1019923</v>
      </c>
      <c r="B34">
        <v>1</v>
      </c>
      <c r="C34">
        <v>1019926</v>
      </c>
      <c r="D34" t="s">
        <v>1758</v>
      </c>
      <c r="E34">
        <v>45</v>
      </c>
      <c r="F34">
        <v>3</v>
      </c>
      <c r="G34">
        <v>0</v>
      </c>
      <c r="H34">
        <v>0</v>
      </c>
      <c r="I34" t="s">
        <v>24</v>
      </c>
      <c r="J34" t="s">
        <v>597</v>
      </c>
      <c r="K34" t="s">
        <v>1840</v>
      </c>
      <c r="L34" s="3">
        <v>45820</v>
      </c>
      <c r="M34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1.0416666666666666E-2</v>
      </c>
      <c r="N34" s="3">
        <v>45796</v>
      </c>
      <c r="O34" s="5">
        <f>IFERROR((PlanMasine[[#This Row],[Norma]]/PlanMasine[[#This Row],[Q]])*(PlanMasine[[#This Row],[Q]]/SUMIF(C:C,PlanMasine[[#This Row],[RN]],B:B)*PlanMasine[[#This Row],[KPLQ]]),0)</f>
        <v>15</v>
      </c>
      <c r="P34">
        <v>183678</v>
      </c>
      <c r="Q34">
        <f>COUNTIF(PROMJENA!A:A,PlanMasine[[#This Row],[KPL]]&amp;"-"&amp;PlanMasine[[#This Row],[RN]])</f>
        <v>0</v>
      </c>
      <c r="R34">
        <f>IFERROR(INDEX(REDOSLIJED!A:A,MATCH(PlanMasine[[#This Row],[KPL]],REDOSLIJED!B:B,0)),MAX(REDOSLIJED!A:A)+1)</f>
        <v>45</v>
      </c>
      <c r="S34" s="9">
        <f>SUM($M$2:M34)</f>
        <v>4.2418749999999994</v>
      </c>
      <c r="T34" s="3">
        <f>PlanMasine[[#This Row],[Datum SAS]]-1</f>
        <v>45795</v>
      </c>
      <c r="U34">
        <f>WEEKDAY(PlanMasine[[#This Row],[ZAVRŠETAK MAŠINSKE]],2)</f>
        <v>7</v>
      </c>
      <c r="V34" s="3">
        <f>IF(WEEKDAY(PlanMasine[[#This Row],[Datum SAS]]-1,2)=7,PlanMasine[[#This Row],[Datum SAS]]-3,PlanMasine[[#This Row],[Datum SAS]]-1)</f>
        <v>45793</v>
      </c>
      <c r="W34">
        <f>WEEKNUM(PlanMasine[[#This Row],[Column2]],1)</f>
        <v>20</v>
      </c>
      <c r="Z34" s="56">
        <f t="shared" si="1"/>
        <v>84</v>
      </c>
      <c r="AA34" s="9">
        <f t="shared" ref="AA34:AA50" si="3">SUMIF(W:W,Z34,M:M)</f>
        <v>0</v>
      </c>
      <c r="AB34" s="9">
        <f t="shared" si="2"/>
        <v>6</v>
      </c>
      <c r="AC34" s="9">
        <f>IF(Table2[[#This Row],[KAPACITET]]&gt;Table2[[#This Row],[SUMA SATI]],Table2[[#This Row],[SUMA SATI]],Table2[[#This Row],[KAPACITET]])</f>
        <v>0</v>
      </c>
      <c r="AD34" s="9" t="str">
        <f>IF(Table2[[#This Row],[SUMA SATI]]&gt;0,IF(Table2[[#This Row],[KAPACITET]]-Table2[[#This Row],[SUMA SATI]]&gt;0,Table2[[#This Row],[KAPACITET]]-Table2[[#This Row],[SUMA SATI]],""),"")</f>
        <v/>
      </c>
      <c r="AE34" s="9" t="str">
        <f>IF(Table2[[#This Row],[SUMA SATI]]&gt;0,IF(Table2[[#This Row],[KAPACITET]]-Table2[[#This Row],[SUMA SATI]]&lt;0,Table2[[#This Row],[SUMA SATI]]-Table2[[#This Row],[KAPACITET]],""),"")</f>
        <v/>
      </c>
    </row>
    <row r="35" spans="1:31" x14ac:dyDescent="0.35">
      <c r="A35">
        <v>1019923</v>
      </c>
      <c r="B35">
        <v>1</v>
      </c>
      <c r="C35">
        <v>1019933</v>
      </c>
      <c r="D35" t="s">
        <v>1759</v>
      </c>
      <c r="E35">
        <v>75</v>
      </c>
      <c r="F35">
        <v>3</v>
      </c>
      <c r="G35">
        <v>0</v>
      </c>
      <c r="H35">
        <v>0</v>
      </c>
      <c r="I35" t="s">
        <v>24</v>
      </c>
      <c r="J35" t="s">
        <v>597</v>
      </c>
      <c r="K35" t="s">
        <v>1840</v>
      </c>
      <c r="L35" s="3">
        <v>45820</v>
      </c>
      <c r="M35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1.7361111111111112E-2</v>
      </c>
      <c r="N35" s="3">
        <v>45796</v>
      </c>
      <c r="O35" s="5">
        <f>IFERROR((PlanMasine[[#This Row],[Norma]]/PlanMasine[[#This Row],[Q]])*(PlanMasine[[#This Row],[Q]]/SUMIF(C:C,PlanMasine[[#This Row],[RN]],B:B)*PlanMasine[[#This Row],[KPLQ]]),0)</f>
        <v>25</v>
      </c>
      <c r="P35">
        <v>183685</v>
      </c>
      <c r="Q35">
        <f>COUNTIF(PROMJENA!A:A,PlanMasine[[#This Row],[KPL]]&amp;"-"&amp;PlanMasine[[#This Row],[RN]])</f>
        <v>0</v>
      </c>
      <c r="R35">
        <f>IFERROR(INDEX(REDOSLIJED!A:A,MATCH(PlanMasine[[#This Row],[KPL]],REDOSLIJED!B:B,0)),MAX(REDOSLIJED!A:A)+1)</f>
        <v>45</v>
      </c>
      <c r="S35" s="9">
        <f>SUM($M$2:M35)</f>
        <v>4.2592361111111101</v>
      </c>
      <c r="T35" s="3">
        <f>PlanMasine[[#This Row],[Datum SAS]]-1</f>
        <v>45795</v>
      </c>
      <c r="U35">
        <f>WEEKDAY(PlanMasine[[#This Row],[ZAVRŠETAK MAŠINSKE]],2)</f>
        <v>7</v>
      </c>
      <c r="V35" s="3">
        <f>IF(WEEKDAY(PlanMasine[[#This Row],[Datum SAS]]-1,2)=7,PlanMasine[[#This Row],[Datum SAS]]-3,PlanMasine[[#This Row],[Datum SAS]]-1)</f>
        <v>45793</v>
      </c>
      <c r="W35">
        <f>WEEKNUM(PlanMasine[[#This Row],[Column2]],1)</f>
        <v>20</v>
      </c>
      <c r="Z35" s="56">
        <f t="shared" si="1"/>
        <v>85</v>
      </c>
      <c r="AA35" s="9">
        <f t="shared" si="3"/>
        <v>0</v>
      </c>
      <c r="AB35" s="9">
        <f t="shared" si="2"/>
        <v>6</v>
      </c>
      <c r="AC35" s="9">
        <f>IF(Table2[[#This Row],[KAPACITET]]&gt;Table2[[#This Row],[SUMA SATI]],Table2[[#This Row],[SUMA SATI]],Table2[[#This Row],[KAPACITET]])</f>
        <v>0</v>
      </c>
      <c r="AD35" s="9" t="str">
        <f>IF(Table2[[#This Row],[SUMA SATI]]&gt;0,IF(Table2[[#This Row],[KAPACITET]]-Table2[[#This Row],[SUMA SATI]]&gt;0,Table2[[#This Row],[KAPACITET]]-Table2[[#This Row],[SUMA SATI]],""),"")</f>
        <v/>
      </c>
      <c r="AE35" s="9" t="str">
        <f>IF(Table2[[#This Row],[SUMA SATI]]&gt;0,IF(Table2[[#This Row],[KAPACITET]]-Table2[[#This Row],[SUMA SATI]]&lt;0,Table2[[#This Row],[SUMA SATI]]-Table2[[#This Row],[KAPACITET]],""),"")</f>
        <v/>
      </c>
    </row>
    <row r="36" spans="1:31" x14ac:dyDescent="0.35">
      <c r="A36">
        <v>1019923</v>
      </c>
      <c r="B36">
        <v>1</v>
      </c>
      <c r="C36">
        <v>1019932</v>
      </c>
      <c r="D36" t="s">
        <v>1757</v>
      </c>
      <c r="E36">
        <v>67.5</v>
      </c>
      <c r="F36">
        <v>3</v>
      </c>
      <c r="G36">
        <v>0</v>
      </c>
      <c r="H36">
        <v>0</v>
      </c>
      <c r="I36" t="s">
        <v>24</v>
      </c>
      <c r="J36" t="s">
        <v>597</v>
      </c>
      <c r="K36" t="s">
        <v>1840</v>
      </c>
      <c r="L36" s="3">
        <v>45820</v>
      </c>
      <c r="M36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1.5625E-2</v>
      </c>
      <c r="N36" s="3">
        <v>45796</v>
      </c>
      <c r="O36" s="5">
        <f>IFERROR((PlanMasine[[#This Row],[Norma]]/PlanMasine[[#This Row],[Q]])*(PlanMasine[[#This Row],[Q]]/SUMIF(C:C,PlanMasine[[#This Row],[RN]],B:B)*PlanMasine[[#This Row],[KPLQ]]),0)</f>
        <v>22.5</v>
      </c>
      <c r="P36">
        <v>183684</v>
      </c>
      <c r="Q36">
        <f>COUNTIF(PROMJENA!A:A,PlanMasine[[#This Row],[KPL]]&amp;"-"&amp;PlanMasine[[#This Row],[RN]])</f>
        <v>0</v>
      </c>
      <c r="R36">
        <f>IFERROR(INDEX(REDOSLIJED!A:A,MATCH(PlanMasine[[#This Row],[KPL]],REDOSLIJED!B:B,0)),MAX(REDOSLIJED!A:A)+1)</f>
        <v>45</v>
      </c>
      <c r="S36" s="9">
        <f>SUM($M$2:M36)</f>
        <v>4.2748611111111101</v>
      </c>
      <c r="T36" s="3">
        <f>PlanMasine[[#This Row],[Datum SAS]]-1</f>
        <v>45795</v>
      </c>
      <c r="U36">
        <f>WEEKDAY(PlanMasine[[#This Row],[ZAVRŠETAK MAŠINSKE]],2)</f>
        <v>7</v>
      </c>
      <c r="V36" s="3">
        <f>IF(WEEKDAY(PlanMasine[[#This Row],[Datum SAS]]-1,2)=7,PlanMasine[[#This Row],[Datum SAS]]-3,PlanMasine[[#This Row],[Datum SAS]]-1)</f>
        <v>45793</v>
      </c>
      <c r="W36">
        <f>WEEKNUM(PlanMasine[[#This Row],[Column2]],1)</f>
        <v>20</v>
      </c>
      <c r="Z36" s="56">
        <f t="shared" si="1"/>
        <v>86</v>
      </c>
      <c r="AA36" s="9">
        <f t="shared" si="3"/>
        <v>0</v>
      </c>
      <c r="AB36" s="9">
        <f t="shared" si="2"/>
        <v>6</v>
      </c>
      <c r="AC36" s="9">
        <f>IF(Table2[[#This Row],[KAPACITET]]&gt;Table2[[#This Row],[SUMA SATI]],Table2[[#This Row],[SUMA SATI]],Table2[[#This Row],[KAPACITET]])</f>
        <v>0</v>
      </c>
      <c r="AD36" s="9" t="str">
        <f>IF(Table2[[#This Row],[SUMA SATI]]&gt;0,IF(Table2[[#This Row],[KAPACITET]]-Table2[[#This Row],[SUMA SATI]]&gt;0,Table2[[#This Row],[KAPACITET]]-Table2[[#This Row],[SUMA SATI]],""),"")</f>
        <v/>
      </c>
      <c r="AE36" s="9" t="str">
        <f>IF(Table2[[#This Row],[SUMA SATI]]&gt;0,IF(Table2[[#This Row],[KAPACITET]]-Table2[[#This Row],[SUMA SATI]]&lt;0,Table2[[#This Row],[SUMA SATI]]-Table2[[#This Row],[KAPACITET]],""),"")</f>
        <v/>
      </c>
    </row>
    <row r="37" spans="1:31" x14ac:dyDescent="0.35">
      <c r="A37">
        <v>1019924</v>
      </c>
      <c r="B37">
        <v>1</v>
      </c>
      <c r="C37">
        <v>1019933</v>
      </c>
      <c r="D37" t="s">
        <v>1759</v>
      </c>
      <c r="E37">
        <v>75</v>
      </c>
      <c r="F37">
        <v>3</v>
      </c>
      <c r="G37">
        <v>0</v>
      </c>
      <c r="H37">
        <v>0</v>
      </c>
      <c r="I37" t="s">
        <v>24</v>
      </c>
      <c r="J37" t="s">
        <v>597</v>
      </c>
      <c r="K37" t="s">
        <v>1840</v>
      </c>
      <c r="L37" s="3">
        <v>45820</v>
      </c>
      <c r="M37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1.7361111111111112E-2</v>
      </c>
      <c r="N37" s="3">
        <v>45796</v>
      </c>
      <c r="O37" s="5">
        <f>IFERROR((PlanMasine[[#This Row],[Norma]]/PlanMasine[[#This Row],[Q]])*(PlanMasine[[#This Row],[Q]]/SUMIF(C:C,PlanMasine[[#This Row],[RN]],B:B)*PlanMasine[[#This Row],[KPLQ]]),0)</f>
        <v>25</v>
      </c>
      <c r="P37">
        <v>183685</v>
      </c>
      <c r="Q37">
        <f>COUNTIF(PROMJENA!A:A,PlanMasine[[#This Row],[KPL]]&amp;"-"&amp;PlanMasine[[#This Row],[RN]])</f>
        <v>0</v>
      </c>
      <c r="R37">
        <f>IFERROR(INDEX(REDOSLIJED!A:A,MATCH(PlanMasine[[#This Row],[KPL]],REDOSLIJED!B:B,0)),MAX(REDOSLIJED!A:A)+1)</f>
        <v>45</v>
      </c>
      <c r="S37" s="9">
        <f>SUM($M$2:M37)</f>
        <v>4.2922222222222208</v>
      </c>
      <c r="T37" s="3">
        <f>PlanMasine[[#This Row],[Datum SAS]]-1</f>
        <v>45795</v>
      </c>
      <c r="U37">
        <f>WEEKDAY(PlanMasine[[#This Row],[ZAVRŠETAK MAŠINSKE]],2)</f>
        <v>7</v>
      </c>
      <c r="V37" s="3">
        <f>IF(WEEKDAY(PlanMasine[[#This Row],[Datum SAS]]-1,2)=7,PlanMasine[[#This Row],[Datum SAS]]-3,PlanMasine[[#This Row],[Datum SAS]]-1)</f>
        <v>45793</v>
      </c>
      <c r="W37">
        <f>WEEKNUM(PlanMasine[[#This Row],[Column2]],1)</f>
        <v>20</v>
      </c>
      <c r="Z37" s="56">
        <f t="shared" si="1"/>
        <v>87</v>
      </c>
      <c r="AA37" s="9">
        <f t="shared" si="3"/>
        <v>0</v>
      </c>
      <c r="AB37" s="9">
        <f t="shared" si="2"/>
        <v>6</v>
      </c>
      <c r="AC37" s="9">
        <f>IF(Table2[[#This Row],[KAPACITET]]&gt;Table2[[#This Row],[SUMA SATI]],Table2[[#This Row],[SUMA SATI]],Table2[[#This Row],[KAPACITET]])</f>
        <v>0</v>
      </c>
      <c r="AD37" s="9" t="str">
        <f>IF(Table2[[#This Row],[SUMA SATI]]&gt;0,IF(Table2[[#This Row],[KAPACITET]]-Table2[[#This Row],[SUMA SATI]]&gt;0,Table2[[#This Row],[KAPACITET]]-Table2[[#This Row],[SUMA SATI]],""),"")</f>
        <v/>
      </c>
      <c r="AE37" s="9" t="str">
        <f>IF(Table2[[#This Row],[SUMA SATI]]&gt;0,IF(Table2[[#This Row],[KAPACITET]]-Table2[[#This Row],[SUMA SATI]]&lt;0,Table2[[#This Row],[SUMA SATI]]-Table2[[#This Row],[KAPACITET]],""),"")</f>
        <v/>
      </c>
    </row>
    <row r="38" spans="1:31" x14ac:dyDescent="0.35">
      <c r="A38">
        <v>1019924</v>
      </c>
      <c r="B38">
        <v>1</v>
      </c>
      <c r="C38">
        <v>1019946</v>
      </c>
      <c r="D38" t="s">
        <v>1839</v>
      </c>
      <c r="E38">
        <v>60</v>
      </c>
      <c r="F38">
        <v>6</v>
      </c>
      <c r="G38">
        <v>0</v>
      </c>
      <c r="H38">
        <v>0</v>
      </c>
      <c r="I38" t="s">
        <v>24</v>
      </c>
      <c r="J38" t="s">
        <v>597</v>
      </c>
      <c r="K38" t="s">
        <v>1840</v>
      </c>
      <c r="L38" s="3">
        <v>45820</v>
      </c>
      <c r="M38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1.3888888888888888E-2</v>
      </c>
      <c r="N38" s="3">
        <v>45796</v>
      </c>
      <c r="O38" s="5">
        <f>IFERROR((PlanMasine[[#This Row],[Norma]]/PlanMasine[[#This Row],[Q]])*(PlanMasine[[#This Row],[Q]]/SUMIF(C:C,PlanMasine[[#This Row],[RN]],B:B)*PlanMasine[[#This Row],[KPLQ]]),0)</f>
        <v>20</v>
      </c>
      <c r="P38">
        <v>183698</v>
      </c>
      <c r="Q38">
        <f>COUNTIF(PROMJENA!A:A,PlanMasine[[#This Row],[KPL]]&amp;"-"&amp;PlanMasine[[#This Row],[RN]])</f>
        <v>0</v>
      </c>
      <c r="R38">
        <f>IFERROR(INDEX(REDOSLIJED!A:A,MATCH(PlanMasine[[#This Row],[KPL]],REDOSLIJED!B:B,0)),MAX(REDOSLIJED!A:A)+1)</f>
        <v>45</v>
      </c>
      <c r="S38" s="9">
        <f>SUM($M$2:M38)</f>
        <v>4.3061111111111101</v>
      </c>
      <c r="T38" s="3">
        <f>PlanMasine[[#This Row],[Datum SAS]]-1</f>
        <v>45795</v>
      </c>
      <c r="U38">
        <f>WEEKDAY(PlanMasine[[#This Row],[ZAVRŠETAK MAŠINSKE]],2)</f>
        <v>7</v>
      </c>
      <c r="V38" s="3">
        <f>IF(WEEKDAY(PlanMasine[[#This Row],[Datum SAS]]-1,2)=7,PlanMasine[[#This Row],[Datum SAS]]-3,PlanMasine[[#This Row],[Datum SAS]]-1)</f>
        <v>45793</v>
      </c>
      <c r="W38">
        <f>WEEKNUM(PlanMasine[[#This Row],[Column2]],1)</f>
        <v>20</v>
      </c>
      <c r="Z38" s="56">
        <f t="shared" si="1"/>
        <v>88</v>
      </c>
      <c r="AA38" s="9">
        <f t="shared" si="3"/>
        <v>0</v>
      </c>
      <c r="AB38" s="9">
        <f t="shared" si="2"/>
        <v>6</v>
      </c>
      <c r="AC38" s="9">
        <f>IF(Table2[[#This Row],[KAPACITET]]&gt;Table2[[#This Row],[SUMA SATI]],Table2[[#This Row],[SUMA SATI]],Table2[[#This Row],[KAPACITET]])</f>
        <v>0</v>
      </c>
      <c r="AD38" s="9" t="str">
        <f>IF(Table2[[#This Row],[SUMA SATI]]&gt;0,IF(Table2[[#This Row],[KAPACITET]]-Table2[[#This Row],[SUMA SATI]]&gt;0,Table2[[#This Row],[KAPACITET]]-Table2[[#This Row],[SUMA SATI]],""),"")</f>
        <v/>
      </c>
      <c r="AE38" s="9" t="str">
        <f>IF(Table2[[#This Row],[SUMA SATI]]&gt;0,IF(Table2[[#This Row],[KAPACITET]]-Table2[[#This Row],[SUMA SATI]]&lt;0,Table2[[#This Row],[SUMA SATI]]-Table2[[#This Row],[KAPACITET]],""),"")</f>
        <v/>
      </c>
    </row>
    <row r="39" spans="1:31" x14ac:dyDescent="0.35">
      <c r="A39">
        <v>1019924</v>
      </c>
      <c r="B39">
        <v>1</v>
      </c>
      <c r="C39">
        <v>1019932</v>
      </c>
      <c r="D39" t="s">
        <v>1757</v>
      </c>
      <c r="E39">
        <v>67.5</v>
      </c>
      <c r="F39">
        <v>3</v>
      </c>
      <c r="G39">
        <v>0</v>
      </c>
      <c r="H39">
        <v>0</v>
      </c>
      <c r="I39" t="s">
        <v>24</v>
      </c>
      <c r="J39" t="s">
        <v>597</v>
      </c>
      <c r="K39" t="s">
        <v>1840</v>
      </c>
      <c r="L39" s="3">
        <v>45820</v>
      </c>
      <c r="M39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1.5625E-2</v>
      </c>
      <c r="N39" s="3">
        <v>45796</v>
      </c>
      <c r="O39" s="5">
        <f>IFERROR((PlanMasine[[#This Row],[Norma]]/PlanMasine[[#This Row],[Q]])*(PlanMasine[[#This Row],[Q]]/SUMIF(C:C,PlanMasine[[#This Row],[RN]],B:B)*PlanMasine[[#This Row],[KPLQ]]),0)</f>
        <v>22.5</v>
      </c>
      <c r="P39">
        <v>183684</v>
      </c>
      <c r="Q39">
        <f>COUNTIF(PROMJENA!A:A,PlanMasine[[#This Row],[KPL]]&amp;"-"&amp;PlanMasine[[#This Row],[RN]])</f>
        <v>0</v>
      </c>
      <c r="R39">
        <f>IFERROR(INDEX(REDOSLIJED!A:A,MATCH(PlanMasine[[#This Row],[KPL]],REDOSLIJED!B:B,0)),MAX(REDOSLIJED!A:A)+1)</f>
        <v>45</v>
      </c>
      <c r="S39" s="9">
        <f>SUM($M$2:M39)</f>
        <v>4.3217361111111101</v>
      </c>
      <c r="T39" s="3">
        <f>PlanMasine[[#This Row],[Datum SAS]]-1</f>
        <v>45795</v>
      </c>
      <c r="U39">
        <f>WEEKDAY(PlanMasine[[#This Row],[ZAVRŠETAK MAŠINSKE]],2)</f>
        <v>7</v>
      </c>
      <c r="V39" s="3">
        <f>IF(WEEKDAY(PlanMasine[[#This Row],[Datum SAS]]-1,2)=7,PlanMasine[[#This Row],[Datum SAS]]-3,PlanMasine[[#This Row],[Datum SAS]]-1)</f>
        <v>45793</v>
      </c>
      <c r="W39">
        <f>WEEKNUM(PlanMasine[[#This Row],[Column2]],1)</f>
        <v>20</v>
      </c>
      <c r="Z39" s="56">
        <f t="shared" si="1"/>
        <v>89</v>
      </c>
      <c r="AA39" s="9">
        <f t="shared" si="3"/>
        <v>0</v>
      </c>
      <c r="AB39" s="9">
        <f t="shared" si="2"/>
        <v>6</v>
      </c>
      <c r="AC39" s="9">
        <f>IF(Table2[[#This Row],[KAPACITET]]&gt;Table2[[#This Row],[SUMA SATI]],Table2[[#This Row],[SUMA SATI]],Table2[[#This Row],[KAPACITET]])</f>
        <v>0</v>
      </c>
      <c r="AD39" s="9" t="str">
        <f>IF(Table2[[#This Row],[SUMA SATI]]&gt;0,IF(Table2[[#This Row],[KAPACITET]]-Table2[[#This Row],[SUMA SATI]]&gt;0,Table2[[#This Row],[KAPACITET]]-Table2[[#This Row],[SUMA SATI]],""),"")</f>
        <v/>
      </c>
      <c r="AE39" s="9" t="str">
        <f>IF(Table2[[#This Row],[SUMA SATI]]&gt;0,IF(Table2[[#This Row],[KAPACITET]]-Table2[[#This Row],[SUMA SATI]]&lt;0,Table2[[#This Row],[SUMA SATI]]-Table2[[#This Row],[KAPACITET]],""),"")</f>
        <v/>
      </c>
    </row>
    <row r="40" spans="1:31" x14ac:dyDescent="0.35">
      <c r="A40">
        <v>1019924</v>
      </c>
      <c r="B40">
        <v>1</v>
      </c>
      <c r="C40">
        <v>1019926</v>
      </c>
      <c r="D40" t="s">
        <v>1758</v>
      </c>
      <c r="E40">
        <v>45</v>
      </c>
      <c r="F40">
        <v>3</v>
      </c>
      <c r="G40">
        <v>0</v>
      </c>
      <c r="H40">
        <v>0</v>
      </c>
      <c r="I40" t="s">
        <v>24</v>
      </c>
      <c r="J40" t="s">
        <v>597</v>
      </c>
      <c r="K40" t="s">
        <v>1840</v>
      </c>
      <c r="L40" s="3">
        <v>45820</v>
      </c>
      <c r="M40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1.0416666666666666E-2</v>
      </c>
      <c r="N40" s="3">
        <v>45796</v>
      </c>
      <c r="O40" s="5">
        <f>IFERROR((PlanMasine[[#This Row],[Norma]]/PlanMasine[[#This Row],[Q]])*(PlanMasine[[#This Row],[Q]]/SUMIF(C:C,PlanMasine[[#This Row],[RN]],B:B)*PlanMasine[[#This Row],[KPLQ]]),0)</f>
        <v>15</v>
      </c>
      <c r="P40">
        <v>183678</v>
      </c>
      <c r="Q40">
        <f>COUNTIF(PROMJENA!A:A,PlanMasine[[#This Row],[KPL]]&amp;"-"&amp;PlanMasine[[#This Row],[RN]])</f>
        <v>0</v>
      </c>
      <c r="R40">
        <f>IFERROR(INDEX(REDOSLIJED!A:A,MATCH(PlanMasine[[#This Row],[KPL]],REDOSLIJED!B:B,0)),MAX(REDOSLIJED!A:A)+1)</f>
        <v>45</v>
      </c>
      <c r="S40" s="9">
        <f>SUM($M$2:M40)</f>
        <v>4.3321527777777771</v>
      </c>
      <c r="T40" s="3">
        <f>PlanMasine[[#This Row],[Datum SAS]]-1</f>
        <v>45795</v>
      </c>
      <c r="U40">
        <f>WEEKDAY(PlanMasine[[#This Row],[ZAVRŠETAK MAŠINSKE]],2)</f>
        <v>7</v>
      </c>
      <c r="V40" s="3">
        <f>IF(WEEKDAY(PlanMasine[[#This Row],[Datum SAS]]-1,2)=7,PlanMasine[[#This Row],[Datum SAS]]-3,PlanMasine[[#This Row],[Datum SAS]]-1)</f>
        <v>45793</v>
      </c>
      <c r="W40">
        <f>WEEKNUM(PlanMasine[[#This Row],[Column2]],1)</f>
        <v>20</v>
      </c>
      <c r="Z40" s="56">
        <f t="shared" si="1"/>
        <v>90</v>
      </c>
      <c r="AA40" s="9">
        <f t="shared" si="3"/>
        <v>0</v>
      </c>
      <c r="AB40" s="9">
        <f t="shared" si="2"/>
        <v>6</v>
      </c>
      <c r="AC40" s="9">
        <f>IF(Table2[[#This Row],[KAPACITET]]&gt;Table2[[#This Row],[SUMA SATI]],Table2[[#This Row],[SUMA SATI]],Table2[[#This Row],[KAPACITET]])</f>
        <v>0</v>
      </c>
      <c r="AD40" s="9" t="str">
        <f>IF(Table2[[#This Row],[SUMA SATI]]&gt;0,IF(Table2[[#This Row],[KAPACITET]]-Table2[[#This Row],[SUMA SATI]]&gt;0,Table2[[#This Row],[KAPACITET]]-Table2[[#This Row],[SUMA SATI]],""),"")</f>
        <v/>
      </c>
      <c r="AE40" s="9" t="str">
        <f>IF(Table2[[#This Row],[SUMA SATI]]&gt;0,IF(Table2[[#This Row],[KAPACITET]]-Table2[[#This Row],[SUMA SATI]]&lt;0,Table2[[#This Row],[SUMA SATI]]-Table2[[#This Row],[KAPACITET]],""),"")</f>
        <v/>
      </c>
    </row>
    <row r="41" spans="1:31" x14ac:dyDescent="0.35">
      <c r="A41">
        <v>1019925</v>
      </c>
      <c r="B41">
        <v>1</v>
      </c>
      <c r="C41">
        <v>1019926</v>
      </c>
      <c r="D41" t="s">
        <v>1758</v>
      </c>
      <c r="E41">
        <v>45</v>
      </c>
      <c r="F41">
        <v>3</v>
      </c>
      <c r="G41">
        <v>0</v>
      </c>
      <c r="H41">
        <v>0</v>
      </c>
      <c r="I41" t="s">
        <v>24</v>
      </c>
      <c r="J41" t="s">
        <v>597</v>
      </c>
      <c r="K41" t="s">
        <v>1840</v>
      </c>
      <c r="L41" s="3">
        <v>45820</v>
      </c>
      <c r="M41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1.0416666666666666E-2</v>
      </c>
      <c r="N41" s="3">
        <v>45796</v>
      </c>
      <c r="O41" s="5">
        <f>IFERROR((PlanMasine[[#This Row],[Norma]]/PlanMasine[[#This Row],[Q]])*(PlanMasine[[#This Row],[Q]]/SUMIF(C:C,PlanMasine[[#This Row],[RN]],B:B)*PlanMasine[[#This Row],[KPLQ]]),0)</f>
        <v>15</v>
      </c>
      <c r="P41">
        <v>183678</v>
      </c>
      <c r="Q41">
        <f>COUNTIF(PROMJENA!A:A,PlanMasine[[#This Row],[KPL]]&amp;"-"&amp;PlanMasine[[#This Row],[RN]])</f>
        <v>0</v>
      </c>
      <c r="R41">
        <f>IFERROR(INDEX(REDOSLIJED!A:A,MATCH(PlanMasine[[#This Row],[KPL]],REDOSLIJED!B:B,0)),MAX(REDOSLIJED!A:A)+1)</f>
        <v>45</v>
      </c>
      <c r="S41" s="9">
        <f>SUM($M$2:M41)</f>
        <v>4.342569444444444</v>
      </c>
      <c r="T41" s="3">
        <f>PlanMasine[[#This Row],[Datum SAS]]-1</f>
        <v>45795</v>
      </c>
      <c r="U41">
        <f>WEEKDAY(PlanMasine[[#This Row],[ZAVRŠETAK MAŠINSKE]],2)</f>
        <v>7</v>
      </c>
      <c r="V41" s="3">
        <f>IF(WEEKDAY(PlanMasine[[#This Row],[Datum SAS]]-1,2)=7,PlanMasine[[#This Row],[Datum SAS]]-3,PlanMasine[[#This Row],[Datum SAS]]-1)</f>
        <v>45793</v>
      </c>
      <c r="W41">
        <f>WEEKNUM(PlanMasine[[#This Row],[Column2]],1)</f>
        <v>20</v>
      </c>
      <c r="Z41" s="56">
        <f t="shared" si="1"/>
        <v>91</v>
      </c>
      <c r="AA41" s="9">
        <f t="shared" si="3"/>
        <v>0</v>
      </c>
      <c r="AB41" s="9">
        <f t="shared" si="2"/>
        <v>6</v>
      </c>
      <c r="AC41" s="9">
        <f>IF(Table2[[#This Row],[KAPACITET]]&gt;Table2[[#This Row],[SUMA SATI]],Table2[[#This Row],[SUMA SATI]],Table2[[#This Row],[KAPACITET]])</f>
        <v>0</v>
      </c>
      <c r="AD41" s="9" t="str">
        <f>IF(Table2[[#This Row],[SUMA SATI]]&gt;0,IF(Table2[[#This Row],[KAPACITET]]-Table2[[#This Row],[SUMA SATI]]&gt;0,Table2[[#This Row],[KAPACITET]]-Table2[[#This Row],[SUMA SATI]],""),"")</f>
        <v/>
      </c>
      <c r="AE41" s="9" t="str">
        <f>IF(Table2[[#This Row],[SUMA SATI]]&gt;0,IF(Table2[[#This Row],[KAPACITET]]-Table2[[#This Row],[SUMA SATI]]&lt;0,Table2[[#This Row],[SUMA SATI]]-Table2[[#This Row],[KAPACITET]],""),"")</f>
        <v/>
      </c>
    </row>
    <row r="42" spans="1:31" x14ac:dyDescent="0.35">
      <c r="A42">
        <v>1019925</v>
      </c>
      <c r="B42">
        <v>1</v>
      </c>
      <c r="C42">
        <v>1019933</v>
      </c>
      <c r="D42" t="s">
        <v>1759</v>
      </c>
      <c r="E42">
        <v>75</v>
      </c>
      <c r="F42">
        <v>3</v>
      </c>
      <c r="G42">
        <v>0</v>
      </c>
      <c r="H42">
        <v>0</v>
      </c>
      <c r="I42" t="s">
        <v>24</v>
      </c>
      <c r="J42" t="s">
        <v>597</v>
      </c>
      <c r="K42" t="s">
        <v>1840</v>
      </c>
      <c r="L42" s="3">
        <v>45820</v>
      </c>
      <c r="M42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1.7361111111111112E-2</v>
      </c>
      <c r="N42" s="3">
        <v>45796</v>
      </c>
      <c r="O42" s="5">
        <f>IFERROR((PlanMasine[[#This Row],[Norma]]/PlanMasine[[#This Row],[Q]])*(PlanMasine[[#This Row],[Q]]/SUMIF(C:C,PlanMasine[[#This Row],[RN]],B:B)*PlanMasine[[#This Row],[KPLQ]]),0)</f>
        <v>25</v>
      </c>
      <c r="P42">
        <v>183685</v>
      </c>
      <c r="Q42">
        <f>COUNTIF(PROMJENA!A:A,PlanMasine[[#This Row],[KPL]]&amp;"-"&amp;PlanMasine[[#This Row],[RN]])</f>
        <v>0</v>
      </c>
      <c r="R42">
        <f>IFERROR(INDEX(REDOSLIJED!A:A,MATCH(PlanMasine[[#This Row],[KPL]],REDOSLIJED!B:B,0)),MAX(REDOSLIJED!A:A)+1)</f>
        <v>45</v>
      </c>
      <c r="S42" s="9">
        <f>SUM($M$2:M42)</f>
        <v>4.3599305555555548</v>
      </c>
      <c r="T42" s="3">
        <f>PlanMasine[[#This Row],[Datum SAS]]-1</f>
        <v>45795</v>
      </c>
      <c r="U42">
        <f>WEEKDAY(PlanMasine[[#This Row],[ZAVRŠETAK MAŠINSKE]],2)</f>
        <v>7</v>
      </c>
      <c r="V42" s="3">
        <f>IF(WEEKDAY(PlanMasine[[#This Row],[Datum SAS]]-1,2)=7,PlanMasine[[#This Row],[Datum SAS]]-3,PlanMasine[[#This Row],[Datum SAS]]-1)</f>
        <v>45793</v>
      </c>
      <c r="W42">
        <f>WEEKNUM(PlanMasine[[#This Row],[Column2]],1)</f>
        <v>20</v>
      </c>
      <c r="Z42" s="56">
        <f t="shared" si="1"/>
        <v>92</v>
      </c>
      <c r="AA42" s="9">
        <f t="shared" si="3"/>
        <v>0</v>
      </c>
      <c r="AB42" s="9">
        <f t="shared" si="2"/>
        <v>6</v>
      </c>
      <c r="AC42" s="9">
        <f>IF(Table2[[#This Row],[KAPACITET]]&gt;Table2[[#This Row],[SUMA SATI]],Table2[[#This Row],[SUMA SATI]],Table2[[#This Row],[KAPACITET]])</f>
        <v>0</v>
      </c>
      <c r="AD42" s="9" t="str">
        <f>IF(Table2[[#This Row],[SUMA SATI]]&gt;0,IF(Table2[[#This Row],[KAPACITET]]-Table2[[#This Row],[SUMA SATI]]&gt;0,Table2[[#This Row],[KAPACITET]]-Table2[[#This Row],[SUMA SATI]],""),"")</f>
        <v/>
      </c>
      <c r="AE42" s="9" t="str">
        <f>IF(Table2[[#This Row],[SUMA SATI]]&gt;0,IF(Table2[[#This Row],[KAPACITET]]-Table2[[#This Row],[SUMA SATI]]&lt;0,Table2[[#This Row],[SUMA SATI]]-Table2[[#This Row],[KAPACITET]],""),"")</f>
        <v/>
      </c>
    </row>
    <row r="43" spans="1:31" x14ac:dyDescent="0.35">
      <c r="A43">
        <v>1019925</v>
      </c>
      <c r="B43">
        <v>1</v>
      </c>
      <c r="C43">
        <v>1019946</v>
      </c>
      <c r="D43" t="s">
        <v>1839</v>
      </c>
      <c r="E43">
        <v>60</v>
      </c>
      <c r="F43">
        <v>6</v>
      </c>
      <c r="G43">
        <v>0</v>
      </c>
      <c r="H43">
        <v>0</v>
      </c>
      <c r="I43" t="s">
        <v>24</v>
      </c>
      <c r="J43" t="s">
        <v>597</v>
      </c>
      <c r="K43" t="s">
        <v>1840</v>
      </c>
      <c r="L43" s="3">
        <v>45820</v>
      </c>
      <c r="M43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1.3888888888888888E-2</v>
      </c>
      <c r="N43" s="3">
        <v>45796</v>
      </c>
      <c r="O43" s="5">
        <f>IFERROR((PlanMasine[[#This Row],[Norma]]/PlanMasine[[#This Row],[Q]])*(PlanMasine[[#This Row],[Q]]/SUMIF(C:C,PlanMasine[[#This Row],[RN]],B:B)*PlanMasine[[#This Row],[KPLQ]]),0)</f>
        <v>20</v>
      </c>
      <c r="P43">
        <v>183698</v>
      </c>
      <c r="Q43">
        <f>COUNTIF(PROMJENA!A:A,PlanMasine[[#This Row],[KPL]]&amp;"-"&amp;PlanMasine[[#This Row],[RN]])</f>
        <v>0</v>
      </c>
      <c r="R43">
        <f>IFERROR(INDEX(REDOSLIJED!A:A,MATCH(PlanMasine[[#This Row],[KPL]],REDOSLIJED!B:B,0)),MAX(REDOSLIJED!A:A)+1)</f>
        <v>45</v>
      </c>
      <c r="S43" s="9">
        <f>SUM($M$2:M43)</f>
        <v>4.373819444444444</v>
      </c>
      <c r="T43" s="3">
        <f>PlanMasine[[#This Row],[Datum SAS]]-1</f>
        <v>45795</v>
      </c>
      <c r="U43">
        <f>WEEKDAY(PlanMasine[[#This Row],[ZAVRŠETAK MAŠINSKE]],2)</f>
        <v>7</v>
      </c>
      <c r="V43" s="3">
        <f>IF(WEEKDAY(PlanMasine[[#This Row],[Datum SAS]]-1,2)=7,PlanMasine[[#This Row],[Datum SAS]]-3,PlanMasine[[#This Row],[Datum SAS]]-1)</f>
        <v>45793</v>
      </c>
      <c r="W43">
        <f>WEEKNUM(PlanMasine[[#This Row],[Column2]],1)</f>
        <v>20</v>
      </c>
      <c r="Z43" s="56">
        <f t="shared" si="1"/>
        <v>93</v>
      </c>
      <c r="AA43" s="9">
        <f t="shared" si="3"/>
        <v>0</v>
      </c>
      <c r="AB43" s="9">
        <f t="shared" si="2"/>
        <v>6</v>
      </c>
      <c r="AC43" s="9">
        <f>IF(Table2[[#This Row],[KAPACITET]]&gt;Table2[[#This Row],[SUMA SATI]],Table2[[#This Row],[SUMA SATI]],Table2[[#This Row],[KAPACITET]])</f>
        <v>0</v>
      </c>
      <c r="AD43" s="9" t="str">
        <f>IF(Table2[[#This Row],[SUMA SATI]]&gt;0,IF(Table2[[#This Row],[KAPACITET]]-Table2[[#This Row],[SUMA SATI]]&gt;0,Table2[[#This Row],[KAPACITET]]-Table2[[#This Row],[SUMA SATI]],""),"")</f>
        <v/>
      </c>
      <c r="AE43" s="9" t="str">
        <f>IF(Table2[[#This Row],[SUMA SATI]]&gt;0,IF(Table2[[#This Row],[KAPACITET]]-Table2[[#This Row],[SUMA SATI]]&lt;0,Table2[[#This Row],[SUMA SATI]]-Table2[[#This Row],[KAPACITET]],""),"")</f>
        <v/>
      </c>
    </row>
    <row r="44" spans="1:31" x14ac:dyDescent="0.35">
      <c r="A44">
        <v>1019925</v>
      </c>
      <c r="B44">
        <v>1</v>
      </c>
      <c r="C44">
        <v>1019932</v>
      </c>
      <c r="D44" t="s">
        <v>1757</v>
      </c>
      <c r="E44">
        <v>67.5</v>
      </c>
      <c r="F44">
        <v>3</v>
      </c>
      <c r="G44">
        <v>0</v>
      </c>
      <c r="H44">
        <v>0</v>
      </c>
      <c r="I44" t="s">
        <v>24</v>
      </c>
      <c r="J44" t="s">
        <v>597</v>
      </c>
      <c r="K44" t="s">
        <v>1840</v>
      </c>
      <c r="L44" s="3">
        <v>45820</v>
      </c>
      <c r="M44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1.5625E-2</v>
      </c>
      <c r="N44" s="3">
        <v>45796</v>
      </c>
      <c r="O44" s="5">
        <f>IFERROR((PlanMasine[[#This Row],[Norma]]/PlanMasine[[#This Row],[Q]])*(PlanMasine[[#This Row],[Q]]/SUMIF(C:C,PlanMasine[[#This Row],[RN]],B:B)*PlanMasine[[#This Row],[KPLQ]]),0)</f>
        <v>22.5</v>
      </c>
      <c r="P44">
        <v>183684</v>
      </c>
      <c r="Q44">
        <f>COUNTIF(PROMJENA!A:A,PlanMasine[[#This Row],[KPL]]&amp;"-"&amp;PlanMasine[[#This Row],[RN]])</f>
        <v>0</v>
      </c>
      <c r="R44">
        <f>IFERROR(INDEX(REDOSLIJED!A:A,MATCH(PlanMasine[[#This Row],[KPL]],REDOSLIJED!B:B,0)),MAX(REDOSLIJED!A:A)+1)</f>
        <v>45</v>
      </c>
      <c r="S44" s="9">
        <f>SUM($M$2:M44)</f>
        <v>4.389444444444444</v>
      </c>
      <c r="T44" s="3">
        <f>PlanMasine[[#This Row],[Datum SAS]]-1</f>
        <v>45795</v>
      </c>
      <c r="U44">
        <f>WEEKDAY(PlanMasine[[#This Row],[ZAVRŠETAK MAŠINSKE]],2)</f>
        <v>7</v>
      </c>
      <c r="V44" s="3">
        <f>IF(WEEKDAY(PlanMasine[[#This Row],[Datum SAS]]-1,2)=7,PlanMasine[[#This Row],[Datum SAS]]-3,PlanMasine[[#This Row],[Datum SAS]]-1)</f>
        <v>45793</v>
      </c>
      <c r="W44">
        <f>WEEKNUM(PlanMasine[[#This Row],[Column2]],1)</f>
        <v>20</v>
      </c>
      <c r="Z44" s="56">
        <f t="shared" si="1"/>
        <v>94</v>
      </c>
      <c r="AA44" s="9">
        <f t="shared" si="3"/>
        <v>0</v>
      </c>
      <c r="AB44" s="9">
        <f t="shared" si="2"/>
        <v>6</v>
      </c>
      <c r="AC44" s="9">
        <f>IF(Table2[[#This Row],[KAPACITET]]&gt;Table2[[#This Row],[SUMA SATI]],Table2[[#This Row],[SUMA SATI]],Table2[[#This Row],[KAPACITET]])</f>
        <v>0</v>
      </c>
      <c r="AD44" s="9" t="str">
        <f>IF(Table2[[#This Row],[SUMA SATI]]&gt;0,IF(Table2[[#This Row],[KAPACITET]]-Table2[[#This Row],[SUMA SATI]]&gt;0,Table2[[#This Row],[KAPACITET]]-Table2[[#This Row],[SUMA SATI]],""),"")</f>
        <v/>
      </c>
      <c r="AE44" s="9" t="str">
        <f>IF(Table2[[#This Row],[SUMA SATI]]&gt;0,IF(Table2[[#This Row],[KAPACITET]]-Table2[[#This Row],[SUMA SATI]]&lt;0,Table2[[#This Row],[SUMA SATI]]-Table2[[#This Row],[KAPACITET]],""),"")</f>
        <v/>
      </c>
    </row>
    <row r="45" spans="1:31" x14ac:dyDescent="0.35">
      <c r="A45">
        <v>1019992</v>
      </c>
      <c r="B45">
        <v>1</v>
      </c>
      <c r="C45">
        <v>1020026</v>
      </c>
      <c r="D45" t="s">
        <v>179</v>
      </c>
      <c r="E45">
        <v>400</v>
      </c>
      <c r="F45">
        <v>4</v>
      </c>
      <c r="G45">
        <v>0</v>
      </c>
      <c r="H45">
        <v>0</v>
      </c>
      <c r="I45" t="s">
        <v>24</v>
      </c>
      <c r="J45" t="s">
        <v>597</v>
      </c>
      <c r="K45" t="s">
        <v>1841</v>
      </c>
      <c r="L45" s="3">
        <v>45838</v>
      </c>
      <c r="M45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6.9444444444444448E-2</v>
      </c>
      <c r="N45" s="3">
        <v>45796</v>
      </c>
      <c r="O45" s="5">
        <f>IFERROR((PlanMasine[[#This Row],[Norma]]/PlanMasine[[#This Row],[Q]])*(PlanMasine[[#This Row],[Q]]/SUMIF(C:C,PlanMasine[[#This Row],[RN]],B:B)*PlanMasine[[#This Row],[KPLQ]]),0)</f>
        <v>100</v>
      </c>
      <c r="P45">
        <v>140061</v>
      </c>
      <c r="Q45">
        <f>COUNTIF(PROMJENA!A:A,PlanMasine[[#This Row],[KPL]]&amp;"-"&amp;PlanMasine[[#This Row],[RN]])</f>
        <v>0</v>
      </c>
      <c r="R45">
        <f>IFERROR(INDEX(REDOSLIJED!A:A,MATCH(PlanMasine[[#This Row],[KPL]],REDOSLIJED!B:B,0)),MAX(REDOSLIJED!A:A)+1)</f>
        <v>45</v>
      </c>
      <c r="S45" s="9">
        <f>SUM($M$2:M45)</f>
        <v>4.4588888888888887</v>
      </c>
      <c r="T45" s="3">
        <f>PlanMasine[[#This Row],[Datum SAS]]-1</f>
        <v>45795</v>
      </c>
      <c r="U45">
        <f>WEEKDAY(PlanMasine[[#This Row],[ZAVRŠETAK MAŠINSKE]],2)</f>
        <v>7</v>
      </c>
      <c r="V45" s="3">
        <f>IF(WEEKDAY(PlanMasine[[#This Row],[Datum SAS]]-1,2)=7,PlanMasine[[#This Row],[Datum SAS]]-3,PlanMasine[[#This Row],[Datum SAS]]-1)</f>
        <v>45793</v>
      </c>
      <c r="W45">
        <f>WEEKNUM(PlanMasine[[#This Row],[Column2]],1)</f>
        <v>20</v>
      </c>
      <c r="Z45" s="56">
        <f t="shared" si="1"/>
        <v>95</v>
      </c>
      <c r="AA45" s="9">
        <f t="shared" si="3"/>
        <v>0</v>
      </c>
      <c r="AB45" s="9">
        <f t="shared" si="2"/>
        <v>6</v>
      </c>
      <c r="AC45" s="9">
        <f>IF(Table2[[#This Row],[KAPACITET]]&gt;Table2[[#This Row],[SUMA SATI]],Table2[[#This Row],[SUMA SATI]],Table2[[#This Row],[KAPACITET]])</f>
        <v>0</v>
      </c>
      <c r="AD45" s="9" t="str">
        <f>IF(Table2[[#This Row],[SUMA SATI]]&gt;0,IF(Table2[[#This Row],[KAPACITET]]-Table2[[#This Row],[SUMA SATI]]&gt;0,Table2[[#This Row],[KAPACITET]]-Table2[[#This Row],[SUMA SATI]],""),"")</f>
        <v/>
      </c>
      <c r="AE45" s="9" t="str">
        <f>IF(Table2[[#This Row],[SUMA SATI]]&gt;0,IF(Table2[[#This Row],[KAPACITET]]-Table2[[#This Row],[SUMA SATI]]&lt;0,Table2[[#This Row],[SUMA SATI]]-Table2[[#This Row],[KAPACITET]],""),"")</f>
        <v/>
      </c>
    </row>
    <row r="46" spans="1:31" x14ac:dyDescent="0.35">
      <c r="A46">
        <v>1019992</v>
      </c>
      <c r="B46">
        <v>1</v>
      </c>
      <c r="C46">
        <v>1020006</v>
      </c>
      <c r="D46" t="s">
        <v>1653</v>
      </c>
      <c r="E46">
        <v>320</v>
      </c>
      <c r="F46">
        <v>4</v>
      </c>
      <c r="G46">
        <v>0</v>
      </c>
      <c r="H46">
        <v>0</v>
      </c>
      <c r="I46" t="s">
        <v>24</v>
      </c>
      <c r="J46" t="s">
        <v>597</v>
      </c>
      <c r="K46" t="s">
        <v>1841</v>
      </c>
      <c r="L46" s="3">
        <v>45838</v>
      </c>
      <c r="M46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5.5555555555555552E-2</v>
      </c>
      <c r="N46" s="3">
        <v>45796</v>
      </c>
      <c r="O46" s="5">
        <f>IFERROR((PlanMasine[[#This Row],[Norma]]/PlanMasine[[#This Row],[Q]])*(PlanMasine[[#This Row],[Q]]/SUMIF(C:C,PlanMasine[[#This Row],[RN]],B:B)*PlanMasine[[#This Row],[KPLQ]]),0)</f>
        <v>80</v>
      </c>
      <c r="P46">
        <v>140041</v>
      </c>
      <c r="Q46">
        <f>COUNTIF(PROMJENA!A:A,PlanMasine[[#This Row],[KPL]]&amp;"-"&amp;PlanMasine[[#This Row],[RN]])</f>
        <v>0</v>
      </c>
      <c r="R46">
        <f>IFERROR(INDEX(REDOSLIJED!A:A,MATCH(PlanMasine[[#This Row],[KPL]],REDOSLIJED!B:B,0)),MAX(REDOSLIJED!A:A)+1)</f>
        <v>45</v>
      </c>
      <c r="S46" s="9">
        <f>SUM($M$2:M46)</f>
        <v>4.514444444444444</v>
      </c>
      <c r="T46" s="3">
        <f>PlanMasine[[#This Row],[Datum SAS]]-1</f>
        <v>45795</v>
      </c>
      <c r="U46">
        <f>WEEKDAY(PlanMasine[[#This Row],[ZAVRŠETAK MAŠINSKE]],2)</f>
        <v>7</v>
      </c>
      <c r="V46" s="3">
        <f>IF(WEEKDAY(PlanMasine[[#This Row],[Datum SAS]]-1,2)=7,PlanMasine[[#This Row],[Datum SAS]]-3,PlanMasine[[#This Row],[Datum SAS]]-1)</f>
        <v>45793</v>
      </c>
      <c r="W46">
        <f>WEEKNUM(PlanMasine[[#This Row],[Column2]],1)</f>
        <v>20</v>
      </c>
      <c r="Z46" s="56">
        <f t="shared" si="1"/>
        <v>96</v>
      </c>
      <c r="AA46" s="9">
        <f t="shared" si="3"/>
        <v>0</v>
      </c>
      <c r="AB46" s="9">
        <f t="shared" si="2"/>
        <v>6</v>
      </c>
      <c r="AC46" s="9">
        <f>IF(Table2[[#This Row],[KAPACITET]]&gt;Table2[[#This Row],[SUMA SATI]],Table2[[#This Row],[SUMA SATI]],Table2[[#This Row],[KAPACITET]])</f>
        <v>0</v>
      </c>
      <c r="AD46" s="9" t="str">
        <f>IF(Table2[[#This Row],[SUMA SATI]]&gt;0,IF(Table2[[#This Row],[KAPACITET]]-Table2[[#This Row],[SUMA SATI]]&gt;0,Table2[[#This Row],[KAPACITET]]-Table2[[#This Row],[SUMA SATI]],""),"")</f>
        <v/>
      </c>
      <c r="AE46" s="9" t="str">
        <f>IF(Table2[[#This Row],[SUMA SATI]]&gt;0,IF(Table2[[#This Row],[KAPACITET]]-Table2[[#This Row],[SUMA SATI]]&lt;0,Table2[[#This Row],[SUMA SATI]]-Table2[[#This Row],[KAPACITET]],""),"")</f>
        <v/>
      </c>
    </row>
    <row r="47" spans="1:31" x14ac:dyDescent="0.35">
      <c r="A47">
        <v>1019993</v>
      </c>
      <c r="B47">
        <v>1</v>
      </c>
      <c r="C47">
        <v>1020026</v>
      </c>
      <c r="D47" t="s">
        <v>179</v>
      </c>
      <c r="E47">
        <v>400</v>
      </c>
      <c r="F47">
        <v>4</v>
      </c>
      <c r="G47">
        <v>0</v>
      </c>
      <c r="H47">
        <v>0</v>
      </c>
      <c r="I47" t="s">
        <v>24</v>
      </c>
      <c r="J47" t="s">
        <v>597</v>
      </c>
      <c r="K47" t="s">
        <v>1841</v>
      </c>
      <c r="L47" s="3">
        <v>45838</v>
      </c>
      <c r="M47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6.9444444444444448E-2</v>
      </c>
      <c r="N47" s="3">
        <v>45796</v>
      </c>
      <c r="O47" s="5">
        <f>IFERROR((PlanMasine[[#This Row],[Norma]]/PlanMasine[[#This Row],[Q]])*(PlanMasine[[#This Row],[Q]]/SUMIF(C:C,PlanMasine[[#This Row],[RN]],B:B)*PlanMasine[[#This Row],[KPLQ]]),0)</f>
        <v>100</v>
      </c>
      <c r="P47">
        <v>140061</v>
      </c>
      <c r="Q47">
        <f>COUNTIF(PROMJENA!A:A,PlanMasine[[#This Row],[KPL]]&amp;"-"&amp;PlanMasine[[#This Row],[RN]])</f>
        <v>0</v>
      </c>
      <c r="R47">
        <f>IFERROR(INDEX(REDOSLIJED!A:A,MATCH(PlanMasine[[#This Row],[KPL]],REDOSLIJED!B:B,0)),MAX(REDOSLIJED!A:A)+1)</f>
        <v>45</v>
      </c>
      <c r="S47" s="9">
        <f>SUM($M$2:M47)</f>
        <v>4.5838888888888887</v>
      </c>
      <c r="T47" s="3">
        <f>PlanMasine[[#This Row],[Datum SAS]]-1</f>
        <v>45795</v>
      </c>
      <c r="U47">
        <f>WEEKDAY(PlanMasine[[#This Row],[ZAVRŠETAK MAŠINSKE]],2)</f>
        <v>7</v>
      </c>
      <c r="V47" s="3">
        <f>IF(WEEKDAY(PlanMasine[[#This Row],[Datum SAS]]-1,2)=7,PlanMasine[[#This Row],[Datum SAS]]-3,PlanMasine[[#This Row],[Datum SAS]]-1)</f>
        <v>45793</v>
      </c>
      <c r="W47">
        <f>WEEKNUM(PlanMasine[[#This Row],[Column2]],1)</f>
        <v>20</v>
      </c>
      <c r="Z47" s="56">
        <f t="shared" si="1"/>
        <v>97</v>
      </c>
      <c r="AA47" s="9">
        <f t="shared" si="3"/>
        <v>0</v>
      </c>
      <c r="AB47" s="9">
        <f t="shared" si="2"/>
        <v>6</v>
      </c>
      <c r="AC47" s="9">
        <f>IF(Table2[[#This Row],[KAPACITET]]&gt;Table2[[#This Row],[SUMA SATI]],Table2[[#This Row],[SUMA SATI]],Table2[[#This Row],[KAPACITET]])</f>
        <v>0</v>
      </c>
      <c r="AD47" s="9" t="str">
        <f>IF(Table2[[#This Row],[SUMA SATI]]&gt;0,IF(Table2[[#This Row],[KAPACITET]]-Table2[[#This Row],[SUMA SATI]]&gt;0,Table2[[#This Row],[KAPACITET]]-Table2[[#This Row],[SUMA SATI]],""),"")</f>
        <v/>
      </c>
      <c r="AE47" s="9" t="str">
        <f>IF(Table2[[#This Row],[SUMA SATI]]&gt;0,IF(Table2[[#This Row],[KAPACITET]]-Table2[[#This Row],[SUMA SATI]]&lt;0,Table2[[#This Row],[SUMA SATI]]-Table2[[#This Row],[KAPACITET]],""),"")</f>
        <v/>
      </c>
    </row>
    <row r="48" spans="1:31" x14ac:dyDescent="0.35">
      <c r="A48">
        <v>1019993</v>
      </c>
      <c r="B48">
        <v>1</v>
      </c>
      <c r="C48">
        <v>1020006</v>
      </c>
      <c r="D48" t="s">
        <v>1653</v>
      </c>
      <c r="E48">
        <v>320</v>
      </c>
      <c r="F48">
        <v>4</v>
      </c>
      <c r="G48">
        <v>0</v>
      </c>
      <c r="H48">
        <v>0</v>
      </c>
      <c r="I48" t="s">
        <v>24</v>
      </c>
      <c r="J48" t="s">
        <v>597</v>
      </c>
      <c r="K48" t="s">
        <v>1841</v>
      </c>
      <c r="L48" s="3">
        <v>45838</v>
      </c>
      <c r="M48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5.5555555555555552E-2</v>
      </c>
      <c r="N48" s="3">
        <v>45796</v>
      </c>
      <c r="O48" s="5">
        <f>IFERROR((PlanMasine[[#This Row],[Norma]]/PlanMasine[[#This Row],[Q]])*(PlanMasine[[#This Row],[Q]]/SUMIF(C:C,PlanMasine[[#This Row],[RN]],B:B)*PlanMasine[[#This Row],[KPLQ]]),0)</f>
        <v>80</v>
      </c>
      <c r="P48">
        <v>140041</v>
      </c>
      <c r="Q48">
        <f>COUNTIF(PROMJENA!A:A,PlanMasine[[#This Row],[KPL]]&amp;"-"&amp;PlanMasine[[#This Row],[RN]])</f>
        <v>0</v>
      </c>
      <c r="R48">
        <f>IFERROR(INDEX(REDOSLIJED!A:A,MATCH(PlanMasine[[#This Row],[KPL]],REDOSLIJED!B:B,0)),MAX(REDOSLIJED!A:A)+1)</f>
        <v>45</v>
      </c>
      <c r="S48" s="9">
        <f>SUM($M$2:M48)</f>
        <v>4.639444444444444</v>
      </c>
      <c r="T48" s="3">
        <f>PlanMasine[[#This Row],[Datum SAS]]-1</f>
        <v>45795</v>
      </c>
      <c r="U48">
        <f>WEEKDAY(PlanMasine[[#This Row],[ZAVRŠETAK MAŠINSKE]],2)</f>
        <v>7</v>
      </c>
      <c r="V48" s="3">
        <f>IF(WEEKDAY(PlanMasine[[#This Row],[Datum SAS]]-1,2)=7,PlanMasine[[#This Row],[Datum SAS]]-3,PlanMasine[[#This Row],[Datum SAS]]-1)</f>
        <v>45793</v>
      </c>
      <c r="W48">
        <f>WEEKNUM(PlanMasine[[#This Row],[Column2]],1)</f>
        <v>20</v>
      </c>
      <c r="Z48" s="56">
        <f t="shared" si="1"/>
        <v>98</v>
      </c>
      <c r="AA48" s="9">
        <f t="shared" si="3"/>
        <v>0</v>
      </c>
      <c r="AB48" s="9">
        <f t="shared" si="2"/>
        <v>6</v>
      </c>
      <c r="AC48" s="9">
        <f>IF(Table2[[#This Row],[KAPACITET]]&gt;Table2[[#This Row],[SUMA SATI]],Table2[[#This Row],[SUMA SATI]],Table2[[#This Row],[KAPACITET]])</f>
        <v>0</v>
      </c>
      <c r="AD48" s="9" t="str">
        <f>IF(Table2[[#This Row],[SUMA SATI]]&gt;0,IF(Table2[[#This Row],[KAPACITET]]-Table2[[#This Row],[SUMA SATI]]&gt;0,Table2[[#This Row],[KAPACITET]]-Table2[[#This Row],[SUMA SATI]],""),"")</f>
        <v/>
      </c>
      <c r="AE48" s="9" t="str">
        <f>IF(Table2[[#This Row],[SUMA SATI]]&gt;0,IF(Table2[[#This Row],[KAPACITET]]-Table2[[#This Row],[SUMA SATI]]&lt;0,Table2[[#This Row],[SUMA SATI]]-Table2[[#This Row],[KAPACITET]],""),"")</f>
        <v/>
      </c>
    </row>
    <row r="49" spans="1:31" x14ac:dyDescent="0.35">
      <c r="A49">
        <v>1019994</v>
      </c>
      <c r="B49">
        <v>1</v>
      </c>
      <c r="C49">
        <v>1020006</v>
      </c>
      <c r="D49" t="s">
        <v>1653</v>
      </c>
      <c r="E49">
        <v>320</v>
      </c>
      <c r="F49">
        <v>4</v>
      </c>
      <c r="G49">
        <v>0</v>
      </c>
      <c r="H49">
        <v>0</v>
      </c>
      <c r="I49" t="s">
        <v>24</v>
      </c>
      <c r="J49" t="s">
        <v>597</v>
      </c>
      <c r="K49" t="s">
        <v>1841</v>
      </c>
      <c r="L49" s="3">
        <v>45838</v>
      </c>
      <c r="M49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5.5555555555555552E-2</v>
      </c>
      <c r="N49" s="3">
        <v>45796</v>
      </c>
      <c r="O49" s="5">
        <f>IFERROR((PlanMasine[[#This Row],[Norma]]/PlanMasine[[#This Row],[Q]])*(PlanMasine[[#This Row],[Q]]/SUMIF(C:C,PlanMasine[[#This Row],[RN]],B:B)*PlanMasine[[#This Row],[KPLQ]]),0)</f>
        <v>80</v>
      </c>
      <c r="P49">
        <v>140041</v>
      </c>
      <c r="Q49">
        <f>COUNTIF(PROMJENA!A:A,PlanMasine[[#This Row],[KPL]]&amp;"-"&amp;PlanMasine[[#This Row],[RN]])</f>
        <v>0</v>
      </c>
      <c r="R49">
        <f>IFERROR(INDEX(REDOSLIJED!A:A,MATCH(PlanMasine[[#This Row],[KPL]],REDOSLIJED!B:B,0)),MAX(REDOSLIJED!A:A)+1)</f>
        <v>45</v>
      </c>
      <c r="S49" s="9">
        <f>SUM($M$2:M49)</f>
        <v>4.6949999999999994</v>
      </c>
      <c r="T49" s="3">
        <f>PlanMasine[[#This Row],[Datum SAS]]-1</f>
        <v>45795</v>
      </c>
      <c r="U49">
        <f>WEEKDAY(PlanMasine[[#This Row],[ZAVRŠETAK MAŠINSKE]],2)</f>
        <v>7</v>
      </c>
      <c r="V49" s="3">
        <f>IF(WEEKDAY(PlanMasine[[#This Row],[Datum SAS]]-1,2)=7,PlanMasine[[#This Row],[Datum SAS]]-3,PlanMasine[[#This Row],[Datum SAS]]-1)</f>
        <v>45793</v>
      </c>
      <c r="W49">
        <f>WEEKNUM(PlanMasine[[#This Row],[Column2]],1)</f>
        <v>20</v>
      </c>
      <c r="Z49" s="56">
        <f t="shared" si="1"/>
        <v>99</v>
      </c>
      <c r="AA49" s="9">
        <f t="shared" si="3"/>
        <v>0</v>
      </c>
      <c r="AB49" s="9">
        <f t="shared" si="2"/>
        <v>6</v>
      </c>
      <c r="AC49" s="9">
        <f>IF(Table2[[#This Row],[KAPACITET]]&gt;Table2[[#This Row],[SUMA SATI]],Table2[[#This Row],[SUMA SATI]],Table2[[#This Row],[KAPACITET]])</f>
        <v>0</v>
      </c>
      <c r="AD49" s="9" t="str">
        <f>IF(Table2[[#This Row],[SUMA SATI]]&gt;0,IF(Table2[[#This Row],[KAPACITET]]-Table2[[#This Row],[SUMA SATI]]&gt;0,Table2[[#This Row],[KAPACITET]]-Table2[[#This Row],[SUMA SATI]],""),"")</f>
        <v/>
      </c>
      <c r="AE49" s="9" t="str">
        <f>IF(Table2[[#This Row],[SUMA SATI]]&gt;0,IF(Table2[[#This Row],[KAPACITET]]-Table2[[#This Row],[SUMA SATI]]&lt;0,Table2[[#This Row],[SUMA SATI]]-Table2[[#This Row],[KAPACITET]],""),"")</f>
        <v/>
      </c>
    </row>
    <row r="50" spans="1:31" x14ac:dyDescent="0.35">
      <c r="A50">
        <v>1019994</v>
      </c>
      <c r="B50">
        <v>1</v>
      </c>
      <c r="C50">
        <v>1020026</v>
      </c>
      <c r="D50" t="s">
        <v>179</v>
      </c>
      <c r="E50">
        <v>400</v>
      </c>
      <c r="F50">
        <v>4</v>
      </c>
      <c r="G50">
        <v>0</v>
      </c>
      <c r="H50">
        <v>0</v>
      </c>
      <c r="I50" t="s">
        <v>24</v>
      </c>
      <c r="J50" t="s">
        <v>597</v>
      </c>
      <c r="K50" t="s">
        <v>1841</v>
      </c>
      <c r="L50" s="3">
        <v>45838</v>
      </c>
      <c r="M50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6.9444444444444448E-2</v>
      </c>
      <c r="N50" s="3">
        <v>45796</v>
      </c>
      <c r="O50" s="5">
        <f>IFERROR((PlanMasine[[#This Row],[Norma]]/PlanMasine[[#This Row],[Q]])*(PlanMasine[[#This Row],[Q]]/SUMIF(C:C,PlanMasine[[#This Row],[RN]],B:B)*PlanMasine[[#This Row],[KPLQ]]),0)</f>
        <v>100</v>
      </c>
      <c r="P50">
        <v>140061</v>
      </c>
      <c r="Q50">
        <f>COUNTIF(PROMJENA!A:A,PlanMasine[[#This Row],[KPL]]&amp;"-"&amp;PlanMasine[[#This Row],[RN]])</f>
        <v>0</v>
      </c>
      <c r="R50">
        <f>IFERROR(INDEX(REDOSLIJED!A:A,MATCH(PlanMasine[[#This Row],[KPL]],REDOSLIJED!B:B,0)),MAX(REDOSLIJED!A:A)+1)</f>
        <v>45</v>
      </c>
      <c r="S50" s="9">
        <f>SUM($M$2:M50)</f>
        <v>4.764444444444444</v>
      </c>
      <c r="T50" s="3">
        <f>PlanMasine[[#This Row],[Datum SAS]]-1</f>
        <v>45795</v>
      </c>
      <c r="U50">
        <f>WEEKDAY(PlanMasine[[#This Row],[ZAVRŠETAK MAŠINSKE]],2)</f>
        <v>7</v>
      </c>
      <c r="V50" s="3">
        <f>IF(WEEKDAY(PlanMasine[[#This Row],[Datum SAS]]-1,2)=7,PlanMasine[[#This Row],[Datum SAS]]-3,PlanMasine[[#This Row],[Datum SAS]]-1)</f>
        <v>45793</v>
      </c>
      <c r="W50">
        <f>WEEKNUM(PlanMasine[[#This Row],[Column2]],1)</f>
        <v>20</v>
      </c>
      <c r="Z50" s="56">
        <f t="shared" si="1"/>
        <v>100</v>
      </c>
      <c r="AA50" s="9">
        <f t="shared" si="3"/>
        <v>0</v>
      </c>
      <c r="AB50" s="9">
        <f t="shared" si="2"/>
        <v>6</v>
      </c>
      <c r="AC50" s="9">
        <f>IF(Table2[[#This Row],[KAPACITET]]&gt;Table2[[#This Row],[SUMA SATI]],Table2[[#This Row],[SUMA SATI]],Table2[[#This Row],[KAPACITET]])</f>
        <v>0</v>
      </c>
      <c r="AD50" s="9" t="str">
        <f>IF(Table2[[#This Row],[SUMA SATI]]&gt;0,IF(Table2[[#This Row],[KAPACITET]]-Table2[[#This Row],[SUMA SATI]]&gt;0,Table2[[#This Row],[KAPACITET]]-Table2[[#This Row],[SUMA SATI]],""),"")</f>
        <v/>
      </c>
      <c r="AE50" s="9" t="str">
        <f>IF(Table2[[#This Row],[SUMA SATI]]&gt;0,IF(Table2[[#This Row],[KAPACITET]]-Table2[[#This Row],[SUMA SATI]]&lt;0,Table2[[#This Row],[SUMA SATI]]-Table2[[#This Row],[KAPACITET]],""),"")</f>
        <v/>
      </c>
    </row>
    <row r="51" spans="1:31" x14ac:dyDescent="0.35">
      <c r="A51">
        <v>1019995</v>
      </c>
      <c r="B51">
        <v>1</v>
      </c>
      <c r="C51">
        <v>1020006</v>
      </c>
      <c r="D51" t="s">
        <v>1653</v>
      </c>
      <c r="E51">
        <v>320</v>
      </c>
      <c r="F51">
        <v>4</v>
      </c>
      <c r="G51">
        <v>0</v>
      </c>
      <c r="H51">
        <v>0</v>
      </c>
      <c r="I51" t="s">
        <v>24</v>
      </c>
      <c r="J51" t="s">
        <v>597</v>
      </c>
      <c r="K51" t="s">
        <v>1841</v>
      </c>
      <c r="L51" s="3">
        <v>45838</v>
      </c>
      <c r="M51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5.5555555555555552E-2</v>
      </c>
      <c r="N51" s="3">
        <v>45796</v>
      </c>
      <c r="O51" s="5">
        <f>IFERROR((PlanMasine[[#This Row],[Norma]]/PlanMasine[[#This Row],[Q]])*(PlanMasine[[#This Row],[Q]]/SUMIF(C:C,PlanMasine[[#This Row],[RN]],B:B)*PlanMasine[[#This Row],[KPLQ]]),0)</f>
        <v>80</v>
      </c>
      <c r="P51">
        <v>140041</v>
      </c>
      <c r="Q51">
        <f>COUNTIF(PROMJENA!A:A,PlanMasine[[#This Row],[KPL]]&amp;"-"&amp;PlanMasine[[#This Row],[RN]])</f>
        <v>0</v>
      </c>
      <c r="R51">
        <f>IFERROR(INDEX(REDOSLIJED!A:A,MATCH(PlanMasine[[#This Row],[KPL]],REDOSLIJED!B:B,0)),MAX(REDOSLIJED!A:A)+1)</f>
        <v>45</v>
      </c>
      <c r="S51" s="9">
        <f>SUM($M$2:M51)</f>
        <v>4.8199999999999994</v>
      </c>
      <c r="T51" s="3">
        <f>PlanMasine[[#This Row],[Datum SAS]]-1</f>
        <v>45795</v>
      </c>
      <c r="U51">
        <f>WEEKDAY(PlanMasine[[#This Row],[ZAVRŠETAK MAŠINSKE]],2)</f>
        <v>7</v>
      </c>
      <c r="V51" s="3">
        <f>IF(WEEKDAY(PlanMasine[[#This Row],[Datum SAS]]-1,2)=7,PlanMasine[[#This Row],[Datum SAS]]-3,PlanMasine[[#This Row],[Datum SAS]]-1)</f>
        <v>45793</v>
      </c>
      <c r="W51">
        <f>WEEKNUM(PlanMasine[[#This Row],[Column2]],1)</f>
        <v>20</v>
      </c>
    </row>
    <row r="52" spans="1:31" x14ac:dyDescent="0.35">
      <c r="A52">
        <v>1019995</v>
      </c>
      <c r="B52">
        <v>1</v>
      </c>
      <c r="C52">
        <v>1020026</v>
      </c>
      <c r="D52" t="s">
        <v>179</v>
      </c>
      <c r="E52">
        <v>400</v>
      </c>
      <c r="F52">
        <v>4</v>
      </c>
      <c r="G52">
        <v>0</v>
      </c>
      <c r="H52">
        <v>0</v>
      </c>
      <c r="I52" t="s">
        <v>24</v>
      </c>
      <c r="J52" t="s">
        <v>597</v>
      </c>
      <c r="K52" t="s">
        <v>1841</v>
      </c>
      <c r="L52" s="3">
        <v>45838</v>
      </c>
      <c r="M52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6.9444444444444448E-2</v>
      </c>
      <c r="N52" s="3">
        <v>45796</v>
      </c>
      <c r="O52" s="5">
        <f>IFERROR((PlanMasine[[#This Row],[Norma]]/PlanMasine[[#This Row],[Q]])*(PlanMasine[[#This Row],[Q]]/SUMIF(C:C,PlanMasine[[#This Row],[RN]],B:B)*PlanMasine[[#This Row],[KPLQ]]),0)</f>
        <v>100</v>
      </c>
      <c r="P52">
        <v>140061</v>
      </c>
      <c r="Q52">
        <f>COUNTIF(PROMJENA!A:A,PlanMasine[[#This Row],[KPL]]&amp;"-"&amp;PlanMasine[[#This Row],[RN]])</f>
        <v>0</v>
      </c>
      <c r="R52">
        <f>IFERROR(INDEX(REDOSLIJED!A:A,MATCH(PlanMasine[[#This Row],[KPL]],REDOSLIJED!B:B,0)),MAX(REDOSLIJED!A:A)+1)</f>
        <v>45</v>
      </c>
      <c r="S52" s="9">
        <f>SUM($M$2:M52)</f>
        <v>4.889444444444444</v>
      </c>
      <c r="T52" s="3">
        <f>PlanMasine[[#This Row],[Datum SAS]]-1</f>
        <v>45795</v>
      </c>
      <c r="U52">
        <f>WEEKDAY(PlanMasine[[#This Row],[ZAVRŠETAK MAŠINSKE]],2)</f>
        <v>7</v>
      </c>
      <c r="V52" s="3">
        <f>IF(WEEKDAY(PlanMasine[[#This Row],[Datum SAS]]-1,2)=7,PlanMasine[[#This Row],[Datum SAS]]-3,PlanMasine[[#This Row],[Datum SAS]]-1)</f>
        <v>45793</v>
      </c>
      <c r="W52">
        <f>WEEKNUM(PlanMasine[[#This Row],[Column2]],1)</f>
        <v>20</v>
      </c>
    </row>
    <row r="53" spans="1:31" x14ac:dyDescent="0.35">
      <c r="A53">
        <v>1024468</v>
      </c>
      <c r="B53">
        <v>3</v>
      </c>
      <c r="C53">
        <v>1024464</v>
      </c>
      <c r="D53" t="s">
        <v>305</v>
      </c>
      <c r="E53">
        <v>30</v>
      </c>
      <c r="F53">
        <v>3</v>
      </c>
      <c r="G53">
        <v>0</v>
      </c>
      <c r="H53">
        <v>0</v>
      </c>
      <c r="I53" t="s">
        <v>24</v>
      </c>
      <c r="J53" t="s">
        <v>597</v>
      </c>
      <c r="K53" t="s">
        <v>1842</v>
      </c>
      <c r="L53" s="3">
        <v>45807</v>
      </c>
      <c r="M53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2.0833333333333332E-2</v>
      </c>
      <c r="N53" s="3">
        <v>45796</v>
      </c>
      <c r="O53" s="5">
        <f>IFERROR((PlanMasine[[#This Row],[Norma]]/PlanMasine[[#This Row],[Q]])*(PlanMasine[[#This Row],[Q]]/SUMIF(C:C,PlanMasine[[#This Row],[RN]],B:B)*PlanMasine[[#This Row],[KPLQ]]),0)</f>
        <v>30</v>
      </c>
      <c r="P53">
        <v>156913</v>
      </c>
      <c r="Q53">
        <f>COUNTIF(PROMJENA!A:A,PlanMasine[[#This Row],[KPL]]&amp;"-"&amp;PlanMasine[[#This Row],[RN]])</f>
        <v>0</v>
      </c>
      <c r="R53">
        <f>IFERROR(INDEX(REDOSLIJED!A:A,MATCH(PlanMasine[[#This Row],[KPL]],REDOSLIJED!B:B,0)),MAX(REDOSLIJED!A:A)+1)</f>
        <v>45</v>
      </c>
      <c r="S53" s="9">
        <f>SUM($M$2:M53)</f>
        <v>4.9102777777777771</v>
      </c>
      <c r="T53" s="3">
        <f>PlanMasine[[#This Row],[Datum SAS]]-1</f>
        <v>45795</v>
      </c>
      <c r="U53">
        <f>WEEKDAY(PlanMasine[[#This Row],[ZAVRŠETAK MAŠINSKE]],2)</f>
        <v>7</v>
      </c>
      <c r="V53" s="3">
        <f>IF(WEEKDAY(PlanMasine[[#This Row],[Datum SAS]]-1,2)=7,PlanMasine[[#This Row],[Datum SAS]]-3,PlanMasine[[#This Row],[Datum SAS]]-1)</f>
        <v>45793</v>
      </c>
      <c r="W53">
        <f>WEEKNUM(PlanMasine[[#This Row],[Column2]],1)</f>
        <v>20</v>
      </c>
    </row>
    <row r="54" spans="1:31" x14ac:dyDescent="0.35">
      <c r="A54">
        <v>1024792</v>
      </c>
      <c r="B54">
        <v>5</v>
      </c>
      <c r="C54">
        <v>1024788</v>
      </c>
      <c r="D54" t="s">
        <v>305</v>
      </c>
      <c r="E54">
        <v>50</v>
      </c>
      <c r="F54">
        <v>5</v>
      </c>
      <c r="G54">
        <v>3</v>
      </c>
      <c r="H54">
        <v>30</v>
      </c>
      <c r="I54" t="s">
        <v>24</v>
      </c>
      <c r="J54" t="s">
        <v>597</v>
      </c>
      <c r="K54" t="s">
        <v>1843</v>
      </c>
      <c r="L54" s="3">
        <v>45818</v>
      </c>
      <c r="M54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3.4722222222222224E-2</v>
      </c>
      <c r="N54" s="3">
        <v>45796</v>
      </c>
      <c r="O54" s="5">
        <f>IFERROR((PlanMasine[[#This Row],[Norma]]/PlanMasine[[#This Row],[Q]])*(PlanMasine[[#This Row],[Q]]/SUMIF(C:C,PlanMasine[[#This Row],[RN]],B:B)*PlanMasine[[#This Row],[KPLQ]]),0)</f>
        <v>50</v>
      </c>
      <c r="P54">
        <v>156913</v>
      </c>
      <c r="Q54">
        <f>COUNTIF(PROMJENA!A:A,PlanMasine[[#This Row],[KPL]]&amp;"-"&amp;PlanMasine[[#This Row],[RN]])</f>
        <v>0</v>
      </c>
      <c r="R54">
        <f>IFERROR(INDEX(REDOSLIJED!A:A,MATCH(PlanMasine[[#This Row],[KPL]],REDOSLIJED!B:B,0)),MAX(REDOSLIJED!A:A)+1)</f>
        <v>45</v>
      </c>
      <c r="S54" s="9">
        <f>SUM($M$2:M54)</f>
        <v>4.9449999999999994</v>
      </c>
      <c r="T54" s="3">
        <f>PlanMasine[[#This Row],[Datum SAS]]-1</f>
        <v>45795</v>
      </c>
      <c r="U54">
        <f>WEEKDAY(PlanMasine[[#This Row],[ZAVRŠETAK MAŠINSKE]],2)</f>
        <v>7</v>
      </c>
      <c r="V54" s="3">
        <f>IF(WEEKDAY(PlanMasine[[#This Row],[Datum SAS]]-1,2)=7,PlanMasine[[#This Row],[Datum SAS]]-3,PlanMasine[[#This Row],[Datum SAS]]-1)</f>
        <v>45793</v>
      </c>
      <c r="W54">
        <f>WEEKNUM(PlanMasine[[#This Row],[Column2]],1)</f>
        <v>20</v>
      </c>
    </row>
    <row r="55" spans="1:31" x14ac:dyDescent="0.35">
      <c r="A55">
        <v>1025488</v>
      </c>
      <c r="B55">
        <v>1</v>
      </c>
      <c r="C55">
        <v>1025505</v>
      </c>
      <c r="D55" t="s">
        <v>1844</v>
      </c>
      <c r="E55">
        <v>120</v>
      </c>
      <c r="F55">
        <v>1</v>
      </c>
      <c r="G55">
        <v>0</v>
      </c>
      <c r="H55">
        <v>0</v>
      </c>
      <c r="I55" t="s">
        <v>24</v>
      </c>
      <c r="J55" t="s">
        <v>597</v>
      </c>
      <c r="K55" t="s">
        <v>1845</v>
      </c>
      <c r="L55" s="3">
        <v>45825</v>
      </c>
      <c r="M55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8.3333333333333329E-2</v>
      </c>
      <c r="N55" s="3">
        <v>45796</v>
      </c>
      <c r="O55" s="5">
        <f>IFERROR((PlanMasine[[#This Row],[Norma]]/PlanMasine[[#This Row],[Q]])*(PlanMasine[[#This Row],[Q]]/SUMIF(C:C,PlanMasine[[#This Row],[RN]],B:B)*PlanMasine[[#This Row],[KPLQ]]),0)</f>
        <v>120</v>
      </c>
      <c r="P55">
        <v>232481</v>
      </c>
      <c r="Q55">
        <f>COUNTIF(PROMJENA!A:A,PlanMasine[[#This Row],[KPL]]&amp;"-"&amp;PlanMasine[[#This Row],[RN]])</f>
        <v>0</v>
      </c>
      <c r="R55">
        <f>IFERROR(INDEX(REDOSLIJED!A:A,MATCH(PlanMasine[[#This Row],[KPL]],REDOSLIJED!B:B,0)),MAX(REDOSLIJED!A:A)+1)</f>
        <v>45</v>
      </c>
      <c r="S55" s="9">
        <f>SUM($M$2:M55)</f>
        <v>5.0283333333333324</v>
      </c>
      <c r="T55" s="3">
        <f>PlanMasine[[#This Row],[Datum SAS]]-1</f>
        <v>45795</v>
      </c>
      <c r="U55">
        <f>WEEKDAY(PlanMasine[[#This Row],[ZAVRŠETAK MAŠINSKE]],2)</f>
        <v>7</v>
      </c>
      <c r="V55" s="3">
        <f>IF(WEEKDAY(PlanMasine[[#This Row],[Datum SAS]]-1,2)=7,PlanMasine[[#This Row],[Datum SAS]]-3,PlanMasine[[#This Row],[Datum SAS]]-1)</f>
        <v>45793</v>
      </c>
      <c r="W55">
        <f>WEEKNUM(PlanMasine[[#This Row],[Column2]],1)</f>
        <v>20</v>
      </c>
    </row>
    <row r="56" spans="1:31" x14ac:dyDescent="0.35">
      <c r="A56">
        <v>1025526</v>
      </c>
      <c r="B56">
        <v>1</v>
      </c>
      <c r="C56">
        <v>1025528</v>
      </c>
      <c r="D56" t="s">
        <v>1813</v>
      </c>
      <c r="E56">
        <v>10</v>
      </c>
      <c r="F56">
        <v>1</v>
      </c>
      <c r="G56">
        <v>0</v>
      </c>
      <c r="H56">
        <v>0</v>
      </c>
      <c r="I56" t="s">
        <v>24</v>
      </c>
      <c r="J56" t="s">
        <v>597</v>
      </c>
      <c r="K56" t="s">
        <v>1846</v>
      </c>
      <c r="L56" s="3">
        <v>45817</v>
      </c>
      <c r="M56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6.9444444444444441E-3</v>
      </c>
      <c r="N56" s="3">
        <v>45796</v>
      </c>
      <c r="O56" s="5">
        <f>IFERROR((PlanMasine[[#This Row],[Norma]]/PlanMasine[[#This Row],[Q]])*(PlanMasine[[#This Row],[Q]]/SUMIF(C:C,PlanMasine[[#This Row],[RN]],B:B)*PlanMasine[[#This Row],[KPLQ]]),0)</f>
        <v>10</v>
      </c>
      <c r="P56">
        <v>230516</v>
      </c>
      <c r="Q56">
        <f>COUNTIF(PROMJENA!A:A,PlanMasine[[#This Row],[KPL]]&amp;"-"&amp;PlanMasine[[#This Row],[RN]])</f>
        <v>0</v>
      </c>
      <c r="R56">
        <f>IFERROR(INDEX(REDOSLIJED!A:A,MATCH(PlanMasine[[#This Row],[KPL]],REDOSLIJED!B:B,0)),MAX(REDOSLIJED!A:A)+1)</f>
        <v>45</v>
      </c>
      <c r="S56" s="9">
        <f>SUM($M$2:M56)</f>
        <v>5.0352777777777771</v>
      </c>
      <c r="T56" s="3">
        <f>PlanMasine[[#This Row],[Datum SAS]]-1</f>
        <v>45795</v>
      </c>
      <c r="U56">
        <f>WEEKDAY(PlanMasine[[#This Row],[ZAVRŠETAK MAŠINSKE]],2)</f>
        <v>7</v>
      </c>
      <c r="V56" s="3">
        <f>IF(WEEKDAY(PlanMasine[[#This Row],[Datum SAS]]-1,2)=7,PlanMasine[[#This Row],[Datum SAS]]-3,PlanMasine[[#This Row],[Datum SAS]]-1)</f>
        <v>45793</v>
      </c>
      <c r="W56">
        <f>WEEKNUM(PlanMasine[[#This Row],[Column2]],1)</f>
        <v>20</v>
      </c>
    </row>
    <row r="57" spans="1:31" x14ac:dyDescent="0.35">
      <c r="A57">
        <v>1025546</v>
      </c>
      <c r="B57">
        <v>1</v>
      </c>
      <c r="C57">
        <v>1025547</v>
      </c>
      <c r="D57" t="s">
        <v>1847</v>
      </c>
      <c r="E57">
        <v>10</v>
      </c>
      <c r="F57">
        <v>1</v>
      </c>
      <c r="G57">
        <v>0</v>
      </c>
      <c r="H57">
        <v>0</v>
      </c>
      <c r="I57" t="s">
        <v>24</v>
      </c>
      <c r="J57" t="s">
        <v>597</v>
      </c>
      <c r="K57" t="s">
        <v>1848</v>
      </c>
      <c r="L57" s="3">
        <v>45817</v>
      </c>
      <c r="M57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6.9444444444444441E-3</v>
      </c>
      <c r="N57" s="3">
        <v>45796</v>
      </c>
      <c r="O57" s="5">
        <f>IFERROR((PlanMasine[[#This Row],[Norma]]/PlanMasine[[#This Row],[Q]])*(PlanMasine[[#This Row],[Q]]/SUMIF(C:C,PlanMasine[[#This Row],[RN]],B:B)*PlanMasine[[#This Row],[KPLQ]]),0)</f>
        <v>10</v>
      </c>
      <c r="P57">
        <v>230502</v>
      </c>
      <c r="Q57">
        <f>COUNTIF(PROMJENA!A:A,PlanMasine[[#This Row],[KPL]]&amp;"-"&amp;PlanMasine[[#This Row],[RN]])</f>
        <v>0</v>
      </c>
      <c r="R57">
        <f>IFERROR(INDEX(REDOSLIJED!A:A,MATCH(PlanMasine[[#This Row],[KPL]],REDOSLIJED!B:B,0)),MAX(REDOSLIJED!A:A)+1)</f>
        <v>45</v>
      </c>
      <c r="S57" s="9">
        <f>SUM($M$2:M57)</f>
        <v>5.0422222222222217</v>
      </c>
      <c r="T57" s="3">
        <f>PlanMasine[[#This Row],[Datum SAS]]-1</f>
        <v>45795</v>
      </c>
      <c r="U57">
        <f>WEEKDAY(PlanMasine[[#This Row],[ZAVRŠETAK MAŠINSKE]],2)</f>
        <v>7</v>
      </c>
      <c r="V57" s="3">
        <f>IF(WEEKDAY(PlanMasine[[#This Row],[Datum SAS]]-1,2)=7,PlanMasine[[#This Row],[Datum SAS]]-3,PlanMasine[[#This Row],[Datum SAS]]-1)</f>
        <v>45793</v>
      </c>
      <c r="W57">
        <f>WEEKNUM(PlanMasine[[#This Row],[Column2]],1)</f>
        <v>20</v>
      </c>
    </row>
    <row r="58" spans="1:31" x14ac:dyDescent="0.35">
      <c r="A58">
        <v>921689</v>
      </c>
      <c r="B58">
        <v>1</v>
      </c>
      <c r="C58">
        <v>921691</v>
      </c>
      <c r="D58" t="s">
        <v>1460</v>
      </c>
      <c r="E58">
        <v>20</v>
      </c>
      <c r="F58">
        <v>2</v>
      </c>
      <c r="G58">
        <v>0</v>
      </c>
      <c r="H58">
        <v>0</v>
      </c>
      <c r="I58" t="s">
        <v>24</v>
      </c>
      <c r="J58" t="s">
        <v>597</v>
      </c>
      <c r="K58" t="s">
        <v>1461</v>
      </c>
      <c r="L58" s="3">
        <v>45807</v>
      </c>
      <c r="M58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6.9444444444444441E-3</v>
      </c>
      <c r="N58" s="3">
        <v>45797</v>
      </c>
      <c r="O58" s="5">
        <f>IFERROR((PlanMasine[[#This Row],[Norma]]/PlanMasine[[#This Row],[Q]])*(PlanMasine[[#This Row],[Q]]/SUMIF(C:C,PlanMasine[[#This Row],[RN]],B:B)*PlanMasine[[#This Row],[KPLQ]]),0)</f>
        <v>10</v>
      </c>
      <c r="P58">
        <v>185726</v>
      </c>
      <c r="Q58">
        <f>COUNTIF(PROMJENA!A:A,PlanMasine[[#This Row],[KPL]]&amp;"-"&amp;PlanMasine[[#This Row],[RN]])</f>
        <v>0</v>
      </c>
      <c r="R58">
        <f>IFERROR(INDEX(REDOSLIJED!A:A,MATCH(PlanMasine[[#This Row],[KPL]],REDOSLIJED!B:B,0)),MAX(REDOSLIJED!A:A)+1)</f>
        <v>45</v>
      </c>
      <c r="S58" s="9">
        <f>SUM($M$2:M58)</f>
        <v>5.0491666666666664</v>
      </c>
      <c r="T58" s="3">
        <f>PlanMasine[[#This Row],[Datum SAS]]-1</f>
        <v>45796</v>
      </c>
      <c r="U58">
        <f>WEEKDAY(PlanMasine[[#This Row],[ZAVRŠETAK MAŠINSKE]],2)</f>
        <v>1</v>
      </c>
      <c r="V58" s="3">
        <f>IF(WEEKDAY(PlanMasine[[#This Row],[Datum SAS]]-1,2)=7,PlanMasine[[#This Row],[Datum SAS]]-3,PlanMasine[[#This Row],[Datum SAS]]-1)</f>
        <v>45796</v>
      </c>
      <c r="W58">
        <f>WEEKNUM(PlanMasine[[#This Row],[Column2]],1)</f>
        <v>21</v>
      </c>
    </row>
    <row r="59" spans="1:31" x14ac:dyDescent="0.35">
      <c r="A59">
        <v>921690</v>
      </c>
      <c r="B59">
        <v>1</v>
      </c>
      <c r="C59">
        <v>921691</v>
      </c>
      <c r="D59" t="s">
        <v>1460</v>
      </c>
      <c r="E59">
        <v>20</v>
      </c>
      <c r="F59">
        <v>2</v>
      </c>
      <c r="G59">
        <v>0</v>
      </c>
      <c r="H59">
        <v>0</v>
      </c>
      <c r="I59" t="s">
        <v>24</v>
      </c>
      <c r="J59" t="s">
        <v>597</v>
      </c>
      <c r="K59" t="s">
        <v>1461</v>
      </c>
      <c r="L59" s="3">
        <v>45807</v>
      </c>
      <c r="M59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6.9444444444444441E-3</v>
      </c>
      <c r="N59" s="3">
        <v>45797</v>
      </c>
      <c r="O59" s="5">
        <f>IFERROR((PlanMasine[[#This Row],[Norma]]/PlanMasine[[#This Row],[Q]])*(PlanMasine[[#This Row],[Q]]/SUMIF(C:C,PlanMasine[[#This Row],[RN]],B:B)*PlanMasine[[#This Row],[KPLQ]]),0)</f>
        <v>10</v>
      </c>
      <c r="P59">
        <v>185726</v>
      </c>
      <c r="Q59">
        <f>COUNTIF(PROMJENA!A:A,PlanMasine[[#This Row],[KPL]]&amp;"-"&amp;PlanMasine[[#This Row],[RN]])</f>
        <v>0</v>
      </c>
      <c r="R59">
        <f>IFERROR(INDEX(REDOSLIJED!A:A,MATCH(PlanMasine[[#This Row],[KPL]],REDOSLIJED!B:B,0)),MAX(REDOSLIJED!A:A)+1)</f>
        <v>45</v>
      </c>
      <c r="S59" s="9">
        <f>SUM($M$2:M59)</f>
        <v>5.056111111111111</v>
      </c>
      <c r="T59" s="3">
        <f>PlanMasine[[#This Row],[Datum SAS]]-1</f>
        <v>45796</v>
      </c>
      <c r="U59">
        <f>WEEKDAY(PlanMasine[[#This Row],[ZAVRŠETAK MAŠINSKE]],2)</f>
        <v>1</v>
      </c>
      <c r="V59" s="3">
        <f>IF(WEEKDAY(PlanMasine[[#This Row],[Datum SAS]]-1,2)=7,PlanMasine[[#This Row],[Datum SAS]]-3,PlanMasine[[#This Row],[Datum SAS]]-1)</f>
        <v>45796</v>
      </c>
      <c r="W59">
        <f>WEEKNUM(PlanMasine[[#This Row],[Column2]],1)</f>
        <v>21</v>
      </c>
    </row>
    <row r="60" spans="1:31" x14ac:dyDescent="0.35">
      <c r="A60">
        <v>1012609</v>
      </c>
      <c r="B60">
        <v>3</v>
      </c>
      <c r="C60">
        <v>1012626</v>
      </c>
      <c r="D60" t="s">
        <v>592</v>
      </c>
      <c r="E60">
        <v>270</v>
      </c>
      <c r="F60">
        <v>9</v>
      </c>
      <c r="G60">
        <v>0</v>
      </c>
      <c r="H60">
        <v>0</v>
      </c>
      <c r="I60" t="s">
        <v>24</v>
      </c>
      <c r="J60" t="s">
        <v>597</v>
      </c>
      <c r="K60" t="s">
        <v>1849</v>
      </c>
      <c r="L60" s="3">
        <v>45811</v>
      </c>
      <c r="M60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0.1875</v>
      </c>
      <c r="N60" s="3">
        <v>45797</v>
      </c>
      <c r="O60" s="5">
        <f>IFERROR((PlanMasine[[#This Row],[Norma]]/PlanMasine[[#This Row],[Q]])*(PlanMasine[[#This Row],[Q]]/SUMIF(C:C,PlanMasine[[#This Row],[RN]],B:B)*PlanMasine[[#This Row],[KPLQ]]),0)</f>
        <v>270</v>
      </c>
      <c r="P60">
        <v>122098</v>
      </c>
      <c r="Q60">
        <f>COUNTIF(PROMJENA!A:A,PlanMasine[[#This Row],[KPL]]&amp;"-"&amp;PlanMasine[[#This Row],[RN]])</f>
        <v>0</v>
      </c>
      <c r="R60">
        <f>IFERROR(INDEX(REDOSLIJED!A:A,MATCH(PlanMasine[[#This Row],[KPL]],REDOSLIJED!B:B,0)),MAX(REDOSLIJED!A:A)+1)</f>
        <v>45</v>
      </c>
      <c r="S60" s="9">
        <f>SUM($M$2:M60)</f>
        <v>5.243611111111111</v>
      </c>
      <c r="T60" s="3">
        <f>PlanMasine[[#This Row],[Datum SAS]]-1</f>
        <v>45796</v>
      </c>
      <c r="U60">
        <f>WEEKDAY(PlanMasine[[#This Row],[ZAVRŠETAK MAŠINSKE]],2)</f>
        <v>1</v>
      </c>
      <c r="V60" s="3">
        <f>IF(WEEKDAY(PlanMasine[[#This Row],[Datum SAS]]-1,2)=7,PlanMasine[[#This Row],[Datum SAS]]-3,PlanMasine[[#This Row],[Datum SAS]]-1)</f>
        <v>45796</v>
      </c>
      <c r="W60">
        <f>WEEKNUM(PlanMasine[[#This Row],[Column2]],1)</f>
        <v>21</v>
      </c>
    </row>
    <row r="61" spans="1:31" x14ac:dyDescent="0.35">
      <c r="A61">
        <v>1012609</v>
      </c>
      <c r="B61">
        <v>3</v>
      </c>
      <c r="C61">
        <v>1012627</v>
      </c>
      <c r="D61" t="s">
        <v>1850</v>
      </c>
      <c r="E61">
        <v>135</v>
      </c>
      <c r="F61">
        <v>3</v>
      </c>
      <c r="G61">
        <v>0</v>
      </c>
      <c r="H61">
        <v>0</v>
      </c>
      <c r="I61" t="s">
        <v>24</v>
      </c>
      <c r="J61" t="s">
        <v>597</v>
      </c>
      <c r="K61" t="s">
        <v>1849</v>
      </c>
      <c r="L61" s="3">
        <v>45811</v>
      </c>
      <c r="M61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9.375E-2</v>
      </c>
      <c r="N61" s="3">
        <v>45797</v>
      </c>
      <c r="O61" s="5">
        <f>IFERROR((PlanMasine[[#This Row],[Norma]]/PlanMasine[[#This Row],[Q]])*(PlanMasine[[#This Row],[Q]]/SUMIF(C:C,PlanMasine[[#This Row],[RN]],B:B)*PlanMasine[[#This Row],[KPLQ]]),0)</f>
        <v>135</v>
      </c>
      <c r="P61">
        <v>122099</v>
      </c>
      <c r="Q61">
        <f>COUNTIF(PROMJENA!A:A,PlanMasine[[#This Row],[KPL]]&amp;"-"&amp;PlanMasine[[#This Row],[RN]])</f>
        <v>0</v>
      </c>
      <c r="R61">
        <f>IFERROR(INDEX(REDOSLIJED!A:A,MATCH(PlanMasine[[#This Row],[KPL]],REDOSLIJED!B:B,0)),MAX(REDOSLIJED!A:A)+1)</f>
        <v>45</v>
      </c>
      <c r="S61" s="9">
        <f>SUM($M$2:M61)</f>
        <v>5.337361111111111</v>
      </c>
      <c r="T61" s="3">
        <f>PlanMasine[[#This Row],[Datum SAS]]-1</f>
        <v>45796</v>
      </c>
      <c r="U61">
        <f>WEEKDAY(PlanMasine[[#This Row],[ZAVRŠETAK MAŠINSKE]],2)</f>
        <v>1</v>
      </c>
      <c r="V61" s="3">
        <f>IF(WEEKDAY(PlanMasine[[#This Row],[Datum SAS]]-1,2)=7,PlanMasine[[#This Row],[Datum SAS]]-3,PlanMasine[[#This Row],[Datum SAS]]-1)</f>
        <v>45796</v>
      </c>
      <c r="W61">
        <f>WEEKNUM(PlanMasine[[#This Row],[Column2]],1)</f>
        <v>21</v>
      </c>
    </row>
    <row r="62" spans="1:31" x14ac:dyDescent="0.35">
      <c r="A62">
        <v>1019890</v>
      </c>
      <c r="B62">
        <v>1</v>
      </c>
      <c r="C62">
        <v>1019899</v>
      </c>
      <c r="D62" t="s">
        <v>1765</v>
      </c>
      <c r="E62">
        <v>26</v>
      </c>
      <c r="F62">
        <v>2</v>
      </c>
      <c r="G62">
        <v>0</v>
      </c>
      <c r="H62">
        <v>0</v>
      </c>
      <c r="I62" t="s">
        <v>24</v>
      </c>
      <c r="J62" t="s">
        <v>597</v>
      </c>
      <c r="K62" t="s">
        <v>1851</v>
      </c>
      <c r="L62" s="3">
        <v>45818</v>
      </c>
      <c r="M62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9.0277777777777769E-3</v>
      </c>
      <c r="N62" s="3">
        <v>45798</v>
      </c>
      <c r="O62" s="5">
        <f>IFERROR((PlanMasine[[#This Row],[Norma]]/PlanMasine[[#This Row],[Q]])*(PlanMasine[[#This Row],[Q]]/SUMIF(C:C,PlanMasine[[#This Row],[RN]],B:B)*PlanMasine[[#This Row],[KPLQ]]),0)</f>
        <v>13</v>
      </c>
      <c r="P62">
        <v>182183</v>
      </c>
      <c r="Q62">
        <f>COUNTIF(PROMJENA!A:A,PlanMasine[[#This Row],[KPL]]&amp;"-"&amp;PlanMasine[[#This Row],[RN]])</f>
        <v>0</v>
      </c>
      <c r="R62">
        <f>IFERROR(INDEX(REDOSLIJED!A:A,MATCH(PlanMasine[[#This Row],[KPL]],REDOSLIJED!B:B,0)),MAX(REDOSLIJED!A:A)+1)</f>
        <v>45</v>
      </c>
      <c r="S62" s="9">
        <f>SUM($M$2:M62)</f>
        <v>5.3463888888888889</v>
      </c>
      <c r="T62" s="3">
        <f>PlanMasine[[#This Row],[Datum SAS]]-1</f>
        <v>45797</v>
      </c>
      <c r="U62">
        <f>WEEKDAY(PlanMasine[[#This Row],[ZAVRŠETAK MAŠINSKE]],2)</f>
        <v>2</v>
      </c>
      <c r="V62" s="3">
        <f>IF(WEEKDAY(PlanMasine[[#This Row],[Datum SAS]]-1,2)=7,PlanMasine[[#This Row],[Datum SAS]]-3,PlanMasine[[#This Row],[Datum SAS]]-1)</f>
        <v>45797</v>
      </c>
      <c r="W62">
        <f>WEEKNUM(PlanMasine[[#This Row],[Column2]],1)</f>
        <v>21</v>
      </c>
    </row>
    <row r="63" spans="1:31" x14ac:dyDescent="0.35">
      <c r="A63">
        <v>1019890</v>
      </c>
      <c r="B63">
        <v>1</v>
      </c>
      <c r="C63">
        <v>1019900</v>
      </c>
      <c r="D63" t="s">
        <v>1764</v>
      </c>
      <c r="E63">
        <v>30</v>
      </c>
      <c r="F63">
        <v>2</v>
      </c>
      <c r="G63">
        <v>0</v>
      </c>
      <c r="H63">
        <v>0</v>
      </c>
      <c r="I63" t="s">
        <v>24</v>
      </c>
      <c r="J63" t="s">
        <v>597</v>
      </c>
      <c r="K63" t="s">
        <v>1851</v>
      </c>
      <c r="L63" s="3">
        <v>45818</v>
      </c>
      <c r="M63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1.0416666666666666E-2</v>
      </c>
      <c r="N63" s="3">
        <v>45798</v>
      </c>
      <c r="O63" s="5">
        <f>IFERROR((PlanMasine[[#This Row],[Norma]]/PlanMasine[[#This Row],[Q]])*(PlanMasine[[#This Row],[Q]]/SUMIF(C:C,PlanMasine[[#This Row],[RN]],B:B)*PlanMasine[[#This Row],[KPLQ]]),0)</f>
        <v>15</v>
      </c>
      <c r="P63">
        <v>182184</v>
      </c>
      <c r="Q63">
        <f>COUNTIF(PROMJENA!A:A,PlanMasine[[#This Row],[KPL]]&amp;"-"&amp;PlanMasine[[#This Row],[RN]])</f>
        <v>0</v>
      </c>
      <c r="R63">
        <f>IFERROR(INDEX(REDOSLIJED!A:A,MATCH(PlanMasine[[#This Row],[KPL]],REDOSLIJED!B:B,0)),MAX(REDOSLIJED!A:A)+1)</f>
        <v>45</v>
      </c>
      <c r="S63" s="9">
        <f>SUM($M$2:M63)</f>
        <v>5.3568055555555558</v>
      </c>
      <c r="T63" s="3">
        <f>PlanMasine[[#This Row],[Datum SAS]]-1</f>
        <v>45797</v>
      </c>
      <c r="U63">
        <f>WEEKDAY(PlanMasine[[#This Row],[ZAVRŠETAK MAŠINSKE]],2)</f>
        <v>2</v>
      </c>
      <c r="V63" s="3">
        <f>IF(WEEKDAY(PlanMasine[[#This Row],[Datum SAS]]-1,2)=7,PlanMasine[[#This Row],[Datum SAS]]-3,PlanMasine[[#This Row],[Datum SAS]]-1)</f>
        <v>45797</v>
      </c>
      <c r="W63">
        <f>WEEKNUM(PlanMasine[[#This Row],[Column2]],1)</f>
        <v>21</v>
      </c>
    </row>
    <row r="64" spans="1:31" x14ac:dyDescent="0.35">
      <c r="A64">
        <v>1019890</v>
      </c>
      <c r="B64">
        <v>1</v>
      </c>
      <c r="C64">
        <v>1019898</v>
      </c>
      <c r="D64" t="s">
        <v>1763</v>
      </c>
      <c r="E64">
        <v>30</v>
      </c>
      <c r="F64">
        <v>2</v>
      </c>
      <c r="G64">
        <v>0</v>
      </c>
      <c r="H64">
        <v>0</v>
      </c>
      <c r="I64" t="s">
        <v>24</v>
      </c>
      <c r="J64" t="s">
        <v>597</v>
      </c>
      <c r="K64" t="s">
        <v>1851</v>
      </c>
      <c r="L64" s="3">
        <v>45818</v>
      </c>
      <c r="M64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1.0416666666666666E-2</v>
      </c>
      <c r="N64" s="3">
        <v>45798</v>
      </c>
      <c r="O64" s="5">
        <f>IFERROR((PlanMasine[[#This Row],[Norma]]/PlanMasine[[#This Row],[Q]])*(PlanMasine[[#This Row],[Q]]/SUMIF(C:C,PlanMasine[[#This Row],[RN]],B:B)*PlanMasine[[#This Row],[KPLQ]]),0)</f>
        <v>15</v>
      </c>
      <c r="P64">
        <v>182182</v>
      </c>
      <c r="Q64">
        <f>COUNTIF(PROMJENA!A:A,PlanMasine[[#This Row],[KPL]]&amp;"-"&amp;PlanMasine[[#This Row],[RN]])</f>
        <v>0</v>
      </c>
      <c r="R64">
        <f>IFERROR(INDEX(REDOSLIJED!A:A,MATCH(PlanMasine[[#This Row],[KPL]],REDOSLIJED!B:B,0)),MAX(REDOSLIJED!A:A)+1)</f>
        <v>45</v>
      </c>
      <c r="S64" s="9">
        <f>SUM($M$2:M64)</f>
        <v>5.3672222222222228</v>
      </c>
      <c r="T64" s="3">
        <f>PlanMasine[[#This Row],[Datum SAS]]-1</f>
        <v>45797</v>
      </c>
      <c r="U64">
        <f>WEEKDAY(PlanMasine[[#This Row],[ZAVRŠETAK MAŠINSKE]],2)</f>
        <v>2</v>
      </c>
      <c r="V64" s="3">
        <f>IF(WEEKDAY(PlanMasine[[#This Row],[Datum SAS]]-1,2)=7,PlanMasine[[#This Row],[Datum SAS]]-3,PlanMasine[[#This Row],[Datum SAS]]-1)</f>
        <v>45797</v>
      </c>
      <c r="W64">
        <f>WEEKNUM(PlanMasine[[#This Row],[Column2]],1)</f>
        <v>21</v>
      </c>
    </row>
    <row r="65" spans="1:23" x14ac:dyDescent="0.35">
      <c r="A65">
        <v>1019890</v>
      </c>
      <c r="B65">
        <v>1</v>
      </c>
      <c r="C65">
        <v>1019897</v>
      </c>
      <c r="D65" t="s">
        <v>1762</v>
      </c>
      <c r="E65">
        <v>30</v>
      </c>
      <c r="F65">
        <v>2</v>
      </c>
      <c r="G65">
        <v>0</v>
      </c>
      <c r="H65">
        <v>0</v>
      </c>
      <c r="I65" t="s">
        <v>24</v>
      </c>
      <c r="J65" t="s">
        <v>597</v>
      </c>
      <c r="K65" t="s">
        <v>1851</v>
      </c>
      <c r="L65" s="3">
        <v>45818</v>
      </c>
      <c r="M65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1.0416666666666666E-2</v>
      </c>
      <c r="N65" s="3">
        <v>45798</v>
      </c>
      <c r="O65" s="5">
        <f>IFERROR((PlanMasine[[#This Row],[Norma]]/PlanMasine[[#This Row],[Q]])*(PlanMasine[[#This Row],[Q]]/SUMIF(C:C,PlanMasine[[#This Row],[RN]],B:B)*PlanMasine[[#This Row],[KPLQ]]),0)</f>
        <v>15</v>
      </c>
      <c r="P65">
        <v>182181</v>
      </c>
      <c r="Q65">
        <f>COUNTIF(PROMJENA!A:A,PlanMasine[[#This Row],[KPL]]&amp;"-"&amp;PlanMasine[[#This Row],[RN]])</f>
        <v>0</v>
      </c>
      <c r="R65">
        <f>IFERROR(INDEX(REDOSLIJED!A:A,MATCH(PlanMasine[[#This Row],[KPL]],REDOSLIJED!B:B,0)),MAX(REDOSLIJED!A:A)+1)</f>
        <v>45</v>
      </c>
      <c r="S65" s="9">
        <f>SUM($M$2:M65)</f>
        <v>5.3776388888888897</v>
      </c>
      <c r="T65" s="3">
        <f>PlanMasine[[#This Row],[Datum SAS]]-1</f>
        <v>45797</v>
      </c>
      <c r="U65">
        <f>WEEKDAY(PlanMasine[[#This Row],[ZAVRŠETAK MAŠINSKE]],2)</f>
        <v>2</v>
      </c>
      <c r="V65" s="3">
        <f>IF(WEEKDAY(PlanMasine[[#This Row],[Datum SAS]]-1,2)=7,PlanMasine[[#This Row],[Datum SAS]]-3,PlanMasine[[#This Row],[Datum SAS]]-1)</f>
        <v>45797</v>
      </c>
      <c r="W65">
        <f>WEEKNUM(PlanMasine[[#This Row],[Column2]],1)</f>
        <v>21</v>
      </c>
    </row>
    <row r="66" spans="1:23" x14ac:dyDescent="0.35">
      <c r="A66">
        <v>1019890</v>
      </c>
      <c r="B66">
        <v>1</v>
      </c>
      <c r="C66">
        <v>1019892</v>
      </c>
      <c r="D66" t="s">
        <v>611</v>
      </c>
      <c r="E66">
        <v>30</v>
      </c>
      <c r="F66">
        <v>2</v>
      </c>
      <c r="G66">
        <v>0</v>
      </c>
      <c r="H66">
        <v>0</v>
      </c>
      <c r="I66" t="s">
        <v>24</v>
      </c>
      <c r="J66" t="s">
        <v>597</v>
      </c>
      <c r="K66" t="s">
        <v>1851</v>
      </c>
      <c r="L66" s="3">
        <v>45818</v>
      </c>
      <c r="M66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1.0416666666666666E-2</v>
      </c>
      <c r="N66" s="3">
        <v>45798</v>
      </c>
      <c r="O66" s="5">
        <f>IFERROR((PlanMasine[[#This Row],[Norma]]/PlanMasine[[#This Row],[Q]])*(PlanMasine[[#This Row],[Q]]/SUMIF(C:C,PlanMasine[[#This Row],[RN]],B:B)*PlanMasine[[#This Row],[KPLQ]]),0)</f>
        <v>15</v>
      </c>
      <c r="P66">
        <v>182176</v>
      </c>
      <c r="Q66">
        <f>COUNTIF(PROMJENA!A:A,PlanMasine[[#This Row],[KPL]]&amp;"-"&amp;PlanMasine[[#This Row],[RN]])</f>
        <v>0</v>
      </c>
      <c r="R66">
        <f>IFERROR(INDEX(REDOSLIJED!A:A,MATCH(PlanMasine[[#This Row],[KPL]],REDOSLIJED!B:B,0)),MAX(REDOSLIJED!A:A)+1)</f>
        <v>45</v>
      </c>
      <c r="S66" s="9">
        <f>SUM($M$2:M66)</f>
        <v>5.3880555555555567</v>
      </c>
      <c r="T66" s="3">
        <f>PlanMasine[[#This Row],[Datum SAS]]-1</f>
        <v>45797</v>
      </c>
      <c r="U66">
        <f>WEEKDAY(PlanMasine[[#This Row],[ZAVRŠETAK MAŠINSKE]],2)</f>
        <v>2</v>
      </c>
      <c r="V66" s="3">
        <f>IF(WEEKDAY(PlanMasine[[#This Row],[Datum SAS]]-1,2)=7,PlanMasine[[#This Row],[Datum SAS]]-3,PlanMasine[[#This Row],[Datum SAS]]-1)</f>
        <v>45797</v>
      </c>
      <c r="W66">
        <f>WEEKNUM(PlanMasine[[#This Row],[Column2]],1)</f>
        <v>21</v>
      </c>
    </row>
    <row r="67" spans="1:23" x14ac:dyDescent="0.35">
      <c r="A67">
        <v>1019891</v>
      </c>
      <c r="B67">
        <v>1</v>
      </c>
      <c r="C67">
        <v>1019898</v>
      </c>
      <c r="D67" t="s">
        <v>1763</v>
      </c>
      <c r="E67">
        <v>30</v>
      </c>
      <c r="F67">
        <v>2</v>
      </c>
      <c r="G67">
        <v>0</v>
      </c>
      <c r="H67">
        <v>0</v>
      </c>
      <c r="I67" t="s">
        <v>24</v>
      </c>
      <c r="J67" t="s">
        <v>597</v>
      </c>
      <c r="K67" t="s">
        <v>1851</v>
      </c>
      <c r="L67" s="3">
        <v>45818</v>
      </c>
      <c r="M67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1.0416666666666666E-2</v>
      </c>
      <c r="N67" s="3">
        <v>45798</v>
      </c>
      <c r="O67" s="5">
        <f>IFERROR((PlanMasine[[#This Row],[Norma]]/PlanMasine[[#This Row],[Q]])*(PlanMasine[[#This Row],[Q]]/SUMIF(C:C,PlanMasine[[#This Row],[RN]],B:B)*PlanMasine[[#This Row],[KPLQ]]),0)</f>
        <v>15</v>
      </c>
      <c r="P67">
        <v>182182</v>
      </c>
      <c r="Q67">
        <f>COUNTIF(PROMJENA!A:A,PlanMasine[[#This Row],[KPL]]&amp;"-"&amp;PlanMasine[[#This Row],[RN]])</f>
        <v>0</v>
      </c>
      <c r="R67">
        <f>IFERROR(INDEX(REDOSLIJED!A:A,MATCH(PlanMasine[[#This Row],[KPL]],REDOSLIJED!B:B,0)),MAX(REDOSLIJED!A:A)+1)</f>
        <v>45</v>
      </c>
      <c r="S67" s="9">
        <f>SUM($M$2:M67)</f>
        <v>5.3984722222222237</v>
      </c>
      <c r="T67" s="3">
        <f>PlanMasine[[#This Row],[Datum SAS]]-1</f>
        <v>45797</v>
      </c>
      <c r="U67">
        <f>WEEKDAY(PlanMasine[[#This Row],[ZAVRŠETAK MAŠINSKE]],2)</f>
        <v>2</v>
      </c>
      <c r="V67" s="3">
        <f>IF(WEEKDAY(PlanMasine[[#This Row],[Datum SAS]]-1,2)=7,PlanMasine[[#This Row],[Datum SAS]]-3,PlanMasine[[#This Row],[Datum SAS]]-1)</f>
        <v>45797</v>
      </c>
      <c r="W67">
        <f>WEEKNUM(PlanMasine[[#This Row],[Column2]],1)</f>
        <v>21</v>
      </c>
    </row>
    <row r="68" spans="1:23" x14ac:dyDescent="0.35">
      <c r="A68">
        <v>1019891</v>
      </c>
      <c r="B68">
        <v>1</v>
      </c>
      <c r="C68">
        <v>1019899</v>
      </c>
      <c r="D68" t="s">
        <v>1765</v>
      </c>
      <c r="E68">
        <v>26</v>
      </c>
      <c r="F68">
        <v>2</v>
      </c>
      <c r="G68">
        <v>0</v>
      </c>
      <c r="H68">
        <v>0</v>
      </c>
      <c r="I68" t="s">
        <v>24</v>
      </c>
      <c r="J68" t="s">
        <v>597</v>
      </c>
      <c r="K68" t="s">
        <v>1851</v>
      </c>
      <c r="L68" s="3">
        <v>45818</v>
      </c>
      <c r="M68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9.0277777777777769E-3</v>
      </c>
      <c r="N68" s="3">
        <v>45798</v>
      </c>
      <c r="O68" s="5">
        <f>IFERROR((PlanMasine[[#This Row],[Norma]]/PlanMasine[[#This Row],[Q]])*(PlanMasine[[#This Row],[Q]]/SUMIF(C:C,PlanMasine[[#This Row],[RN]],B:B)*PlanMasine[[#This Row],[KPLQ]]),0)</f>
        <v>13</v>
      </c>
      <c r="P68">
        <v>182183</v>
      </c>
      <c r="Q68">
        <f>COUNTIF(PROMJENA!A:A,PlanMasine[[#This Row],[KPL]]&amp;"-"&amp;PlanMasine[[#This Row],[RN]])</f>
        <v>0</v>
      </c>
      <c r="R68">
        <f>IFERROR(INDEX(REDOSLIJED!A:A,MATCH(PlanMasine[[#This Row],[KPL]],REDOSLIJED!B:B,0)),MAX(REDOSLIJED!A:A)+1)</f>
        <v>45</v>
      </c>
      <c r="S68" s="9">
        <f>SUM($M$2:M68)</f>
        <v>5.4075000000000015</v>
      </c>
      <c r="T68" s="3">
        <f>PlanMasine[[#This Row],[Datum SAS]]-1</f>
        <v>45797</v>
      </c>
      <c r="U68">
        <f>WEEKDAY(PlanMasine[[#This Row],[ZAVRŠETAK MAŠINSKE]],2)</f>
        <v>2</v>
      </c>
      <c r="V68" s="3">
        <f>IF(WEEKDAY(PlanMasine[[#This Row],[Datum SAS]]-1,2)=7,PlanMasine[[#This Row],[Datum SAS]]-3,PlanMasine[[#This Row],[Datum SAS]]-1)</f>
        <v>45797</v>
      </c>
      <c r="W68">
        <f>WEEKNUM(PlanMasine[[#This Row],[Column2]],1)</f>
        <v>21</v>
      </c>
    </row>
    <row r="69" spans="1:23" x14ac:dyDescent="0.35">
      <c r="A69">
        <v>1019891</v>
      </c>
      <c r="B69">
        <v>1</v>
      </c>
      <c r="C69">
        <v>1019900</v>
      </c>
      <c r="D69" t="s">
        <v>1764</v>
      </c>
      <c r="E69">
        <v>30</v>
      </c>
      <c r="F69">
        <v>2</v>
      </c>
      <c r="G69">
        <v>0</v>
      </c>
      <c r="H69">
        <v>0</v>
      </c>
      <c r="I69" t="s">
        <v>24</v>
      </c>
      <c r="J69" t="s">
        <v>597</v>
      </c>
      <c r="K69" t="s">
        <v>1851</v>
      </c>
      <c r="L69" s="3">
        <v>45818</v>
      </c>
      <c r="M69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1.0416666666666666E-2</v>
      </c>
      <c r="N69" s="3">
        <v>45798</v>
      </c>
      <c r="O69" s="5">
        <f>IFERROR((PlanMasine[[#This Row],[Norma]]/PlanMasine[[#This Row],[Q]])*(PlanMasine[[#This Row],[Q]]/SUMIF(C:C,PlanMasine[[#This Row],[RN]],B:B)*PlanMasine[[#This Row],[KPLQ]]),0)</f>
        <v>15</v>
      </c>
      <c r="P69">
        <v>182184</v>
      </c>
      <c r="Q69">
        <f>COUNTIF(PROMJENA!A:A,PlanMasine[[#This Row],[KPL]]&amp;"-"&amp;PlanMasine[[#This Row],[RN]])</f>
        <v>0</v>
      </c>
      <c r="R69">
        <f>IFERROR(INDEX(REDOSLIJED!A:A,MATCH(PlanMasine[[#This Row],[KPL]],REDOSLIJED!B:B,0)),MAX(REDOSLIJED!A:A)+1)</f>
        <v>45</v>
      </c>
      <c r="S69" s="9">
        <f>SUM($M$2:M69)</f>
        <v>5.4179166666666685</v>
      </c>
      <c r="T69" s="3">
        <f>PlanMasine[[#This Row],[Datum SAS]]-1</f>
        <v>45797</v>
      </c>
      <c r="U69">
        <f>WEEKDAY(PlanMasine[[#This Row],[ZAVRŠETAK MAŠINSKE]],2)</f>
        <v>2</v>
      </c>
      <c r="V69" s="3">
        <f>IF(WEEKDAY(PlanMasine[[#This Row],[Datum SAS]]-1,2)=7,PlanMasine[[#This Row],[Datum SAS]]-3,PlanMasine[[#This Row],[Datum SAS]]-1)</f>
        <v>45797</v>
      </c>
      <c r="W69">
        <f>WEEKNUM(PlanMasine[[#This Row],[Column2]],1)</f>
        <v>21</v>
      </c>
    </row>
    <row r="70" spans="1:23" x14ac:dyDescent="0.35">
      <c r="A70">
        <v>1019891</v>
      </c>
      <c r="B70">
        <v>1</v>
      </c>
      <c r="C70">
        <v>1019892</v>
      </c>
      <c r="D70" t="s">
        <v>611</v>
      </c>
      <c r="E70">
        <v>30</v>
      </c>
      <c r="F70">
        <v>2</v>
      </c>
      <c r="G70">
        <v>0</v>
      </c>
      <c r="H70">
        <v>0</v>
      </c>
      <c r="I70" t="s">
        <v>24</v>
      </c>
      <c r="J70" t="s">
        <v>597</v>
      </c>
      <c r="K70" t="s">
        <v>1851</v>
      </c>
      <c r="L70" s="3">
        <v>45818</v>
      </c>
      <c r="M70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1.0416666666666666E-2</v>
      </c>
      <c r="N70" s="3">
        <v>45798</v>
      </c>
      <c r="O70" s="5">
        <f>IFERROR((PlanMasine[[#This Row],[Norma]]/PlanMasine[[#This Row],[Q]])*(PlanMasine[[#This Row],[Q]]/SUMIF(C:C,PlanMasine[[#This Row],[RN]],B:B)*PlanMasine[[#This Row],[KPLQ]]),0)</f>
        <v>15</v>
      </c>
      <c r="P70">
        <v>182176</v>
      </c>
      <c r="Q70">
        <f>COUNTIF(PROMJENA!A:A,PlanMasine[[#This Row],[KPL]]&amp;"-"&amp;PlanMasine[[#This Row],[RN]])</f>
        <v>0</v>
      </c>
      <c r="R70">
        <f>IFERROR(INDEX(REDOSLIJED!A:A,MATCH(PlanMasine[[#This Row],[KPL]],REDOSLIJED!B:B,0)),MAX(REDOSLIJED!A:A)+1)</f>
        <v>45</v>
      </c>
      <c r="S70" s="9">
        <f>SUM($M$2:M70)</f>
        <v>5.4283333333333355</v>
      </c>
      <c r="T70" s="3">
        <f>PlanMasine[[#This Row],[Datum SAS]]-1</f>
        <v>45797</v>
      </c>
      <c r="U70">
        <f>WEEKDAY(PlanMasine[[#This Row],[ZAVRŠETAK MAŠINSKE]],2)</f>
        <v>2</v>
      </c>
      <c r="V70" s="3">
        <f>IF(WEEKDAY(PlanMasine[[#This Row],[Datum SAS]]-1,2)=7,PlanMasine[[#This Row],[Datum SAS]]-3,PlanMasine[[#This Row],[Datum SAS]]-1)</f>
        <v>45797</v>
      </c>
      <c r="W70">
        <f>WEEKNUM(PlanMasine[[#This Row],[Column2]],1)</f>
        <v>21</v>
      </c>
    </row>
    <row r="71" spans="1:23" x14ac:dyDescent="0.35">
      <c r="A71">
        <v>1019891</v>
      </c>
      <c r="B71">
        <v>1</v>
      </c>
      <c r="C71">
        <v>1019897</v>
      </c>
      <c r="D71" t="s">
        <v>1762</v>
      </c>
      <c r="E71">
        <v>30</v>
      </c>
      <c r="F71">
        <v>2</v>
      </c>
      <c r="G71">
        <v>0</v>
      </c>
      <c r="H71">
        <v>0</v>
      </c>
      <c r="I71" t="s">
        <v>24</v>
      </c>
      <c r="J71" t="s">
        <v>597</v>
      </c>
      <c r="K71" t="s">
        <v>1851</v>
      </c>
      <c r="L71" s="3">
        <v>45818</v>
      </c>
      <c r="M71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1.0416666666666666E-2</v>
      </c>
      <c r="N71" s="3">
        <v>45798</v>
      </c>
      <c r="O71" s="5">
        <f>IFERROR((PlanMasine[[#This Row],[Norma]]/PlanMasine[[#This Row],[Q]])*(PlanMasine[[#This Row],[Q]]/SUMIF(C:C,PlanMasine[[#This Row],[RN]],B:B)*PlanMasine[[#This Row],[KPLQ]]),0)</f>
        <v>15</v>
      </c>
      <c r="P71">
        <v>182181</v>
      </c>
      <c r="Q71">
        <f>COUNTIF(PROMJENA!A:A,PlanMasine[[#This Row],[KPL]]&amp;"-"&amp;PlanMasine[[#This Row],[RN]])</f>
        <v>0</v>
      </c>
      <c r="R71">
        <f>IFERROR(INDEX(REDOSLIJED!A:A,MATCH(PlanMasine[[#This Row],[KPL]],REDOSLIJED!B:B,0)),MAX(REDOSLIJED!A:A)+1)</f>
        <v>45</v>
      </c>
      <c r="S71" s="9">
        <f>SUM($M$2:M71)</f>
        <v>5.4387500000000024</v>
      </c>
      <c r="T71" s="3">
        <f>PlanMasine[[#This Row],[Datum SAS]]-1</f>
        <v>45797</v>
      </c>
      <c r="U71">
        <f>WEEKDAY(PlanMasine[[#This Row],[ZAVRŠETAK MAŠINSKE]],2)</f>
        <v>2</v>
      </c>
      <c r="V71" s="3">
        <f>IF(WEEKDAY(PlanMasine[[#This Row],[Datum SAS]]-1,2)=7,PlanMasine[[#This Row],[Datum SAS]]-3,PlanMasine[[#This Row],[Datum SAS]]-1)</f>
        <v>45797</v>
      </c>
      <c r="W71">
        <f>WEEKNUM(PlanMasine[[#This Row],[Column2]],1)</f>
        <v>21</v>
      </c>
    </row>
    <row r="72" spans="1:23" x14ac:dyDescent="0.35">
      <c r="A72">
        <v>1021836</v>
      </c>
      <c r="B72">
        <v>2</v>
      </c>
      <c r="C72">
        <v>1021837</v>
      </c>
      <c r="D72" t="s">
        <v>1852</v>
      </c>
      <c r="E72">
        <v>60</v>
      </c>
      <c r="F72">
        <v>2</v>
      </c>
      <c r="G72">
        <v>0</v>
      </c>
      <c r="H72">
        <v>0</v>
      </c>
      <c r="I72" t="s">
        <v>24</v>
      </c>
      <c r="J72" t="s">
        <v>597</v>
      </c>
      <c r="K72" t="s">
        <v>1853</v>
      </c>
      <c r="L72" s="3">
        <v>45821</v>
      </c>
      <c r="M72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4.1666666666666664E-2</v>
      </c>
      <c r="N72" s="3">
        <v>45798</v>
      </c>
      <c r="O72" s="5">
        <f>IFERROR((PlanMasine[[#This Row],[Norma]]/PlanMasine[[#This Row],[Q]])*(PlanMasine[[#This Row],[Q]]/SUMIF(C:C,PlanMasine[[#This Row],[RN]],B:B)*PlanMasine[[#This Row],[KPLQ]]),0)</f>
        <v>60</v>
      </c>
      <c r="P72">
        <v>197017</v>
      </c>
      <c r="Q72">
        <f>COUNTIF(PROMJENA!A:A,PlanMasine[[#This Row],[KPL]]&amp;"-"&amp;PlanMasine[[#This Row],[RN]])</f>
        <v>0</v>
      </c>
      <c r="R72">
        <f>IFERROR(INDEX(REDOSLIJED!A:A,MATCH(PlanMasine[[#This Row],[KPL]],REDOSLIJED!B:B,0)),MAX(REDOSLIJED!A:A)+1)</f>
        <v>45</v>
      </c>
      <c r="S72" s="9">
        <f>SUM($M$2:M72)</f>
        <v>5.4804166666666694</v>
      </c>
      <c r="T72" s="3">
        <f>PlanMasine[[#This Row],[Datum SAS]]-1</f>
        <v>45797</v>
      </c>
      <c r="U72">
        <f>WEEKDAY(PlanMasine[[#This Row],[ZAVRŠETAK MAŠINSKE]],2)</f>
        <v>2</v>
      </c>
      <c r="V72" s="3">
        <f>IF(WEEKDAY(PlanMasine[[#This Row],[Datum SAS]]-1,2)=7,PlanMasine[[#This Row],[Datum SAS]]-3,PlanMasine[[#This Row],[Datum SAS]]-1)</f>
        <v>45797</v>
      </c>
      <c r="W72">
        <f>WEEKNUM(PlanMasine[[#This Row],[Column2]],1)</f>
        <v>21</v>
      </c>
    </row>
    <row r="73" spans="1:23" x14ac:dyDescent="0.35">
      <c r="A73">
        <v>1027028</v>
      </c>
      <c r="B73">
        <v>1</v>
      </c>
      <c r="C73">
        <v>1027044</v>
      </c>
      <c r="D73" t="s">
        <v>1773</v>
      </c>
      <c r="E73">
        <v>45</v>
      </c>
      <c r="F73">
        <v>3</v>
      </c>
      <c r="G73">
        <v>0</v>
      </c>
      <c r="H73">
        <v>0</v>
      </c>
      <c r="I73" t="s">
        <v>24</v>
      </c>
      <c r="J73" t="s">
        <v>597</v>
      </c>
      <c r="K73" t="s">
        <v>1854</v>
      </c>
      <c r="L73" s="3">
        <v>45821</v>
      </c>
      <c r="M73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1.0416666666666666E-2</v>
      </c>
      <c r="N73" s="3">
        <v>45798</v>
      </c>
      <c r="O73" s="5">
        <f>IFERROR((PlanMasine[[#This Row],[Norma]]/PlanMasine[[#This Row],[Q]])*(PlanMasine[[#This Row],[Q]]/SUMIF(C:C,PlanMasine[[#This Row],[RN]],B:B)*PlanMasine[[#This Row],[KPLQ]]),0)</f>
        <v>15</v>
      </c>
      <c r="P73">
        <v>137928</v>
      </c>
      <c r="Q73">
        <f>COUNTIF(PROMJENA!A:A,PlanMasine[[#This Row],[KPL]]&amp;"-"&amp;PlanMasine[[#This Row],[RN]])</f>
        <v>0</v>
      </c>
      <c r="R73">
        <f>IFERROR(INDEX(REDOSLIJED!A:A,MATCH(PlanMasine[[#This Row],[KPL]],REDOSLIJED!B:B,0)),MAX(REDOSLIJED!A:A)+1)</f>
        <v>45</v>
      </c>
      <c r="S73" s="9">
        <f>SUM($M$2:M73)</f>
        <v>5.4908333333333363</v>
      </c>
      <c r="T73" s="3">
        <f>PlanMasine[[#This Row],[Datum SAS]]-1</f>
        <v>45797</v>
      </c>
      <c r="U73">
        <f>WEEKDAY(PlanMasine[[#This Row],[ZAVRŠETAK MAŠINSKE]],2)</f>
        <v>2</v>
      </c>
      <c r="V73" s="3">
        <f>IF(WEEKDAY(PlanMasine[[#This Row],[Datum SAS]]-1,2)=7,PlanMasine[[#This Row],[Datum SAS]]-3,PlanMasine[[#This Row],[Datum SAS]]-1)</f>
        <v>45797</v>
      </c>
      <c r="W73">
        <f>WEEKNUM(PlanMasine[[#This Row],[Column2]],1)</f>
        <v>21</v>
      </c>
    </row>
    <row r="74" spans="1:23" x14ac:dyDescent="0.35">
      <c r="A74">
        <v>1027028</v>
      </c>
      <c r="B74">
        <v>1</v>
      </c>
      <c r="C74">
        <v>1027039</v>
      </c>
      <c r="D74" t="s">
        <v>947</v>
      </c>
      <c r="E74">
        <v>60</v>
      </c>
      <c r="F74">
        <v>3</v>
      </c>
      <c r="G74">
        <v>0</v>
      </c>
      <c r="H74">
        <v>0</v>
      </c>
      <c r="I74" t="s">
        <v>24</v>
      </c>
      <c r="J74" t="s">
        <v>597</v>
      </c>
      <c r="K74" t="s">
        <v>1854</v>
      </c>
      <c r="L74" s="3">
        <v>45821</v>
      </c>
      <c r="M74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1.3888888888888888E-2</v>
      </c>
      <c r="N74" s="3">
        <v>45798</v>
      </c>
      <c r="O74" s="5">
        <f>IFERROR((PlanMasine[[#This Row],[Norma]]/PlanMasine[[#This Row],[Q]])*(PlanMasine[[#This Row],[Q]]/SUMIF(C:C,PlanMasine[[#This Row],[RN]],B:B)*PlanMasine[[#This Row],[KPLQ]]),0)</f>
        <v>20</v>
      </c>
      <c r="P74">
        <v>137923</v>
      </c>
      <c r="Q74">
        <f>COUNTIF(PROMJENA!A:A,PlanMasine[[#This Row],[KPL]]&amp;"-"&amp;PlanMasine[[#This Row],[RN]])</f>
        <v>0</v>
      </c>
      <c r="R74">
        <f>IFERROR(INDEX(REDOSLIJED!A:A,MATCH(PlanMasine[[#This Row],[KPL]],REDOSLIJED!B:B,0)),MAX(REDOSLIJED!A:A)+1)</f>
        <v>45</v>
      </c>
      <c r="S74" s="9">
        <f>SUM($M$2:M74)</f>
        <v>5.5047222222222256</v>
      </c>
      <c r="T74" s="3">
        <f>PlanMasine[[#This Row],[Datum SAS]]-1</f>
        <v>45797</v>
      </c>
      <c r="U74">
        <f>WEEKDAY(PlanMasine[[#This Row],[ZAVRŠETAK MAŠINSKE]],2)</f>
        <v>2</v>
      </c>
      <c r="V74" s="3">
        <f>IF(WEEKDAY(PlanMasine[[#This Row],[Datum SAS]]-1,2)=7,PlanMasine[[#This Row],[Datum SAS]]-3,PlanMasine[[#This Row],[Datum SAS]]-1)</f>
        <v>45797</v>
      </c>
      <c r="W74">
        <f>WEEKNUM(PlanMasine[[#This Row],[Column2]],1)</f>
        <v>21</v>
      </c>
    </row>
    <row r="75" spans="1:23" x14ac:dyDescent="0.35">
      <c r="A75">
        <v>1027028</v>
      </c>
      <c r="B75">
        <v>1</v>
      </c>
      <c r="C75">
        <v>1027040</v>
      </c>
      <c r="D75" t="s">
        <v>1775</v>
      </c>
      <c r="E75">
        <v>39</v>
      </c>
      <c r="F75">
        <v>3</v>
      </c>
      <c r="G75">
        <v>0</v>
      </c>
      <c r="H75">
        <v>0</v>
      </c>
      <c r="I75" t="s">
        <v>24</v>
      </c>
      <c r="J75" t="s">
        <v>597</v>
      </c>
      <c r="K75" t="s">
        <v>1854</v>
      </c>
      <c r="L75" s="3">
        <v>45821</v>
      </c>
      <c r="M75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9.0277777777777787E-3</v>
      </c>
      <c r="N75" s="3">
        <v>45798</v>
      </c>
      <c r="O75" s="5">
        <f>IFERROR((PlanMasine[[#This Row],[Norma]]/PlanMasine[[#This Row],[Q]])*(PlanMasine[[#This Row],[Q]]/SUMIF(C:C,PlanMasine[[#This Row],[RN]],B:B)*PlanMasine[[#This Row],[KPLQ]]),0)</f>
        <v>13</v>
      </c>
      <c r="P75">
        <v>137924</v>
      </c>
      <c r="Q75">
        <f>COUNTIF(PROMJENA!A:A,PlanMasine[[#This Row],[KPL]]&amp;"-"&amp;PlanMasine[[#This Row],[RN]])</f>
        <v>0</v>
      </c>
      <c r="R75">
        <f>IFERROR(INDEX(REDOSLIJED!A:A,MATCH(PlanMasine[[#This Row],[KPL]],REDOSLIJED!B:B,0)),MAX(REDOSLIJED!A:A)+1)</f>
        <v>45</v>
      </c>
      <c r="S75" s="9">
        <f>SUM($M$2:M75)</f>
        <v>5.5137500000000035</v>
      </c>
      <c r="T75" s="3">
        <f>PlanMasine[[#This Row],[Datum SAS]]-1</f>
        <v>45797</v>
      </c>
      <c r="U75">
        <f>WEEKDAY(PlanMasine[[#This Row],[ZAVRŠETAK MAŠINSKE]],2)</f>
        <v>2</v>
      </c>
      <c r="V75" s="3">
        <f>IF(WEEKDAY(PlanMasine[[#This Row],[Datum SAS]]-1,2)=7,PlanMasine[[#This Row],[Datum SAS]]-3,PlanMasine[[#This Row],[Datum SAS]]-1)</f>
        <v>45797</v>
      </c>
      <c r="W75">
        <f>WEEKNUM(PlanMasine[[#This Row],[Column2]],1)</f>
        <v>21</v>
      </c>
    </row>
    <row r="76" spans="1:23" x14ac:dyDescent="0.35">
      <c r="A76">
        <v>1027028</v>
      </c>
      <c r="B76">
        <v>1</v>
      </c>
      <c r="C76">
        <v>1027041</v>
      </c>
      <c r="D76" t="s">
        <v>1776</v>
      </c>
      <c r="E76">
        <v>45</v>
      </c>
      <c r="F76">
        <v>3</v>
      </c>
      <c r="G76">
        <v>0</v>
      </c>
      <c r="H76">
        <v>0</v>
      </c>
      <c r="I76" t="s">
        <v>24</v>
      </c>
      <c r="J76" t="s">
        <v>597</v>
      </c>
      <c r="K76" t="s">
        <v>1854</v>
      </c>
      <c r="L76" s="3">
        <v>45821</v>
      </c>
      <c r="M76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1.0416666666666666E-2</v>
      </c>
      <c r="N76" s="3">
        <v>45798</v>
      </c>
      <c r="O76" s="5">
        <f>IFERROR((PlanMasine[[#This Row],[Norma]]/PlanMasine[[#This Row],[Q]])*(PlanMasine[[#This Row],[Q]]/SUMIF(C:C,PlanMasine[[#This Row],[RN]],B:B)*PlanMasine[[#This Row],[KPLQ]]),0)</f>
        <v>15</v>
      </c>
      <c r="P76">
        <v>137925</v>
      </c>
      <c r="Q76">
        <f>COUNTIF(PROMJENA!A:A,PlanMasine[[#This Row],[KPL]]&amp;"-"&amp;PlanMasine[[#This Row],[RN]])</f>
        <v>0</v>
      </c>
      <c r="R76">
        <f>IFERROR(INDEX(REDOSLIJED!A:A,MATCH(PlanMasine[[#This Row],[KPL]],REDOSLIJED!B:B,0)),MAX(REDOSLIJED!A:A)+1)</f>
        <v>45</v>
      </c>
      <c r="S76" s="9">
        <f>SUM($M$2:M76)</f>
        <v>5.5241666666666704</v>
      </c>
      <c r="T76" s="3">
        <f>PlanMasine[[#This Row],[Datum SAS]]-1</f>
        <v>45797</v>
      </c>
      <c r="U76">
        <f>WEEKDAY(PlanMasine[[#This Row],[ZAVRŠETAK MAŠINSKE]],2)</f>
        <v>2</v>
      </c>
      <c r="V76" s="3">
        <f>IF(WEEKDAY(PlanMasine[[#This Row],[Datum SAS]]-1,2)=7,PlanMasine[[#This Row],[Datum SAS]]-3,PlanMasine[[#This Row],[Datum SAS]]-1)</f>
        <v>45797</v>
      </c>
      <c r="W76">
        <f>WEEKNUM(PlanMasine[[#This Row],[Column2]],1)</f>
        <v>21</v>
      </c>
    </row>
    <row r="77" spans="1:23" x14ac:dyDescent="0.35">
      <c r="A77">
        <v>1027028</v>
      </c>
      <c r="B77">
        <v>1</v>
      </c>
      <c r="C77">
        <v>1027055</v>
      </c>
      <c r="D77" t="s">
        <v>1487</v>
      </c>
      <c r="E77">
        <v>210</v>
      </c>
      <c r="F77">
        <v>6</v>
      </c>
      <c r="G77">
        <v>0</v>
      </c>
      <c r="H77">
        <v>0</v>
      </c>
      <c r="I77" t="s">
        <v>24</v>
      </c>
      <c r="J77" t="s">
        <v>597</v>
      </c>
      <c r="K77" t="s">
        <v>1854</v>
      </c>
      <c r="L77" s="3">
        <v>45821</v>
      </c>
      <c r="M77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4.8611111111111112E-2</v>
      </c>
      <c r="N77" s="3">
        <v>45798</v>
      </c>
      <c r="O77" s="5">
        <f>IFERROR((PlanMasine[[#This Row],[Norma]]/PlanMasine[[#This Row],[Q]])*(PlanMasine[[#This Row],[Q]]/SUMIF(C:C,PlanMasine[[#This Row],[RN]],B:B)*PlanMasine[[#This Row],[KPLQ]]),0)</f>
        <v>70</v>
      </c>
      <c r="P77">
        <v>137939</v>
      </c>
      <c r="Q77">
        <f>COUNTIF(PROMJENA!A:A,PlanMasine[[#This Row],[KPL]]&amp;"-"&amp;PlanMasine[[#This Row],[RN]])</f>
        <v>0</v>
      </c>
      <c r="R77">
        <f>IFERROR(INDEX(REDOSLIJED!A:A,MATCH(PlanMasine[[#This Row],[KPL]],REDOSLIJED!B:B,0)),MAX(REDOSLIJED!A:A)+1)</f>
        <v>45</v>
      </c>
      <c r="S77" s="9">
        <f>SUM($M$2:M77)</f>
        <v>5.5727777777777812</v>
      </c>
      <c r="T77" s="3">
        <f>PlanMasine[[#This Row],[Datum SAS]]-1</f>
        <v>45797</v>
      </c>
      <c r="U77">
        <f>WEEKDAY(PlanMasine[[#This Row],[ZAVRŠETAK MAŠINSKE]],2)</f>
        <v>2</v>
      </c>
      <c r="V77" s="3">
        <f>IF(WEEKDAY(PlanMasine[[#This Row],[Datum SAS]]-1,2)=7,PlanMasine[[#This Row],[Datum SAS]]-3,PlanMasine[[#This Row],[Datum SAS]]-1)</f>
        <v>45797</v>
      </c>
      <c r="W77">
        <f>WEEKNUM(PlanMasine[[#This Row],[Column2]],1)</f>
        <v>21</v>
      </c>
    </row>
    <row r="78" spans="1:23" x14ac:dyDescent="0.35">
      <c r="A78">
        <v>1027028</v>
      </c>
      <c r="B78">
        <v>1</v>
      </c>
      <c r="C78">
        <v>1027056</v>
      </c>
      <c r="D78" t="s">
        <v>1033</v>
      </c>
      <c r="E78">
        <v>180</v>
      </c>
      <c r="F78">
        <v>6</v>
      </c>
      <c r="G78">
        <v>0</v>
      </c>
      <c r="H78">
        <v>0</v>
      </c>
      <c r="I78" t="s">
        <v>24</v>
      </c>
      <c r="J78" t="s">
        <v>597</v>
      </c>
      <c r="K78" t="s">
        <v>1854</v>
      </c>
      <c r="L78" s="3">
        <v>45821</v>
      </c>
      <c r="M78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4.1666666666666664E-2</v>
      </c>
      <c r="N78" s="3">
        <v>45798</v>
      </c>
      <c r="O78" s="5">
        <f>IFERROR((PlanMasine[[#This Row],[Norma]]/PlanMasine[[#This Row],[Q]])*(PlanMasine[[#This Row],[Q]]/SUMIF(C:C,PlanMasine[[#This Row],[RN]],B:B)*PlanMasine[[#This Row],[KPLQ]]),0)</f>
        <v>60</v>
      </c>
      <c r="P78">
        <v>137940</v>
      </c>
      <c r="Q78">
        <f>COUNTIF(PROMJENA!A:A,PlanMasine[[#This Row],[KPL]]&amp;"-"&amp;PlanMasine[[#This Row],[RN]])</f>
        <v>0</v>
      </c>
      <c r="R78">
        <f>IFERROR(INDEX(REDOSLIJED!A:A,MATCH(PlanMasine[[#This Row],[KPL]],REDOSLIJED!B:B,0)),MAX(REDOSLIJED!A:A)+1)</f>
        <v>45</v>
      </c>
      <c r="S78" s="9">
        <f>SUM($M$2:M78)</f>
        <v>5.6144444444444481</v>
      </c>
      <c r="T78" s="3">
        <f>PlanMasine[[#This Row],[Datum SAS]]-1</f>
        <v>45797</v>
      </c>
      <c r="U78">
        <f>WEEKDAY(PlanMasine[[#This Row],[ZAVRŠETAK MAŠINSKE]],2)</f>
        <v>2</v>
      </c>
      <c r="V78" s="3">
        <f>IF(WEEKDAY(PlanMasine[[#This Row],[Datum SAS]]-1,2)=7,PlanMasine[[#This Row],[Datum SAS]]-3,PlanMasine[[#This Row],[Datum SAS]]-1)</f>
        <v>45797</v>
      </c>
      <c r="W78">
        <f>WEEKNUM(PlanMasine[[#This Row],[Column2]],1)</f>
        <v>21</v>
      </c>
    </row>
    <row r="79" spans="1:23" x14ac:dyDescent="0.35">
      <c r="A79">
        <v>1027028</v>
      </c>
      <c r="B79">
        <v>1</v>
      </c>
      <c r="C79">
        <v>1027038</v>
      </c>
      <c r="D79" t="s">
        <v>1774</v>
      </c>
      <c r="E79">
        <v>45</v>
      </c>
      <c r="F79">
        <v>3</v>
      </c>
      <c r="G79">
        <v>0</v>
      </c>
      <c r="H79">
        <v>0</v>
      </c>
      <c r="I79" t="s">
        <v>24</v>
      </c>
      <c r="J79" t="s">
        <v>597</v>
      </c>
      <c r="K79" t="s">
        <v>1854</v>
      </c>
      <c r="L79" s="3">
        <v>45821</v>
      </c>
      <c r="M79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1.0416666666666666E-2</v>
      </c>
      <c r="N79" s="3">
        <v>45798</v>
      </c>
      <c r="O79" s="5">
        <f>IFERROR((PlanMasine[[#This Row],[Norma]]/PlanMasine[[#This Row],[Q]])*(PlanMasine[[#This Row],[Q]]/SUMIF(C:C,PlanMasine[[#This Row],[RN]],B:B)*PlanMasine[[#This Row],[KPLQ]]),0)</f>
        <v>15</v>
      </c>
      <c r="P79">
        <v>137922</v>
      </c>
      <c r="Q79">
        <f>COUNTIF(PROMJENA!A:A,PlanMasine[[#This Row],[KPL]]&amp;"-"&amp;PlanMasine[[#This Row],[RN]])</f>
        <v>0</v>
      </c>
      <c r="R79">
        <f>IFERROR(INDEX(REDOSLIJED!A:A,MATCH(PlanMasine[[#This Row],[KPL]],REDOSLIJED!B:B,0)),MAX(REDOSLIJED!A:A)+1)</f>
        <v>45</v>
      </c>
      <c r="S79" s="9">
        <f>SUM($M$2:M79)</f>
        <v>5.6248611111111151</v>
      </c>
      <c r="T79" s="3">
        <f>PlanMasine[[#This Row],[Datum SAS]]-1</f>
        <v>45797</v>
      </c>
      <c r="U79">
        <f>WEEKDAY(PlanMasine[[#This Row],[ZAVRŠETAK MAŠINSKE]],2)</f>
        <v>2</v>
      </c>
      <c r="V79" s="3">
        <f>IF(WEEKDAY(PlanMasine[[#This Row],[Datum SAS]]-1,2)=7,PlanMasine[[#This Row],[Datum SAS]]-3,PlanMasine[[#This Row],[Datum SAS]]-1)</f>
        <v>45797</v>
      </c>
      <c r="W79">
        <f>WEEKNUM(PlanMasine[[#This Row],[Column2]],1)</f>
        <v>21</v>
      </c>
    </row>
    <row r="80" spans="1:23" x14ac:dyDescent="0.35">
      <c r="A80">
        <v>1027029</v>
      </c>
      <c r="B80">
        <v>1</v>
      </c>
      <c r="C80">
        <v>1027038</v>
      </c>
      <c r="D80" t="s">
        <v>1774</v>
      </c>
      <c r="E80">
        <v>45</v>
      </c>
      <c r="F80">
        <v>3</v>
      </c>
      <c r="G80">
        <v>0</v>
      </c>
      <c r="H80">
        <v>0</v>
      </c>
      <c r="I80" t="s">
        <v>24</v>
      </c>
      <c r="J80" t="s">
        <v>597</v>
      </c>
      <c r="K80" t="s">
        <v>1854</v>
      </c>
      <c r="L80" s="3">
        <v>45821</v>
      </c>
      <c r="M80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1.0416666666666666E-2</v>
      </c>
      <c r="N80" s="3">
        <v>45798</v>
      </c>
      <c r="O80" s="5">
        <f>IFERROR((PlanMasine[[#This Row],[Norma]]/PlanMasine[[#This Row],[Q]])*(PlanMasine[[#This Row],[Q]]/SUMIF(C:C,PlanMasine[[#This Row],[RN]],B:B)*PlanMasine[[#This Row],[KPLQ]]),0)</f>
        <v>15</v>
      </c>
      <c r="P80">
        <v>137922</v>
      </c>
      <c r="Q80">
        <f>COUNTIF(PROMJENA!A:A,PlanMasine[[#This Row],[KPL]]&amp;"-"&amp;PlanMasine[[#This Row],[RN]])</f>
        <v>0</v>
      </c>
      <c r="R80">
        <f>IFERROR(INDEX(REDOSLIJED!A:A,MATCH(PlanMasine[[#This Row],[KPL]],REDOSLIJED!B:B,0)),MAX(REDOSLIJED!A:A)+1)</f>
        <v>45</v>
      </c>
      <c r="S80" s="9">
        <f>SUM($M$2:M80)</f>
        <v>5.635277777777782</v>
      </c>
      <c r="T80" s="3">
        <f>PlanMasine[[#This Row],[Datum SAS]]-1</f>
        <v>45797</v>
      </c>
      <c r="U80">
        <f>WEEKDAY(PlanMasine[[#This Row],[ZAVRŠETAK MAŠINSKE]],2)</f>
        <v>2</v>
      </c>
      <c r="V80" s="3">
        <f>IF(WEEKDAY(PlanMasine[[#This Row],[Datum SAS]]-1,2)=7,PlanMasine[[#This Row],[Datum SAS]]-3,PlanMasine[[#This Row],[Datum SAS]]-1)</f>
        <v>45797</v>
      </c>
      <c r="W80">
        <f>WEEKNUM(PlanMasine[[#This Row],[Column2]],1)</f>
        <v>21</v>
      </c>
    </row>
    <row r="81" spans="1:23" x14ac:dyDescent="0.35">
      <c r="A81">
        <v>1027029</v>
      </c>
      <c r="B81">
        <v>1</v>
      </c>
      <c r="C81">
        <v>1027044</v>
      </c>
      <c r="D81" t="s">
        <v>1773</v>
      </c>
      <c r="E81">
        <v>45</v>
      </c>
      <c r="F81">
        <v>3</v>
      </c>
      <c r="G81">
        <v>0</v>
      </c>
      <c r="H81">
        <v>0</v>
      </c>
      <c r="I81" t="s">
        <v>24</v>
      </c>
      <c r="J81" t="s">
        <v>597</v>
      </c>
      <c r="K81" t="s">
        <v>1854</v>
      </c>
      <c r="L81" s="3">
        <v>45821</v>
      </c>
      <c r="M81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1.0416666666666666E-2</v>
      </c>
      <c r="N81" s="3">
        <v>45798</v>
      </c>
      <c r="O81" s="5">
        <f>IFERROR((PlanMasine[[#This Row],[Norma]]/PlanMasine[[#This Row],[Q]])*(PlanMasine[[#This Row],[Q]]/SUMIF(C:C,PlanMasine[[#This Row],[RN]],B:B)*PlanMasine[[#This Row],[KPLQ]]),0)</f>
        <v>15</v>
      </c>
      <c r="P81">
        <v>137928</v>
      </c>
      <c r="Q81">
        <f>COUNTIF(PROMJENA!A:A,PlanMasine[[#This Row],[KPL]]&amp;"-"&amp;PlanMasine[[#This Row],[RN]])</f>
        <v>0</v>
      </c>
      <c r="R81">
        <f>IFERROR(INDEX(REDOSLIJED!A:A,MATCH(PlanMasine[[#This Row],[KPL]],REDOSLIJED!B:B,0)),MAX(REDOSLIJED!A:A)+1)</f>
        <v>45</v>
      </c>
      <c r="S81" s="9">
        <f>SUM($M$2:M81)</f>
        <v>5.645694444444449</v>
      </c>
      <c r="T81" s="3">
        <f>PlanMasine[[#This Row],[Datum SAS]]-1</f>
        <v>45797</v>
      </c>
      <c r="U81">
        <f>WEEKDAY(PlanMasine[[#This Row],[ZAVRŠETAK MAŠINSKE]],2)</f>
        <v>2</v>
      </c>
      <c r="V81" s="3">
        <f>IF(WEEKDAY(PlanMasine[[#This Row],[Datum SAS]]-1,2)=7,PlanMasine[[#This Row],[Datum SAS]]-3,PlanMasine[[#This Row],[Datum SAS]]-1)</f>
        <v>45797</v>
      </c>
      <c r="W81">
        <f>WEEKNUM(PlanMasine[[#This Row],[Column2]],1)</f>
        <v>21</v>
      </c>
    </row>
    <row r="82" spans="1:23" x14ac:dyDescent="0.35">
      <c r="A82">
        <v>1027029</v>
      </c>
      <c r="B82">
        <v>1</v>
      </c>
      <c r="C82">
        <v>1027040</v>
      </c>
      <c r="D82" t="s">
        <v>1775</v>
      </c>
      <c r="E82">
        <v>39</v>
      </c>
      <c r="F82">
        <v>3</v>
      </c>
      <c r="G82">
        <v>0</v>
      </c>
      <c r="H82">
        <v>0</v>
      </c>
      <c r="I82" t="s">
        <v>24</v>
      </c>
      <c r="J82" t="s">
        <v>597</v>
      </c>
      <c r="K82" t="s">
        <v>1854</v>
      </c>
      <c r="L82" s="3">
        <v>45821</v>
      </c>
      <c r="M82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9.0277777777777787E-3</v>
      </c>
      <c r="N82" s="3">
        <v>45798</v>
      </c>
      <c r="O82" s="5">
        <f>IFERROR((PlanMasine[[#This Row],[Norma]]/PlanMasine[[#This Row],[Q]])*(PlanMasine[[#This Row],[Q]]/SUMIF(C:C,PlanMasine[[#This Row],[RN]],B:B)*PlanMasine[[#This Row],[KPLQ]]),0)</f>
        <v>13</v>
      </c>
      <c r="P82">
        <v>137924</v>
      </c>
      <c r="Q82">
        <f>COUNTIF(PROMJENA!A:A,PlanMasine[[#This Row],[KPL]]&amp;"-"&amp;PlanMasine[[#This Row],[RN]])</f>
        <v>0</v>
      </c>
      <c r="R82">
        <f>IFERROR(INDEX(REDOSLIJED!A:A,MATCH(PlanMasine[[#This Row],[KPL]],REDOSLIJED!B:B,0)),MAX(REDOSLIJED!A:A)+1)</f>
        <v>45</v>
      </c>
      <c r="S82" s="9">
        <f>SUM($M$2:M82)</f>
        <v>5.6547222222222269</v>
      </c>
      <c r="T82" s="3">
        <f>PlanMasine[[#This Row],[Datum SAS]]-1</f>
        <v>45797</v>
      </c>
      <c r="U82">
        <f>WEEKDAY(PlanMasine[[#This Row],[ZAVRŠETAK MAŠINSKE]],2)</f>
        <v>2</v>
      </c>
      <c r="V82" s="3">
        <f>IF(WEEKDAY(PlanMasine[[#This Row],[Datum SAS]]-1,2)=7,PlanMasine[[#This Row],[Datum SAS]]-3,PlanMasine[[#This Row],[Datum SAS]]-1)</f>
        <v>45797</v>
      </c>
      <c r="W82">
        <f>WEEKNUM(PlanMasine[[#This Row],[Column2]],1)</f>
        <v>21</v>
      </c>
    </row>
    <row r="83" spans="1:23" x14ac:dyDescent="0.35">
      <c r="A83">
        <v>1027029</v>
      </c>
      <c r="B83">
        <v>1</v>
      </c>
      <c r="C83">
        <v>1027041</v>
      </c>
      <c r="D83" t="s">
        <v>1776</v>
      </c>
      <c r="E83">
        <v>45</v>
      </c>
      <c r="F83">
        <v>3</v>
      </c>
      <c r="G83">
        <v>0</v>
      </c>
      <c r="H83">
        <v>0</v>
      </c>
      <c r="I83" t="s">
        <v>24</v>
      </c>
      <c r="J83" t="s">
        <v>597</v>
      </c>
      <c r="K83" t="s">
        <v>1854</v>
      </c>
      <c r="L83" s="3">
        <v>45821</v>
      </c>
      <c r="M83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1.0416666666666666E-2</v>
      </c>
      <c r="N83" s="3">
        <v>45798</v>
      </c>
      <c r="O83" s="5">
        <f>IFERROR((PlanMasine[[#This Row],[Norma]]/PlanMasine[[#This Row],[Q]])*(PlanMasine[[#This Row],[Q]]/SUMIF(C:C,PlanMasine[[#This Row],[RN]],B:B)*PlanMasine[[#This Row],[KPLQ]]),0)</f>
        <v>15</v>
      </c>
      <c r="P83">
        <v>137925</v>
      </c>
      <c r="Q83">
        <f>COUNTIF(PROMJENA!A:A,PlanMasine[[#This Row],[KPL]]&amp;"-"&amp;PlanMasine[[#This Row],[RN]])</f>
        <v>0</v>
      </c>
      <c r="R83">
        <f>IFERROR(INDEX(REDOSLIJED!A:A,MATCH(PlanMasine[[#This Row],[KPL]],REDOSLIJED!B:B,0)),MAX(REDOSLIJED!A:A)+1)</f>
        <v>45</v>
      </c>
      <c r="S83" s="9">
        <f>SUM($M$2:M83)</f>
        <v>5.6651388888888938</v>
      </c>
      <c r="T83" s="3">
        <f>PlanMasine[[#This Row],[Datum SAS]]-1</f>
        <v>45797</v>
      </c>
      <c r="U83">
        <f>WEEKDAY(PlanMasine[[#This Row],[ZAVRŠETAK MAŠINSKE]],2)</f>
        <v>2</v>
      </c>
      <c r="V83" s="3">
        <f>IF(WEEKDAY(PlanMasine[[#This Row],[Datum SAS]]-1,2)=7,PlanMasine[[#This Row],[Datum SAS]]-3,PlanMasine[[#This Row],[Datum SAS]]-1)</f>
        <v>45797</v>
      </c>
      <c r="W83">
        <f>WEEKNUM(PlanMasine[[#This Row],[Column2]],1)</f>
        <v>21</v>
      </c>
    </row>
    <row r="84" spans="1:23" x14ac:dyDescent="0.35">
      <c r="A84">
        <v>1027029</v>
      </c>
      <c r="B84">
        <v>1</v>
      </c>
      <c r="C84">
        <v>1027055</v>
      </c>
      <c r="D84" t="s">
        <v>1487</v>
      </c>
      <c r="E84">
        <v>210</v>
      </c>
      <c r="F84">
        <v>6</v>
      </c>
      <c r="G84">
        <v>0</v>
      </c>
      <c r="H84">
        <v>0</v>
      </c>
      <c r="I84" t="s">
        <v>24</v>
      </c>
      <c r="J84" t="s">
        <v>597</v>
      </c>
      <c r="K84" t="s">
        <v>1854</v>
      </c>
      <c r="L84" s="3">
        <v>45821</v>
      </c>
      <c r="M84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4.8611111111111112E-2</v>
      </c>
      <c r="N84" s="3">
        <v>45798</v>
      </c>
      <c r="O84" s="5">
        <f>IFERROR((PlanMasine[[#This Row],[Norma]]/PlanMasine[[#This Row],[Q]])*(PlanMasine[[#This Row],[Q]]/SUMIF(C:C,PlanMasine[[#This Row],[RN]],B:B)*PlanMasine[[#This Row],[KPLQ]]),0)</f>
        <v>70</v>
      </c>
      <c r="P84">
        <v>137939</v>
      </c>
      <c r="Q84">
        <f>COUNTIF(PROMJENA!A:A,PlanMasine[[#This Row],[KPL]]&amp;"-"&amp;PlanMasine[[#This Row],[RN]])</f>
        <v>0</v>
      </c>
      <c r="R84">
        <f>IFERROR(INDEX(REDOSLIJED!A:A,MATCH(PlanMasine[[#This Row],[KPL]],REDOSLIJED!B:B,0)),MAX(REDOSLIJED!A:A)+1)</f>
        <v>45</v>
      </c>
      <c r="S84" s="9">
        <f>SUM($M$2:M84)</f>
        <v>5.7137500000000045</v>
      </c>
      <c r="T84" s="3">
        <f>PlanMasine[[#This Row],[Datum SAS]]-1</f>
        <v>45797</v>
      </c>
      <c r="U84">
        <f>WEEKDAY(PlanMasine[[#This Row],[ZAVRŠETAK MAŠINSKE]],2)</f>
        <v>2</v>
      </c>
      <c r="V84" s="3">
        <f>IF(WEEKDAY(PlanMasine[[#This Row],[Datum SAS]]-1,2)=7,PlanMasine[[#This Row],[Datum SAS]]-3,PlanMasine[[#This Row],[Datum SAS]]-1)</f>
        <v>45797</v>
      </c>
      <c r="W84">
        <f>WEEKNUM(PlanMasine[[#This Row],[Column2]],1)</f>
        <v>21</v>
      </c>
    </row>
    <row r="85" spans="1:23" x14ac:dyDescent="0.35">
      <c r="A85">
        <v>1027029</v>
      </c>
      <c r="B85">
        <v>1</v>
      </c>
      <c r="C85">
        <v>1027056</v>
      </c>
      <c r="D85" t="s">
        <v>1033</v>
      </c>
      <c r="E85">
        <v>180</v>
      </c>
      <c r="F85">
        <v>6</v>
      </c>
      <c r="G85">
        <v>0</v>
      </c>
      <c r="H85">
        <v>0</v>
      </c>
      <c r="I85" t="s">
        <v>24</v>
      </c>
      <c r="J85" t="s">
        <v>597</v>
      </c>
      <c r="K85" t="s">
        <v>1854</v>
      </c>
      <c r="L85" s="3">
        <v>45821</v>
      </c>
      <c r="M85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4.1666666666666664E-2</v>
      </c>
      <c r="N85" s="3">
        <v>45798</v>
      </c>
      <c r="O85" s="5">
        <f>IFERROR((PlanMasine[[#This Row],[Norma]]/PlanMasine[[#This Row],[Q]])*(PlanMasine[[#This Row],[Q]]/SUMIF(C:C,PlanMasine[[#This Row],[RN]],B:B)*PlanMasine[[#This Row],[KPLQ]]),0)</f>
        <v>60</v>
      </c>
      <c r="P85">
        <v>137940</v>
      </c>
      <c r="Q85">
        <f>COUNTIF(PROMJENA!A:A,PlanMasine[[#This Row],[KPL]]&amp;"-"&amp;PlanMasine[[#This Row],[RN]])</f>
        <v>0</v>
      </c>
      <c r="R85">
        <f>IFERROR(INDEX(REDOSLIJED!A:A,MATCH(PlanMasine[[#This Row],[KPL]],REDOSLIJED!B:B,0)),MAX(REDOSLIJED!A:A)+1)</f>
        <v>45</v>
      </c>
      <c r="S85" s="9">
        <f>SUM($M$2:M85)</f>
        <v>5.7554166666666715</v>
      </c>
      <c r="T85" s="3">
        <f>PlanMasine[[#This Row],[Datum SAS]]-1</f>
        <v>45797</v>
      </c>
      <c r="U85">
        <f>WEEKDAY(PlanMasine[[#This Row],[ZAVRŠETAK MAŠINSKE]],2)</f>
        <v>2</v>
      </c>
      <c r="V85" s="3">
        <f>IF(WEEKDAY(PlanMasine[[#This Row],[Datum SAS]]-1,2)=7,PlanMasine[[#This Row],[Datum SAS]]-3,PlanMasine[[#This Row],[Datum SAS]]-1)</f>
        <v>45797</v>
      </c>
      <c r="W85">
        <f>WEEKNUM(PlanMasine[[#This Row],[Column2]],1)</f>
        <v>21</v>
      </c>
    </row>
    <row r="86" spans="1:23" x14ac:dyDescent="0.35">
      <c r="A86">
        <v>1027029</v>
      </c>
      <c r="B86">
        <v>1</v>
      </c>
      <c r="C86">
        <v>1027039</v>
      </c>
      <c r="D86" t="s">
        <v>947</v>
      </c>
      <c r="E86">
        <v>60</v>
      </c>
      <c r="F86">
        <v>3</v>
      </c>
      <c r="G86">
        <v>0</v>
      </c>
      <c r="H86">
        <v>0</v>
      </c>
      <c r="I86" t="s">
        <v>24</v>
      </c>
      <c r="J86" t="s">
        <v>597</v>
      </c>
      <c r="K86" t="s">
        <v>1854</v>
      </c>
      <c r="L86" s="3">
        <v>45821</v>
      </c>
      <c r="M86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1.3888888888888888E-2</v>
      </c>
      <c r="N86" s="3">
        <v>45798</v>
      </c>
      <c r="O86" s="5">
        <f>IFERROR((PlanMasine[[#This Row],[Norma]]/PlanMasine[[#This Row],[Q]])*(PlanMasine[[#This Row],[Q]]/SUMIF(C:C,PlanMasine[[#This Row],[RN]],B:B)*PlanMasine[[#This Row],[KPLQ]]),0)</f>
        <v>20</v>
      </c>
      <c r="P86">
        <v>137923</v>
      </c>
      <c r="Q86">
        <f>COUNTIF(PROMJENA!A:A,PlanMasine[[#This Row],[KPL]]&amp;"-"&amp;PlanMasine[[#This Row],[RN]])</f>
        <v>0</v>
      </c>
      <c r="R86">
        <f>IFERROR(INDEX(REDOSLIJED!A:A,MATCH(PlanMasine[[#This Row],[KPL]],REDOSLIJED!B:B,0)),MAX(REDOSLIJED!A:A)+1)</f>
        <v>45</v>
      </c>
      <c r="S86" s="9">
        <f>SUM($M$2:M86)</f>
        <v>5.7693055555555608</v>
      </c>
      <c r="T86" s="3">
        <f>PlanMasine[[#This Row],[Datum SAS]]-1</f>
        <v>45797</v>
      </c>
      <c r="U86">
        <f>WEEKDAY(PlanMasine[[#This Row],[ZAVRŠETAK MAŠINSKE]],2)</f>
        <v>2</v>
      </c>
      <c r="V86" s="3">
        <f>IF(WEEKDAY(PlanMasine[[#This Row],[Datum SAS]]-1,2)=7,PlanMasine[[#This Row],[Datum SAS]]-3,PlanMasine[[#This Row],[Datum SAS]]-1)</f>
        <v>45797</v>
      </c>
      <c r="W86">
        <f>WEEKNUM(PlanMasine[[#This Row],[Column2]],1)</f>
        <v>21</v>
      </c>
    </row>
    <row r="87" spans="1:23" x14ac:dyDescent="0.35">
      <c r="A87">
        <v>1027030</v>
      </c>
      <c r="B87">
        <v>1</v>
      </c>
      <c r="C87">
        <v>1027056</v>
      </c>
      <c r="D87" t="s">
        <v>1033</v>
      </c>
      <c r="E87">
        <v>180</v>
      </c>
      <c r="F87">
        <v>6</v>
      </c>
      <c r="G87">
        <v>0</v>
      </c>
      <c r="H87">
        <v>0</v>
      </c>
      <c r="I87" t="s">
        <v>24</v>
      </c>
      <c r="J87" t="s">
        <v>597</v>
      </c>
      <c r="K87" t="s">
        <v>1854</v>
      </c>
      <c r="L87" s="3">
        <v>45821</v>
      </c>
      <c r="M87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4.1666666666666664E-2</v>
      </c>
      <c r="N87" s="3">
        <v>45798</v>
      </c>
      <c r="O87" s="5">
        <f>IFERROR((PlanMasine[[#This Row],[Norma]]/PlanMasine[[#This Row],[Q]])*(PlanMasine[[#This Row],[Q]]/SUMIF(C:C,PlanMasine[[#This Row],[RN]],B:B)*PlanMasine[[#This Row],[KPLQ]]),0)</f>
        <v>60</v>
      </c>
      <c r="P87">
        <v>137940</v>
      </c>
      <c r="Q87">
        <f>COUNTIF(PROMJENA!A:A,PlanMasine[[#This Row],[KPL]]&amp;"-"&amp;PlanMasine[[#This Row],[RN]])</f>
        <v>0</v>
      </c>
      <c r="R87">
        <f>IFERROR(INDEX(REDOSLIJED!A:A,MATCH(PlanMasine[[#This Row],[KPL]],REDOSLIJED!B:B,0)),MAX(REDOSLIJED!A:A)+1)</f>
        <v>45</v>
      </c>
      <c r="S87" s="9">
        <f>SUM($M$2:M87)</f>
        <v>5.8109722222222278</v>
      </c>
      <c r="T87" s="3">
        <f>PlanMasine[[#This Row],[Datum SAS]]-1</f>
        <v>45797</v>
      </c>
      <c r="U87">
        <f>WEEKDAY(PlanMasine[[#This Row],[ZAVRŠETAK MAŠINSKE]],2)</f>
        <v>2</v>
      </c>
      <c r="V87" s="3">
        <f>IF(WEEKDAY(PlanMasine[[#This Row],[Datum SAS]]-1,2)=7,PlanMasine[[#This Row],[Datum SAS]]-3,PlanMasine[[#This Row],[Datum SAS]]-1)</f>
        <v>45797</v>
      </c>
      <c r="W87">
        <f>WEEKNUM(PlanMasine[[#This Row],[Column2]],1)</f>
        <v>21</v>
      </c>
    </row>
    <row r="88" spans="1:23" x14ac:dyDescent="0.35">
      <c r="A88">
        <v>1027030</v>
      </c>
      <c r="B88">
        <v>1</v>
      </c>
      <c r="C88">
        <v>1027055</v>
      </c>
      <c r="D88" t="s">
        <v>1487</v>
      </c>
      <c r="E88">
        <v>210</v>
      </c>
      <c r="F88">
        <v>6</v>
      </c>
      <c r="G88">
        <v>0</v>
      </c>
      <c r="H88">
        <v>0</v>
      </c>
      <c r="I88" t="s">
        <v>24</v>
      </c>
      <c r="J88" t="s">
        <v>597</v>
      </c>
      <c r="K88" t="s">
        <v>1854</v>
      </c>
      <c r="L88" s="3">
        <v>45821</v>
      </c>
      <c r="M88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4.8611111111111112E-2</v>
      </c>
      <c r="N88" s="3">
        <v>45798</v>
      </c>
      <c r="O88" s="5">
        <f>IFERROR((PlanMasine[[#This Row],[Norma]]/PlanMasine[[#This Row],[Q]])*(PlanMasine[[#This Row],[Q]]/SUMIF(C:C,PlanMasine[[#This Row],[RN]],B:B)*PlanMasine[[#This Row],[KPLQ]]),0)</f>
        <v>70</v>
      </c>
      <c r="P88">
        <v>137939</v>
      </c>
      <c r="Q88">
        <f>COUNTIF(PROMJENA!A:A,PlanMasine[[#This Row],[KPL]]&amp;"-"&amp;PlanMasine[[#This Row],[RN]])</f>
        <v>0</v>
      </c>
      <c r="R88">
        <f>IFERROR(INDEX(REDOSLIJED!A:A,MATCH(PlanMasine[[#This Row],[KPL]],REDOSLIJED!B:B,0)),MAX(REDOSLIJED!A:A)+1)</f>
        <v>45</v>
      </c>
      <c r="S88" s="9">
        <f>SUM($M$2:M88)</f>
        <v>5.8595833333333385</v>
      </c>
      <c r="T88" s="3">
        <f>PlanMasine[[#This Row],[Datum SAS]]-1</f>
        <v>45797</v>
      </c>
      <c r="U88">
        <f>WEEKDAY(PlanMasine[[#This Row],[ZAVRŠETAK MAŠINSKE]],2)</f>
        <v>2</v>
      </c>
      <c r="V88" s="3">
        <f>IF(WEEKDAY(PlanMasine[[#This Row],[Datum SAS]]-1,2)=7,PlanMasine[[#This Row],[Datum SAS]]-3,PlanMasine[[#This Row],[Datum SAS]]-1)</f>
        <v>45797</v>
      </c>
      <c r="W88">
        <f>WEEKNUM(PlanMasine[[#This Row],[Column2]],1)</f>
        <v>21</v>
      </c>
    </row>
    <row r="89" spans="1:23" x14ac:dyDescent="0.35">
      <c r="A89">
        <v>1027030</v>
      </c>
      <c r="B89">
        <v>1</v>
      </c>
      <c r="C89">
        <v>1027044</v>
      </c>
      <c r="D89" t="s">
        <v>1773</v>
      </c>
      <c r="E89">
        <v>45</v>
      </c>
      <c r="F89">
        <v>3</v>
      </c>
      <c r="G89">
        <v>0</v>
      </c>
      <c r="H89">
        <v>0</v>
      </c>
      <c r="I89" t="s">
        <v>24</v>
      </c>
      <c r="J89" t="s">
        <v>597</v>
      </c>
      <c r="K89" t="s">
        <v>1854</v>
      </c>
      <c r="L89" s="3">
        <v>45821</v>
      </c>
      <c r="M89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1.0416666666666666E-2</v>
      </c>
      <c r="N89" s="3">
        <v>45798</v>
      </c>
      <c r="O89" s="5">
        <f>IFERROR((PlanMasine[[#This Row],[Norma]]/PlanMasine[[#This Row],[Q]])*(PlanMasine[[#This Row],[Q]]/SUMIF(C:C,PlanMasine[[#This Row],[RN]],B:B)*PlanMasine[[#This Row],[KPLQ]]),0)</f>
        <v>15</v>
      </c>
      <c r="P89">
        <v>137928</v>
      </c>
      <c r="Q89">
        <f>COUNTIF(PROMJENA!A:A,PlanMasine[[#This Row],[KPL]]&amp;"-"&amp;PlanMasine[[#This Row],[RN]])</f>
        <v>0</v>
      </c>
      <c r="R89">
        <f>IFERROR(INDEX(REDOSLIJED!A:A,MATCH(PlanMasine[[#This Row],[KPL]],REDOSLIJED!B:B,0)),MAX(REDOSLIJED!A:A)+1)</f>
        <v>45</v>
      </c>
      <c r="S89" s="9">
        <f>SUM($M$2:M89)</f>
        <v>5.8700000000000054</v>
      </c>
      <c r="T89" s="3">
        <f>PlanMasine[[#This Row],[Datum SAS]]-1</f>
        <v>45797</v>
      </c>
      <c r="U89">
        <f>WEEKDAY(PlanMasine[[#This Row],[ZAVRŠETAK MAŠINSKE]],2)</f>
        <v>2</v>
      </c>
      <c r="V89" s="3">
        <f>IF(WEEKDAY(PlanMasine[[#This Row],[Datum SAS]]-1,2)=7,PlanMasine[[#This Row],[Datum SAS]]-3,PlanMasine[[#This Row],[Datum SAS]]-1)</f>
        <v>45797</v>
      </c>
      <c r="W89">
        <f>WEEKNUM(PlanMasine[[#This Row],[Column2]],1)</f>
        <v>21</v>
      </c>
    </row>
    <row r="90" spans="1:23" x14ac:dyDescent="0.35">
      <c r="A90">
        <v>1027030</v>
      </c>
      <c r="B90">
        <v>1</v>
      </c>
      <c r="C90">
        <v>1027038</v>
      </c>
      <c r="D90" t="s">
        <v>1774</v>
      </c>
      <c r="E90">
        <v>45</v>
      </c>
      <c r="F90">
        <v>3</v>
      </c>
      <c r="G90">
        <v>0</v>
      </c>
      <c r="H90">
        <v>0</v>
      </c>
      <c r="I90" t="s">
        <v>24</v>
      </c>
      <c r="J90" t="s">
        <v>597</v>
      </c>
      <c r="K90" t="s">
        <v>1854</v>
      </c>
      <c r="L90" s="3">
        <v>45821</v>
      </c>
      <c r="M90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1.0416666666666666E-2</v>
      </c>
      <c r="N90" s="3">
        <v>45798</v>
      </c>
      <c r="O90" s="5">
        <f>IFERROR((PlanMasine[[#This Row],[Norma]]/PlanMasine[[#This Row],[Q]])*(PlanMasine[[#This Row],[Q]]/SUMIF(C:C,PlanMasine[[#This Row],[RN]],B:B)*PlanMasine[[#This Row],[KPLQ]]),0)</f>
        <v>15</v>
      </c>
      <c r="P90">
        <v>137922</v>
      </c>
      <c r="Q90">
        <f>COUNTIF(PROMJENA!A:A,PlanMasine[[#This Row],[KPL]]&amp;"-"&amp;PlanMasine[[#This Row],[RN]])</f>
        <v>0</v>
      </c>
      <c r="R90">
        <f>IFERROR(INDEX(REDOSLIJED!A:A,MATCH(PlanMasine[[#This Row],[KPL]],REDOSLIJED!B:B,0)),MAX(REDOSLIJED!A:A)+1)</f>
        <v>45</v>
      </c>
      <c r="S90" s="9">
        <f>SUM($M$2:M90)</f>
        <v>5.8804166666666724</v>
      </c>
      <c r="T90" s="3">
        <f>PlanMasine[[#This Row],[Datum SAS]]-1</f>
        <v>45797</v>
      </c>
      <c r="U90">
        <f>WEEKDAY(PlanMasine[[#This Row],[ZAVRŠETAK MAŠINSKE]],2)</f>
        <v>2</v>
      </c>
      <c r="V90" s="3">
        <f>IF(WEEKDAY(PlanMasine[[#This Row],[Datum SAS]]-1,2)=7,PlanMasine[[#This Row],[Datum SAS]]-3,PlanMasine[[#This Row],[Datum SAS]]-1)</f>
        <v>45797</v>
      </c>
      <c r="W90">
        <f>WEEKNUM(PlanMasine[[#This Row],[Column2]],1)</f>
        <v>21</v>
      </c>
    </row>
    <row r="91" spans="1:23" x14ac:dyDescent="0.35">
      <c r="A91">
        <v>1027030</v>
      </c>
      <c r="B91">
        <v>1</v>
      </c>
      <c r="C91">
        <v>1027040</v>
      </c>
      <c r="D91" t="s">
        <v>1775</v>
      </c>
      <c r="E91">
        <v>39</v>
      </c>
      <c r="F91">
        <v>3</v>
      </c>
      <c r="G91">
        <v>0</v>
      </c>
      <c r="H91">
        <v>0</v>
      </c>
      <c r="I91" t="s">
        <v>24</v>
      </c>
      <c r="J91" t="s">
        <v>597</v>
      </c>
      <c r="K91" t="s">
        <v>1854</v>
      </c>
      <c r="L91" s="3">
        <v>45821</v>
      </c>
      <c r="M91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9.0277777777777787E-3</v>
      </c>
      <c r="N91" s="3">
        <v>45798</v>
      </c>
      <c r="O91" s="5">
        <f>IFERROR((PlanMasine[[#This Row],[Norma]]/PlanMasine[[#This Row],[Q]])*(PlanMasine[[#This Row],[Q]]/SUMIF(C:C,PlanMasine[[#This Row],[RN]],B:B)*PlanMasine[[#This Row],[KPLQ]]),0)</f>
        <v>13</v>
      </c>
      <c r="P91">
        <v>137924</v>
      </c>
      <c r="Q91">
        <f>COUNTIF(PROMJENA!A:A,PlanMasine[[#This Row],[KPL]]&amp;"-"&amp;PlanMasine[[#This Row],[RN]])</f>
        <v>0</v>
      </c>
      <c r="R91">
        <f>IFERROR(INDEX(REDOSLIJED!A:A,MATCH(PlanMasine[[#This Row],[KPL]],REDOSLIJED!B:B,0)),MAX(REDOSLIJED!A:A)+1)</f>
        <v>45</v>
      </c>
      <c r="S91" s="9">
        <f>SUM($M$2:M91)</f>
        <v>5.8894444444444503</v>
      </c>
      <c r="T91" s="3">
        <f>PlanMasine[[#This Row],[Datum SAS]]-1</f>
        <v>45797</v>
      </c>
      <c r="U91">
        <f>WEEKDAY(PlanMasine[[#This Row],[ZAVRŠETAK MAŠINSKE]],2)</f>
        <v>2</v>
      </c>
      <c r="V91" s="3">
        <f>IF(WEEKDAY(PlanMasine[[#This Row],[Datum SAS]]-1,2)=7,PlanMasine[[#This Row],[Datum SAS]]-3,PlanMasine[[#This Row],[Datum SAS]]-1)</f>
        <v>45797</v>
      </c>
      <c r="W91">
        <f>WEEKNUM(PlanMasine[[#This Row],[Column2]],1)</f>
        <v>21</v>
      </c>
    </row>
    <row r="92" spans="1:23" x14ac:dyDescent="0.35">
      <c r="A92">
        <v>1027030</v>
      </c>
      <c r="B92">
        <v>1</v>
      </c>
      <c r="C92">
        <v>1027039</v>
      </c>
      <c r="D92" t="s">
        <v>947</v>
      </c>
      <c r="E92">
        <v>60</v>
      </c>
      <c r="F92">
        <v>3</v>
      </c>
      <c r="G92">
        <v>0</v>
      </c>
      <c r="H92">
        <v>0</v>
      </c>
      <c r="I92" t="s">
        <v>24</v>
      </c>
      <c r="J92" t="s">
        <v>597</v>
      </c>
      <c r="K92" t="s">
        <v>1854</v>
      </c>
      <c r="L92" s="3">
        <v>45821</v>
      </c>
      <c r="M92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1.3888888888888888E-2</v>
      </c>
      <c r="N92" s="3">
        <v>45798</v>
      </c>
      <c r="O92" s="5">
        <f>IFERROR((PlanMasine[[#This Row],[Norma]]/PlanMasine[[#This Row],[Q]])*(PlanMasine[[#This Row],[Q]]/SUMIF(C:C,PlanMasine[[#This Row],[RN]],B:B)*PlanMasine[[#This Row],[KPLQ]]),0)</f>
        <v>20</v>
      </c>
      <c r="P92">
        <v>137923</v>
      </c>
      <c r="Q92">
        <f>COUNTIF(PROMJENA!A:A,PlanMasine[[#This Row],[KPL]]&amp;"-"&amp;PlanMasine[[#This Row],[RN]])</f>
        <v>0</v>
      </c>
      <c r="R92">
        <f>IFERROR(INDEX(REDOSLIJED!A:A,MATCH(PlanMasine[[#This Row],[KPL]],REDOSLIJED!B:B,0)),MAX(REDOSLIJED!A:A)+1)</f>
        <v>45</v>
      </c>
      <c r="S92" s="9">
        <f>SUM($M$2:M92)</f>
        <v>5.9033333333333395</v>
      </c>
      <c r="T92" s="3">
        <f>PlanMasine[[#This Row],[Datum SAS]]-1</f>
        <v>45797</v>
      </c>
      <c r="U92">
        <f>WEEKDAY(PlanMasine[[#This Row],[ZAVRŠETAK MAŠINSKE]],2)</f>
        <v>2</v>
      </c>
      <c r="V92" s="3">
        <f>IF(WEEKDAY(PlanMasine[[#This Row],[Datum SAS]]-1,2)=7,PlanMasine[[#This Row],[Datum SAS]]-3,PlanMasine[[#This Row],[Datum SAS]]-1)</f>
        <v>45797</v>
      </c>
      <c r="W92">
        <f>WEEKNUM(PlanMasine[[#This Row],[Column2]],1)</f>
        <v>21</v>
      </c>
    </row>
    <row r="93" spans="1:23" x14ac:dyDescent="0.35">
      <c r="A93">
        <v>1027030</v>
      </c>
      <c r="B93">
        <v>1</v>
      </c>
      <c r="C93">
        <v>1027041</v>
      </c>
      <c r="D93" t="s">
        <v>1776</v>
      </c>
      <c r="E93">
        <v>45</v>
      </c>
      <c r="F93">
        <v>3</v>
      </c>
      <c r="G93">
        <v>0</v>
      </c>
      <c r="H93">
        <v>0</v>
      </c>
      <c r="I93" t="s">
        <v>24</v>
      </c>
      <c r="J93" t="s">
        <v>597</v>
      </c>
      <c r="K93" t="s">
        <v>1854</v>
      </c>
      <c r="L93" s="3">
        <v>45821</v>
      </c>
      <c r="M93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1.0416666666666666E-2</v>
      </c>
      <c r="N93" s="3">
        <v>45798</v>
      </c>
      <c r="O93" s="5">
        <f>IFERROR((PlanMasine[[#This Row],[Norma]]/PlanMasine[[#This Row],[Q]])*(PlanMasine[[#This Row],[Q]]/SUMIF(C:C,PlanMasine[[#This Row],[RN]],B:B)*PlanMasine[[#This Row],[KPLQ]]),0)</f>
        <v>15</v>
      </c>
      <c r="P93">
        <v>137925</v>
      </c>
      <c r="Q93">
        <f>COUNTIF(PROMJENA!A:A,PlanMasine[[#This Row],[KPL]]&amp;"-"&amp;PlanMasine[[#This Row],[RN]])</f>
        <v>0</v>
      </c>
      <c r="R93">
        <f>IFERROR(INDEX(REDOSLIJED!A:A,MATCH(PlanMasine[[#This Row],[KPL]],REDOSLIJED!B:B,0)),MAX(REDOSLIJED!A:A)+1)</f>
        <v>45</v>
      </c>
      <c r="S93" s="9">
        <f>SUM($M$2:M93)</f>
        <v>5.9137500000000065</v>
      </c>
      <c r="T93" s="3">
        <f>PlanMasine[[#This Row],[Datum SAS]]-1</f>
        <v>45797</v>
      </c>
      <c r="U93">
        <f>WEEKDAY(PlanMasine[[#This Row],[ZAVRŠETAK MAŠINSKE]],2)</f>
        <v>2</v>
      </c>
      <c r="V93" s="3">
        <f>IF(WEEKDAY(PlanMasine[[#This Row],[Datum SAS]]-1,2)=7,PlanMasine[[#This Row],[Datum SAS]]-3,PlanMasine[[#This Row],[Datum SAS]]-1)</f>
        <v>45797</v>
      </c>
      <c r="W93">
        <f>WEEKNUM(PlanMasine[[#This Row],[Column2]],1)</f>
        <v>21</v>
      </c>
    </row>
    <row r="94" spans="1:23" x14ac:dyDescent="0.35">
      <c r="A94">
        <v>1019956</v>
      </c>
      <c r="B94">
        <v>1</v>
      </c>
      <c r="C94">
        <v>1019979</v>
      </c>
      <c r="D94" t="s">
        <v>1855</v>
      </c>
      <c r="E94">
        <v>80</v>
      </c>
      <c r="F94">
        <v>8</v>
      </c>
      <c r="G94">
        <v>0</v>
      </c>
      <c r="H94">
        <v>0</v>
      </c>
      <c r="I94" t="s">
        <v>24</v>
      </c>
      <c r="J94" t="s">
        <v>597</v>
      </c>
      <c r="K94" t="s">
        <v>1856</v>
      </c>
      <c r="L94" s="3">
        <v>45822</v>
      </c>
      <c r="M94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1.3888888888888888E-2</v>
      </c>
      <c r="N94" s="3">
        <v>45799</v>
      </c>
      <c r="O94" s="5">
        <f>IFERROR((PlanMasine[[#This Row],[Norma]]/PlanMasine[[#This Row],[Q]])*(PlanMasine[[#This Row],[Q]]/SUMIF(C:C,PlanMasine[[#This Row],[RN]],B:B)*PlanMasine[[#This Row],[KPLQ]]),0)</f>
        <v>20</v>
      </c>
      <c r="P94">
        <v>139624</v>
      </c>
      <c r="Q94">
        <f>COUNTIF(PROMJENA!A:A,PlanMasine[[#This Row],[KPL]]&amp;"-"&amp;PlanMasine[[#This Row],[RN]])</f>
        <v>0</v>
      </c>
      <c r="R94">
        <f>IFERROR(INDEX(REDOSLIJED!A:A,MATCH(PlanMasine[[#This Row],[KPL]],REDOSLIJED!B:B,0)),MAX(REDOSLIJED!A:A)+1)</f>
        <v>45</v>
      </c>
      <c r="S94" s="9">
        <f>SUM($M$2:M94)</f>
        <v>5.9276388888888958</v>
      </c>
      <c r="T94" s="3">
        <f>PlanMasine[[#This Row],[Datum SAS]]-1</f>
        <v>45798</v>
      </c>
      <c r="U94">
        <f>WEEKDAY(PlanMasine[[#This Row],[ZAVRŠETAK MAŠINSKE]],2)</f>
        <v>3</v>
      </c>
      <c r="V94" s="3">
        <f>IF(WEEKDAY(PlanMasine[[#This Row],[Datum SAS]]-1,2)=7,PlanMasine[[#This Row],[Datum SAS]]-3,PlanMasine[[#This Row],[Datum SAS]]-1)</f>
        <v>45798</v>
      </c>
      <c r="W94">
        <f>WEEKNUM(PlanMasine[[#This Row],[Column2]],1)</f>
        <v>21</v>
      </c>
    </row>
    <row r="95" spans="1:23" x14ac:dyDescent="0.35">
      <c r="A95">
        <v>1019956</v>
      </c>
      <c r="B95">
        <v>1</v>
      </c>
      <c r="C95">
        <v>1019974</v>
      </c>
      <c r="D95" t="s">
        <v>1770</v>
      </c>
      <c r="E95">
        <v>120</v>
      </c>
      <c r="F95">
        <v>4</v>
      </c>
      <c r="G95">
        <v>0</v>
      </c>
      <c r="H95">
        <v>0</v>
      </c>
      <c r="I95" t="s">
        <v>24</v>
      </c>
      <c r="J95" t="s">
        <v>597</v>
      </c>
      <c r="K95" t="s">
        <v>1856</v>
      </c>
      <c r="L95" s="3">
        <v>45822</v>
      </c>
      <c r="M95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2.0833333333333332E-2</v>
      </c>
      <c r="N95" s="3">
        <v>45799</v>
      </c>
      <c r="O95" s="5">
        <f>IFERROR((PlanMasine[[#This Row],[Norma]]/PlanMasine[[#This Row],[Q]])*(PlanMasine[[#This Row],[Q]]/SUMIF(C:C,PlanMasine[[#This Row],[RN]],B:B)*PlanMasine[[#This Row],[KPLQ]]),0)</f>
        <v>30</v>
      </c>
      <c r="P95">
        <v>139619</v>
      </c>
      <c r="Q95">
        <f>COUNTIF(PROMJENA!A:A,PlanMasine[[#This Row],[KPL]]&amp;"-"&amp;PlanMasine[[#This Row],[RN]])</f>
        <v>0</v>
      </c>
      <c r="R95">
        <f>IFERROR(INDEX(REDOSLIJED!A:A,MATCH(PlanMasine[[#This Row],[KPL]],REDOSLIJED!B:B,0)),MAX(REDOSLIJED!A:A)+1)</f>
        <v>45</v>
      </c>
      <c r="S95" s="9">
        <f>SUM($M$2:M95)</f>
        <v>5.9484722222222288</v>
      </c>
      <c r="T95" s="3">
        <f>PlanMasine[[#This Row],[Datum SAS]]-1</f>
        <v>45798</v>
      </c>
      <c r="U95">
        <f>WEEKDAY(PlanMasine[[#This Row],[ZAVRŠETAK MAŠINSKE]],2)</f>
        <v>3</v>
      </c>
      <c r="V95" s="3">
        <f>IF(WEEKDAY(PlanMasine[[#This Row],[Datum SAS]]-1,2)=7,PlanMasine[[#This Row],[Datum SAS]]-3,PlanMasine[[#This Row],[Datum SAS]]-1)</f>
        <v>45798</v>
      </c>
      <c r="W95">
        <f>WEEKNUM(PlanMasine[[#This Row],[Column2]],1)</f>
        <v>21</v>
      </c>
    </row>
    <row r="96" spans="1:23" x14ac:dyDescent="0.35">
      <c r="A96">
        <v>1019956</v>
      </c>
      <c r="B96">
        <v>1</v>
      </c>
      <c r="C96">
        <v>1019973</v>
      </c>
      <c r="D96" t="s">
        <v>977</v>
      </c>
      <c r="E96">
        <v>100</v>
      </c>
      <c r="F96">
        <v>4</v>
      </c>
      <c r="G96">
        <v>0</v>
      </c>
      <c r="H96">
        <v>0</v>
      </c>
      <c r="I96" t="s">
        <v>24</v>
      </c>
      <c r="J96" t="s">
        <v>597</v>
      </c>
      <c r="K96" t="s">
        <v>1856</v>
      </c>
      <c r="L96" s="3">
        <v>45822</v>
      </c>
      <c r="M96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1.7361111111111112E-2</v>
      </c>
      <c r="N96" s="3">
        <v>45799</v>
      </c>
      <c r="O96" s="5">
        <f>IFERROR((PlanMasine[[#This Row],[Norma]]/PlanMasine[[#This Row],[Q]])*(PlanMasine[[#This Row],[Q]]/SUMIF(C:C,PlanMasine[[#This Row],[RN]],B:B)*PlanMasine[[#This Row],[KPLQ]]),0)</f>
        <v>25</v>
      </c>
      <c r="P96">
        <v>139618</v>
      </c>
      <c r="Q96">
        <f>COUNTIF(PROMJENA!A:A,PlanMasine[[#This Row],[KPL]]&amp;"-"&amp;PlanMasine[[#This Row],[RN]])</f>
        <v>0</v>
      </c>
      <c r="R96">
        <f>IFERROR(INDEX(REDOSLIJED!A:A,MATCH(PlanMasine[[#This Row],[KPL]],REDOSLIJED!B:B,0)),MAX(REDOSLIJED!A:A)+1)</f>
        <v>45</v>
      </c>
      <c r="S96" s="9">
        <f>SUM($M$2:M96)</f>
        <v>5.9658333333333395</v>
      </c>
      <c r="T96" s="3">
        <f>PlanMasine[[#This Row],[Datum SAS]]-1</f>
        <v>45798</v>
      </c>
      <c r="U96">
        <f>WEEKDAY(PlanMasine[[#This Row],[ZAVRŠETAK MAŠINSKE]],2)</f>
        <v>3</v>
      </c>
      <c r="V96" s="3">
        <f>IF(WEEKDAY(PlanMasine[[#This Row],[Datum SAS]]-1,2)=7,PlanMasine[[#This Row],[Datum SAS]]-3,PlanMasine[[#This Row],[Datum SAS]]-1)</f>
        <v>45798</v>
      </c>
      <c r="W96">
        <f>WEEKNUM(PlanMasine[[#This Row],[Column2]],1)</f>
        <v>21</v>
      </c>
    </row>
    <row r="97" spans="1:23" x14ac:dyDescent="0.35">
      <c r="A97">
        <v>1019956</v>
      </c>
      <c r="B97">
        <v>1</v>
      </c>
      <c r="C97">
        <v>1019970</v>
      </c>
      <c r="D97" t="s">
        <v>1771</v>
      </c>
      <c r="E97">
        <v>60</v>
      </c>
      <c r="F97">
        <v>4</v>
      </c>
      <c r="G97">
        <v>0</v>
      </c>
      <c r="H97">
        <v>0</v>
      </c>
      <c r="I97" t="s">
        <v>24</v>
      </c>
      <c r="J97" t="s">
        <v>597</v>
      </c>
      <c r="K97" t="s">
        <v>1856</v>
      </c>
      <c r="L97" s="3">
        <v>45822</v>
      </c>
      <c r="M97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1.0416666666666666E-2</v>
      </c>
      <c r="N97" s="3">
        <v>45799</v>
      </c>
      <c r="O97" s="5">
        <f>IFERROR((PlanMasine[[#This Row],[Norma]]/PlanMasine[[#This Row],[Q]])*(PlanMasine[[#This Row],[Q]]/SUMIF(C:C,PlanMasine[[#This Row],[RN]],B:B)*PlanMasine[[#This Row],[KPLQ]]),0)</f>
        <v>15</v>
      </c>
      <c r="P97">
        <v>139615</v>
      </c>
      <c r="Q97">
        <f>COUNTIF(PROMJENA!A:A,PlanMasine[[#This Row],[KPL]]&amp;"-"&amp;PlanMasine[[#This Row],[RN]])</f>
        <v>0</v>
      </c>
      <c r="R97">
        <f>IFERROR(INDEX(REDOSLIJED!A:A,MATCH(PlanMasine[[#This Row],[KPL]],REDOSLIJED!B:B,0)),MAX(REDOSLIJED!A:A)+1)</f>
        <v>45</v>
      </c>
      <c r="S97" s="9">
        <f>SUM($M$2:M97)</f>
        <v>5.9762500000000065</v>
      </c>
      <c r="T97" s="3">
        <f>PlanMasine[[#This Row],[Datum SAS]]-1</f>
        <v>45798</v>
      </c>
      <c r="U97">
        <f>WEEKDAY(PlanMasine[[#This Row],[ZAVRŠETAK MAŠINSKE]],2)</f>
        <v>3</v>
      </c>
      <c r="V97" s="3">
        <f>IF(WEEKDAY(PlanMasine[[#This Row],[Datum SAS]]-1,2)=7,PlanMasine[[#This Row],[Datum SAS]]-3,PlanMasine[[#This Row],[Datum SAS]]-1)</f>
        <v>45798</v>
      </c>
      <c r="W97">
        <f>WEEKNUM(PlanMasine[[#This Row],[Column2]],1)</f>
        <v>21</v>
      </c>
    </row>
    <row r="98" spans="1:23" x14ac:dyDescent="0.35">
      <c r="A98">
        <v>1019957</v>
      </c>
      <c r="B98">
        <v>1</v>
      </c>
      <c r="C98">
        <v>1019979</v>
      </c>
      <c r="D98" t="s">
        <v>1855</v>
      </c>
      <c r="E98">
        <v>80</v>
      </c>
      <c r="F98">
        <v>8</v>
      </c>
      <c r="G98">
        <v>0</v>
      </c>
      <c r="H98">
        <v>0</v>
      </c>
      <c r="I98" t="s">
        <v>24</v>
      </c>
      <c r="J98" t="s">
        <v>597</v>
      </c>
      <c r="K98" t="s">
        <v>1856</v>
      </c>
      <c r="L98" s="3">
        <v>45822</v>
      </c>
      <c r="M98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1.3888888888888888E-2</v>
      </c>
      <c r="N98" s="3">
        <v>45799</v>
      </c>
      <c r="O98" s="5">
        <f>IFERROR((PlanMasine[[#This Row],[Norma]]/PlanMasine[[#This Row],[Q]])*(PlanMasine[[#This Row],[Q]]/SUMIF(C:C,PlanMasine[[#This Row],[RN]],B:B)*PlanMasine[[#This Row],[KPLQ]]),0)</f>
        <v>20</v>
      </c>
      <c r="P98">
        <v>139624</v>
      </c>
      <c r="Q98">
        <f>COUNTIF(PROMJENA!A:A,PlanMasine[[#This Row],[KPL]]&amp;"-"&amp;PlanMasine[[#This Row],[RN]])</f>
        <v>0</v>
      </c>
      <c r="R98">
        <f>IFERROR(INDEX(REDOSLIJED!A:A,MATCH(PlanMasine[[#This Row],[KPL]],REDOSLIJED!B:B,0)),MAX(REDOSLIJED!A:A)+1)</f>
        <v>45</v>
      </c>
      <c r="S98" s="9">
        <f>SUM($M$2:M98)</f>
        <v>5.9901388888888958</v>
      </c>
      <c r="T98" s="3">
        <f>PlanMasine[[#This Row],[Datum SAS]]-1</f>
        <v>45798</v>
      </c>
      <c r="U98">
        <f>WEEKDAY(PlanMasine[[#This Row],[ZAVRŠETAK MAŠINSKE]],2)</f>
        <v>3</v>
      </c>
      <c r="V98" s="3">
        <f>IF(WEEKDAY(PlanMasine[[#This Row],[Datum SAS]]-1,2)=7,PlanMasine[[#This Row],[Datum SAS]]-3,PlanMasine[[#This Row],[Datum SAS]]-1)</f>
        <v>45798</v>
      </c>
      <c r="W98">
        <f>WEEKNUM(PlanMasine[[#This Row],[Column2]],1)</f>
        <v>21</v>
      </c>
    </row>
    <row r="99" spans="1:23" x14ac:dyDescent="0.35">
      <c r="A99">
        <v>1019957</v>
      </c>
      <c r="B99">
        <v>1</v>
      </c>
      <c r="C99">
        <v>1019974</v>
      </c>
      <c r="D99" t="s">
        <v>1770</v>
      </c>
      <c r="E99">
        <v>120</v>
      </c>
      <c r="F99">
        <v>4</v>
      </c>
      <c r="G99">
        <v>0</v>
      </c>
      <c r="H99">
        <v>0</v>
      </c>
      <c r="I99" t="s">
        <v>24</v>
      </c>
      <c r="J99" t="s">
        <v>597</v>
      </c>
      <c r="K99" t="s">
        <v>1856</v>
      </c>
      <c r="L99" s="3">
        <v>45822</v>
      </c>
      <c r="M99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2.0833333333333332E-2</v>
      </c>
      <c r="N99" s="3">
        <v>45799</v>
      </c>
      <c r="O99" s="5">
        <f>IFERROR((PlanMasine[[#This Row],[Norma]]/PlanMasine[[#This Row],[Q]])*(PlanMasine[[#This Row],[Q]]/SUMIF(C:C,PlanMasine[[#This Row],[RN]],B:B)*PlanMasine[[#This Row],[KPLQ]]),0)</f>
        <v>30</v>
      </c>
      <c r="P99">
        <v>139619</v>
      </c>
      <c r="Q99">
        <f>COUNTIF(PROMJENA!A:A,PlanMasine[[#This Row],[KPL]]&amp;"-"&amp;PlanMasine[[#This Row],[RN]])</f>
        <v>0</v>
      </c>
      <c r="R99">
        <f>IFERROR(INDEX(REDOSLIJED!A:A,MATCH(PlanMasine[[#This Row],[KPL]],REDOSLIJED!B:B,0)),MAX(REDOSLIJED!A:A)+1)</f>
        <v>45</v>
      </c>
      <c r="S99" s="9">
        <f>SUM($M$2:M99)</f>
        <v>6.0109722222222288</v>
      </c>
      <c r="T99" s="3">
        <f>PlanMasine[[#This Row],[Datum SAS]]-1</f>
        <v>45798</v>
      </c>
      <c r="U99">
        <f>WEEKDAY(PlanMasine[[#This Row],[ZAVRŠETAK MAŠINSKE]],2)</f>
        <v>3</v>
      </c>
      <c r="V99" s="3">
        <f>IF(WEEKDAY(PlanMasine[[#This Row],[Datum SAS]]-1,2)=7,PlanMasine[[#This Row],[Datum SAS]]-3,PlanMasine[[#This Row],[Datum SAS]]-1)</f>
        <v>45798</v>
      </c>
      <c r="W99">
        <f>WEEKNUM(PlanMasine[[#This Row],[Column2]],1)</f>
        <v>21</v>
      </c>
    </row>
    <row r="100" spans="1:23" x14ac:dyDescent="0.35">
      <c r="A100">
        <v>1019957</v>
      </c>
      <c r="B100">
        <v>1</v>
      </c>
      <c r="C100">
        <v>1019973</v>
      </c>
      <c r="D100" t="s">
        <v>977</v>
      </c>
      <c r="E100">
        <v>100</v>
      </c>
      <c r="F100">
        <v>4</v>
      </c>
      <c r="G100">
        <v>0</v>
      </c>
      <c r="H100">
        <v>0</v>
      </c>
      <c r="I100" t="s">
        <v>24</v>
      </c>
      <c r="J100" t="s">
        <v>597</v>
      </c>
      <c r="K100" t="s">
        <v>1856</v>
      </c>
      <c r="L100" s="3">
        <v>45822</v>
      </c>
      <c r="M100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1.7361111111111112E-2</v>
      </c>
      <c r="N100" s="3">
        <v>45799</v>
      </c>
      <c r="O100" s="5">
        <f>IFERROR((PlanMasine[[#This Row],[Norma]]/PlanMasine[[#This Row],[Q]])*(PlanMasine[[#This Row],[Q]]/SUMIF(C:C,PlanMasine[[#This Row],[RN]],B:B)*PlanMasine[[#This Row],[KPLQ]]),0)</f>
        <v>25</v>
      </c>
      <c r="P100">
        <v>139618</v>
      </c>
      <c r="Q100">
        <f>COUNTIF(PROMJENA!A:A,PlanMasine[[#This Row],[KPL]]&amp;"-"&amp;PlanMasine[[#This Row],[RN]])</f>
        <v>0</v>
      </c>
      <c r="R100">
        <f>IFERROR(INDEX(REDOSLIJED!A:A,MATCH(PlanMasine[[#This Row],[KPL]],REDOSLIJED!B:B,0)),MAX(REDOSLIJED!A:A)+1)</f>
        <v>45</v>
      </c>
      <c r="S100" s="9">
        <f>SUM($M$2:M100)</f>
        <v>6.0283333333333395</v>
      </c>
      <c r="T100" s="3">
        <f>PlanMasine[[#This Row],[Datum SAS]]-1</f>
        <v>45798</v>
      </c>
      <c r="U100">
        <f>WEEKDAY(PlanMasine[[#This Row],[ZAVRŠETAK MAŠINSKE]],2)</f>
        <v>3</v>
      </c>
      <c r="V100" s="3">
        <f>IF(WEEKDAY(PlanMasine[[#This Row],[Datum SAS]]-1,2)=7,PlanMasine[[#This Row],[Datum SAS]]-3,PlanMasine[[#This Row],[Datum SAS]]-1)</f>
        <v>45798</v>
      </c>
      <c r="W100">
        <f>WEEKNUM(PlanMasine[[#This Row],[Column2]],1)</f>
        <v>21</v>
      </c>
    </row>
    <row r="101" spans="1:23" x14ac:dyDescent="0.35">
      <c r="A101">
        <v>1019957</v>
      </c>
      <c r="B101">
        <v>1</v>
      </c>
      <c r="C101">
        <v>1019970</v>
      </c>
      <c r="D101" t="s">
        <v>1771</v>
      </c>
      <c r="E101">
        <v>60</v>
      </c>
      <c r="F101">
        <v>4</v>
      </c>
      <c r="G101">
        <v>0</v>
      </c>
      <c r="H101">
        <v>0</v>
      </c>
      <c r="I101" t="s">
        <v>24</v>
      </c>
      <c r="J101" t="s">
        <v>597</v>
      </c>
      <c r="K101" t="s">
        <v>1856</v>
      </c>
      <c r="L101" s="3">
        <v>45822</v>
      </c>
      <c r="M101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1.0416666666666666E-2</v>
      </c>
      <c r="N101" s="3">
        <v>45799</v>
      </c>
      <c r="O101" s="5">
        <f>IFERROR((PlanMasine[[#This Row],[Norma]]/PlanMasine[[#This Row],[Q]])*(PlanMasine[[#This Row],[Q]]/SUMIF(C:C,PlanMasine[[#This Row],[RN]],B:B)*PlanMasine[[#This Row],[KPLQ]]),0)</f>
        <v>15</v>
      </c>
      <c r="P101">
        <v>139615</v>
      </c>
      <c r="Q101">
        <f>COUNTIF(PROMJENA!A:A,PlanMasine[[#This Row],[KPL]]&amp;"-"&amp;PlanMasine[[#This Row],[RN]])</f>
        <v>0</v>
      </c>
      <c r="R101">
        <f>IFERROR(INDEX(REDOSLIJED!A:A,MATCH(PlanMasine[[#This Row],[KPL]],REDOSLIJED!B:B,0)),MAX(REDOSLIJED!A:A)+1)</f>
        <v>45</v>
      </c>
      <c r="S101" s="9">
        <f>SUM($M$2:M101)</f>
        <v>6.0387500000000065</v>
      </c>
      <c r="T101" s="3">
        <f>PlanMasine[[#This Row],[Datum SAS]]-1</f>
        <v>45798</v>
      </c>
      <c r="U101">
        <f>WEEKDAY(PlanMasine[[#This Row],[ZAVRŠETAK MAŠINSKE]],2)</f>
        <v>3</v>
      </c>
      <c r="V101" s="3">
        <f>IF(WEEKDAY(PlanMasine[[#This Row],[Datum SAS]]-1,2)=7,PlanMasine[[#This Row],[Datum SAS]]-3,PlanMasine[[#This Row],[Datum SAS]]-1)</f>
        <v>45798</v>
      </c>
      <c r="W101">
        <f>WEEKNUM(PlanMasine[[#This Row],[Column2]],1)</f>
        <v>21</v>
      </c>
    </row>
    <row r="102" spans="1:23" x14ac:dyDescent="0.35">
      <c r="A102">
        <v>1019958</v>
      </c>
      <c r="B102">
        <v>1</v>
      </c>
      <c r="C102">
        <v>1019974</v>
      </c>
      <c r="D102" t="s">
        <v>1770</v>
      </c>
      <c r="E102">
        <v>120</v>
      </c>
      <c r="F102">
        <v>4</v>
      </c>
      <c r="G102">
        <v>0</v>
      </c>
      <c r="H102">
        <v>0</v>
      </c>
      <c r="I102" t="s">
        <v>24</v>
      </c>
      <c r="J102" t="s">
        <v>597</v>
      </c>
      <c r="K102" t="s">
        <v>1856</v>
      </c>
      <c r="L102" s="3">
        <v>45822</v>
      </c>
      <c r="M102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2.0833333333333332E-2</v>
      </c>
      <c r="N102" s="3">
        <v>45799</v>
      </c>
      <c r="O102" s="5">
        <f>IFERROR((PlanMasine[[#This Row],[Norma]]/PlanMasine[[#This Row],[Q]])*(PlanMasine[[#This Row],[Q]]/SUMIF(C:C,PlanMasine[[#This Row],[RN]],B:B)*PlanMasine[[#This Row],[KPLQ]]),0)</f>
        <v>30</v>
      </c>
      <c r="P102">
        <v>139619</v>
      </c>
      <c r="Q102">
        <f>COUNTIF(PROMJENA!A:A,PlanMasine[[#This Row],[KPL]]&amp;"-"&amp;PlanMasine[[#This Row],[RN]])</f>
        <v>0</v>
      </c>
      <c r="R102">
        <f>IFERROR(INDEX(REDOSLIJED!A:A,MATCH(PlanMasine[[#This Row],[KPL]],REDOSLIJED!B:B,0)),MAX(REDOSLIJED!A:A)+1)</f>
        <v>45</v>
      </c>
      <c r="S102" s="9">
        <f>SUM($M$2:M102)</f>
        <v>6.0595833333333395</v>
      </c>
      <c r="T102" s="3">
        <f>PlanMasine[[#This Row],[Datum SAS]]-1</f>
        <v>45798</v>
      </c>
      <c r="U102">
        <f>WEEKDAY(PlanMasine[[#This Row],[ZAVRŠETAK MAŠINSKE]],2)</f>
        <v>3</v>
      </c>
      <c r="V102" s="3">
        <f>IF(WEEKDAY(PlanMasine[[#This Row],[Datum SAS]]-1,2)=7,PlanMasine[[#This Row],[Datum SAS]]-3,PlanMasine[[#This Row],[Datum SAS]]-1)</f>
        <v>45798</v>
      </c>
      <c r="W102">
        <f>WEEKNUM(PlanMasine[[#This Row],[Column2]],1)</f>
        <v>21</v>
      </c>
    </row>
    <row r="103" spans="1:23" x14ac:dyDescent="0.35">
      <c r="A103">
        <v>1019958</v>
      </c>
      <c r="B103">
        <v>1</v>
      </c>
      <c r="C103">
        <v>1019979</v>
      </c>
      <c r="D103" t="s">
        <v>1855</v>
      </c>
      <c r="E103">
        <v>80</v>
      </c>
      <c r="F103">
        <v>8</v>
      </c>
      <c r="G103">
        <v>0</v>
      </c>
      <c r="H103">
        <v>0</v>
      </c>
      <c r="I103" t="s">
        <v>24</v>
      </c>
      <c r="J103" t="s">
        <v>597</v>
      </c>
      <c r="K103" t="s">
        <v>1856</v>
      </c>
      <c r="L103" s="3">
        <v>45822</v>
      </c>
      <c r="M103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1.3888888888888888E-2</v>
      </c>
      <c r="N103" s="3">
        <v>45799</v>
      </c>
      <c r="O103" s="5">
        <f>IFERROR((PlanMasine[[#This Row],[Norma]]/PlanMasine[[#This Row],[Q]])*(PlanMasine[[#This Row],[Q]]/SUMIF(C:C,PlanMasine[[#This Row],[RN]],B:B)*PlanMasine[[#This Row],[KPLQ]]),0)</f>
        <v>20</v>
      </c>
      <c r="P103">
        <v>139624</v>
      </c>
      <c r="Q103">
        <f>COUNTIF(PROMJENA!A:A,PlanMasine[[#This Row],[KPL]]&amp;"-"&amp;PlanMasine[[#This Row],[RN]])</f>
        <v>0</v>
      </c>
      <c r="R103">
        <f>IFERROR(INDEX(REDOSLIJED!A:A,MATCH(PlanMasine[[#This Row],[KPL]],REDOSLIJED!B:B,0)),MAX(REDOSLIJED!A:A)+1)</f>
        <v>45</v>
      </c>
      <c r="S103" s="9">
        <f>SUM($M$2:M103)</f>
        <v>6.0734722222222288</v>
      </c>
      <c r="T103" s="3">
        <f>PlanMasine[[#This Row],[Datum SAS]]-1</f>
        <v>45798</v>
      </c>
      <c r="U103">
        <f>WEEKDAY(PlanMasine[[#This Row],[ZAVRŠETAK MAŠINSKE]],2)</f>
        <v>3</v>
      </c>
      <c r="V103" s="3">
        <f>IF(WEEKDAY(PlanMasine[[#This Row],[Datum SAS]]-1,2)=7,PlanMasine[[#This Row],[Datum SAS]]-3,PlanMasine[[#This Row],[Datum SAS]]-1)</f>
        <v>45798</v>
      </c>
      <c r="W103">
        <f>WEEKNUM(PlanMasine[[#This Row],[Column2]],1)</f>
        <v>21</v>
      </c>
    </row>
    <row r="104" spans="1:23" x14ac:dyDescent="0.35">
      <c r="A104">
        <v>1019958</v>
      </c>
      <c r="B104">
        <v>1</v>
      </c>
      <c r="C104">
        <v>1019970</v>
      </c>
      <c r="D104" t="s">
        <v>1771</v>
      </c>
      <c r="E104">
        <v>60</v>
      </c>
      <c r="F104">
        <v>4</v>
      </c>
      <c r="G104">
        <v>0</v>
      </c>
      <c r="H104">
        <v>0</v>
      </c>
      <c r="I104" t="s">
        <v>24</v>
      </c>
      <c r="J104" t="s">
        <v>597</v>
      </c>
      <c r="K104" t="s">
        <v>1856</v>
      </c>
      <c r="L104" s="3">
        <v>45822</v>
      </c>
      <c r="M104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1.0416666666666666E-2</v>
      </c>
      <c r="N104" s="3">
        <v>45799</v>
      </c>
      <c r="O104" s="5">
        <f>IFERROR((PlanMasine[[#This Row],[Norma]]/PlanMasine[[#This Row],[Q]])*(PlanMasine[[#This Row],[Q]]/SUMIF(C:C,PlanMasine[[#This Row],[RN]],B:B)*PlanMasine[[#This Row],[KPLQ]]),0)</f>
        <v>15</v>
      </c>
      <c r="P104">
        <v>139615</v>
      </c>
      <c r="Q104">
        <f>COUNTIF(PROMJENA!A:A,PlanMasine[[#This Row],[KPL]]&amp;"-"&amp;PlanMasine[[#This Row],[RN]])</f>
        <v>0</v>
      </c>
      <c r="R104">
        <f>IFERROR(INDEX(REDOSLIJED!A:A,MATCH(PlanMasine[[#This Row],[KPL]],REDOSLIJED!B:B,0)),MAX(REDOSLIJED!A:A)+1)</f>
        <v>45</v>
      </c>
      <c r="S104" s="9">
        <f>SUM($M$2:M104)</f>
        <v>6.0838888888888958</v>
      </c>
      <c r="T104" s="3">
        <f>PlanMasine[[#This Row],[Datum SAS]]-1</f>
        <v>45798</v>
      </c>
      <c r="U104">
        <f>WEEKDAY(PlanMasine[[#This Row],[ZAVRŠETAK MAŠINSKE]],2)</f>
        <v>3</v>
      </c>
      <c r="V104" s="3">
        <f>IF(WEEKDAY(PlanMasine[[#This Row],[Datum SAS]]-1,2)=7,PlanMasine[[#This Row],[Datum SAS]]-3,PlanMasine[[#This Row],[Datum SAS]]-1)</f>
        <v>45798</v>
      </c>
      <c r="W104">
        <f>WEEKNUM(PlanMasine[[#This Row],[Column2]],1)</f>
        <v>21</v>
      </c>
    </row>
    <row r="105" spans="1:23" x14ac:dyDescent="0.35">
      <c r="A105">
        <v>1019958</v>
      </c>
      <c r="B105">
        <v>1</v>
      </c>
      <c r="C105">
        <v>1019973</v>
      </c>
      <c r="D105" t="s">
        <v>977</v>
      </c>
      <c r="E105">
        <v>100</v>
      </c>
      <c r="F105">
        <v>4</v>
      </c>
      <c r="G105">
        <v>0</v>
      </c>
      <c r="H105">
        <v>0</v>
      </c>
      <c r="I105" t="s">
        <v>24</v>
      </c>
      <c r="J105" t="s">
        <v>597</v>
      </c>
      <c r="K105" t="s">
        <v>1856</v>
      </c>
      <c r="L105" s="3">
        <v>45822</v>
      </c>
      <c r="M105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1.7361111111111112E-2</v>
      </c>
      <c r="N105" s="3">
        <v>45799</v>
      </c>
      <c r="O105" s="5">
        <f>IFERROR((PlanMasine[[#This Row],[Norma]]/PlanMasine[[#This Row],[Q]])*(PlanMasine[[#This Row],[Q]]/SUMIF(C:C,PlanMasine[[#This Row],[RN]],B:B)*PlanMasine[[#This Row],[KPLQ]]),0)</f>
        <v>25</v>
      </c>
      <c r="P105">
        <v>139618</v>
      </c>
      <c r="Q105">
        <f>COUNTIF(PROMJENA!A:A,PlanMasine[[#This Row],[KPL]]&amp;"-"&amp;PlanMasine[[#This Row],[RN]])</f>
        <v>0</v>
      </c>
      <c r="R105">
        <f>IFERROR(INDEX(REDOSLIJED!A:A,MATCH(PlanMasine[[#This Row],[KPL]],REDOSLIJED!B:B,0)),MAX(REDOSLIJED!A:A)+1)</f>
        <v>45</v>
      </c>
      <c r="S105" s="9">
        <f>SUM($M$2:M105)</f>
        <v>6.1012500000000065</v>
      </c>
      <c r="T105" s="3">
        <f>PlanMasine[[#This Row],[Datum SAS]]-1</f>
        <v>45798</v>
      </c>
      <c r="U105">
        <f>WEEKDAY(PlanMasine[[#This Row],[ZAVRŠETAK MAŠINSKE]],2)</f>
        <v>3</v>
      </c>
      <c r="V105" s="3">
        <f>IF(WEEKDAY(PlanMasine[[#This Row],[Datum SAS]]-1,2)=7,PlanMasine[[#This Row],[Datum SAS]]-3,PlanMasine[[#This Row],[Datum SAS]]-1)</f>
        <v>45798</v>
      </c>
      <c r="W105">
        <f>WEEKNUM(PlanMasine[[#This Row],[Column2]],1)</f>
        <v>21</v>
      </c>
    </row>
    <row r="106" spans="1:23" x14ac:dyDescent="0.35">
      <c r="A106">
        <v>1019959</v>
      </c>
      <c r="B106">
        <v>1</v>
      </c>
      <c r="C106">
        <v>1019970</v>
      </c>
      <c r="D106" t="s">
        <v>1771</v>
      </c>
      <c r="E106">
        <v>60</v>
      </c>
      <c r="F106">
        <v>4</v>
      </c>
      <c r="G106">
        <v>0</v>
      </c>
      <c r="H106">
        <v>0</v>
      </c>
      <c r="I106" t="s">
        <v>24</v>
      </c>
      <c r="J106" t="s">
        <v>597</v>
      </c>
      <c r="K106" t="s">
        <v>1856</v>
      </c>
      <c r="L106" s="3">
        <v>45822</v>
      </c>
      <c r="M106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1.0416666666666666E-2</v>
      </c>
      <c r="N106" s="3">
        <v>45799</v>
      </c>
      <c r="O106" s="5">
        <f>IFERROR((PlanMasine[[#This Row],[Norma]]/PlanMasine[[#This Row],[Q]])*(PlanMasine[[#This Row],[Q]]/SUMIF(C:C,PlanMasine[[#This Row],[RN]],B:B)*PlanMasine[[#This Row],[KPLQ]]),0)</f>
        <v>15</v>
      </c>
      <c r="P106">
        <v>139615</v>
      </c>
      <c r="Q106">
        <f>COUNTIF(PROMJENA!A:A,PlanMasine[[#This Row],[KPL]]&amp;"-"&amp;PlanMasine[[#This Row],[RN]])</f>
        <v>0</v>
      </c>
      <c r="R106">
        <f>IFERROR(INDEX(REDOSLIJED!A:A,MATCH(PlanMasine[[#This Row],[KPL]],REDOSLIJED!B:B,0)),MAX(REDOSLIJED!A:A)+1)</f>
        <v>45</v>
      </c>
      <c r="S106" s="9">
        <f>SUM($M$2:M106)</f>
        <v>6.1116666666666735</v>
      </c>
      <c r="T106" s="3">
        <f>PlanMasine[[#This Row],[Datum SAS]]-1</f>
        <v>45798</v>
      </c>
      <c r="U106">
        <f>WEEKDAY(PlanMasine[[#This Row],[ZAVRŠETAK MAŠINSKE]],2)</f>
        <v>3</v>
      </c>
      <c r="V106" s="3">
        <f>IF(WEEKDAY(PlanMasine[[#This Row],[Datum SAS]]-1,2)=7,PlanMasine[[#This Row],[Datum SAS]]-3,PlanMasine[[#This Row],[Datum SAS]]-1)</f>
        <v>45798</v>
      </c>
      <c r="W106">
        <f>WEEKNUM(PlanMasine[[#This Row],[Column2]],1)</f>
        <v>21</v>
      </c>
    </row>
    <row r="107" spans="1:23" x14ac:dyDescent="0.35">
      <c r="A107">
        <v>1019959</v>
      </c>
      <c r="B107">
        <v>1</v>
      </c>
      <c r="C107">
        <v>1019973</v>
      </c>
      <c r="D107" t="s">
        <v>977</v>
      </c>
      <c r="E107">
        <v>100</v>
      </c>
      <c r="F107">
        <v>4</v>
      </c>
      <c r="G107">
        <v>0</v>
      </c>
      <c r="H107">
        <v>0</v>
      </c>
      <c r="I107" t="s">
        <v>24</v>
      </c>
      <c r="J107" t="s">
        <v>597</v>
      </c>
      <c r="K107" t="s">
        <v>1856</v>
      </c>
      <c r="L107" s="3">
        <v>45822</v>
      </c>
      <c r="M107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1.7361111111111112E-2</v>
      </c>
      <c r="N107" s="3">
        <v>45799</v>
      </c>
      <c r="O107" s="5">
        <f>IFERROR((PlanMasine[[#This Row],[Norma]]/PlanMasine[[#This Row],[Q]])*(PlanMasine[[#This Row],[Q]]/SUMIF(C:C,PlanMasine[[#This Row],[RN]],B:B)*PlanMasine[[#This Row],[KPLQ]]),0)</f>
        <v>25</v>
      </c>
      <c r="P107">
        <v>139618</v>
      </c>
      <c r="Q107">
        <f>COUNTIF(PROMJENA!A:A,PlanMasine[[#This Row],[KPL]]&amp;"-"&amp;PlanMasine[[#This Row],[RN]])</f>
        <v>0</v>
      </c>
      <c r="R107">
        <f>IFERROR(INDEX(REDOSLIJED!A:A,MATCH(PlanMasine[[#This Row],[KPL]],REDOSLIJED!B:B,0)),MAX(REDOSLIJED!A:A)+1)</f>
        <v>45</v>
      </c>
      <c r="S107" s="9">
        <f>SUM($M$2:M107)</f>
        <v>6.1290277777777842</v>
      </c>
      <c r="T107" s="3">
        <f>PlanMasine[[#This Row],[Datum SAS]]-1</f>
        <v>45798</v>
      </c>
      <c r="U107">
        <f>WEEKDAY(PlanMasine[[#This Row],[ZAVRŠETAK MAŠINSKE]],2)</f>
        <v>3</v>
      </c>
      <c r="V107" s="3">
        <f>IF(WEEKDAY(PlanMasine[[#This Row],[Datum SAS]]-1,2)=7,PlanMasine[[#This Row],[Datum SAS]]-3,PlanMasine[[#This Row],[Datum SAS]]-1)</f>
        <v>45798</v>
      </c>
      <c r="W107">
        <f>WEEKNUM(PlanMasine[[#This Row],[Column2]],1)</f>
        <v>21</v>
      </c>
    </row>
    <row r="108" spans="1:23" x14ac:dyDescent="0.35">
      <c r="A108">
        <v>1019959</v>
      </c>
      <c r="B108">
        <v>1</v>
      </c>
      <c r="C108">
        <v>1019974</v>
      </c>
      <c r="D108" t="s">
        <v>1770</v>
      </c>
      <c r="E108">
        <v>120</v>
      </c>
      <c r="F108">
        <v>4</v>
      </c>
      <c r="G108">
        <v>0</v>
      </c>
      <c r="H108">
        <v>0</v>
      </c>
      <c r="I108" t="s">
        <v>24</v>
      </c>
      <c r="J108" t="s">
        <v>597</v>
      </c>
      <c r="K108" t="s">
        <v>1856</v>
      </c>
      <c r="L108" s="3">
        <v>45822</v>
      </c>
      <c r="M108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2.0833333333333332E-2</v>
      </c>
      <c r="N108" s="3">
        <v>45799</v>
      </c>
      <c r="O108" s="5">
        <f>IFERROR((PlanMasine[[#This Row],[Norma]]/PlanMasine[[#This Row],[Q]])*(PlanMasine[[#This Row],[Q]]/SUMIF(C:C,PlanMasine[[#This Row],[RN]],B:B)*PlanMasine[[#This Row],[KPLQ]]),0)</f>
        <v>30</v>
      </c>
      <c r="P108">
        <v>139619</v>
      </c>
      <c r="Q108">
        <f>COUNTIF(PROMJENA!A:A,PlanMasine[[#This Row],[KPL]]&amp;"-"&amp;PlanMasine[[#This Row],[RN]])</f>
        <v>0</v>
      </c>
      <c r="R108">
        <f>IFERROR(INDEX(REDOSLIJED!A:A,MATCH(PlanMasine[[#This Row],[KPL]],REDOSLIJED!B:B,0)),MAX(REDOSLIJED!A:A)+1)</f>
        <v>45</v>
      </c>
      <c r="S108" s="9">
        <f>SUM($M$2:M108)</f>
        <v>6.1498611111111172</v>
      </c>
      <c r="T108" s="3">
        <f>PlanMasine[[#This Row],[Datum SAS]]-1</f>
        <v>45798</v>
      </c>
      <c r="U108">
        <f>WEEKDAY(PlanMasine[[#This Row],[ZAVRŠETAK MAŠINSKE]],2)</f>
        <v>3</v>
      </c>
      <c r="V108" s="3">
        <f>IF(WEEKDAY(PlanMasine[[#This Row],[Datum SAS]]-1,2)=7,PlanMasine[[#This Row],[Datum SAS]]-3,PlanMasine[[#This Row],[Datum SAS]]-1)</f>
        <v>45798</v>
      </c>
      <c r="W108">
        <f>WEEKNUM(PlanMasine[[#This Row],[Column2]],1)</f>
        <v>21</v>
      </c>
    </row>
    <row r="109" spans="1:23" x14ac:dyDescent="0.35">
      <c r="A109">
        <v>1019959</v>
      </c>
      <c r="B109">
        <v>1</v>
      </c>
      <c r="C109">
        <v>1019979</v>
      </c>
      <c r="D109" t="s">
        <v>1855</v>
      </c>
      <c r="E109">
        <v>80</v>
      </c>
      <c r="F109">
        <v>8</v>
      </c>
      <c r="G109">
        <v>0</v>
      </c>
      <c r="H109">
        <v>0</v>
      </c>
      <c r="I109" t="s">
        <v>24</v>
      </c>
      <c r="J109" t="s">
        <v>597</v>
      </c>
      <c r="K109" t="s">
        <v>1856</v>
      </c>
      <c r="L109" s="3">
        <v>45822</v>
      </c>
      <c r="M109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1.3888888888888888E-2</v>
      </c>
      <c r="N109" s="3">
        <v>45799</v>
      </c>
      <c r="O109" s="5">
        <f>IFERROR((PlanMasine[[#This Row],[Norma]]/PlanMasine[[#This Row],[Q]])*(PlanMasine[[#This Row],[Q]]/SUMIF(C:C,PlanMasine[[#This Row],[RN]],B:B)*PlanMasine[[#This Row],[KPLQ]]),0)</f>
        <v>20</v>
      </c>
      <c r="P109">
        <v>139624</v>
      </c>
      <c r="Q109">
        <f>COUNTIF(PROMJENA!A:A,PlanMasine[[#This Row],[KPL]]&amp;"-"&amp;PlanMasine[[#This Row],[RN]])</f>
        <v>0</v>
      </c>
      <c r="R109">
        <f>IFERROR(INDEX(REDOSLIJED!A:A,MATCH(PlanMasine[[#This Row],[KPL]],REDOSLIJED!B:B,0)),MAX(REDOSLIJED!A:A)+1)</f>
        <v>45</v>
      </c>
      <c r="S109" s="9">
        <f>SUM($M$2:M109)</f>
        <v>6.1637500000000065</v>
      </c>
      <c r="T109" s="3">
        <f>PlanMasine[[#This Row],[Datum SAS]]-1</f>
        <v>45798</v>
      </c>
      <c r="U109">
        <f>WEEKDAY(PlanMasine[[#This Row],[ZAVRŠETAK MAŠINSKE]],2)</f>
        <v>3</v>
      </c>
      <c r="V109" s="3">
        <f>IF(WEEKDAY(PlanMasine[[#This Row],[Datum SAS]]-1,2)=7,PlanMasine[[#This Row],[Datum SAS]]-3,PlanMasine[[#This Row],[Datum SAS]]-1)</f>
        <v>45798</v>
      </c>
      <c r="W109">
        <f>WEEKNUM(PlanMasine[[#This Row],[Column2]],1)</f>
        <v>21</v>
      </c>
    </row>
    <row r="110" spans="1:23" x14ac:dyDescent="0.35">
      <c r="A110">
        <v>1013477</v>
      </c>
      <c r="B110">
        <v>1</v>
      </c>
      <c r="C110">
        <v>1013573</v>
      </c>
      <c r="D110" t="s">
        <v>453</v>
      </c>
      <c r="E110">
        <v>30</v>
      </c>
      <c r="F110">
        <v>1</v>
      </c>
      <c r="G110">
        <v>0</v>
      </c>
      <c r="H110">
        <v>0</v>
      </c>
      <c r="I110" t="s">
        <v>24</v>
      </c>
      <c r="J110" t="s">
        <v>597</v>
      </c>
      <c r="K110" t="s">
        <v>1857</v>
      </c>
      <c r="L110" s="3">
        <v>45820</v>
      </c>
      <c r="M110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2.0833333333333332E-2</v>
      </c>
      <c r="N110" s="3">
        <v>45803</v>
      </c>
      <c r="O110" s="5">
        <f>IFERROR((PlanMasine[[#This Row],[Norma]]/PlanMasine[[#This Row],[Q]])*(PlanMasine[[#This Row],[Q]]/SUMIF(C:C,PlanMasine[[#This Row],[RN]],B:B)*PlanMasine[[#This Row],[KPLQ]]),0)</f>
        <v>30</v>
      </c>
      <c r="P110">
        <v>175904</v>
      </c>
      <c r="Q110">
        <f>COUNTIF(PROMJENA!A:A,PlanMasine[[#This Row],[KPL]]&amp;"-"&amp;PlanMasine[[#This Row],[RN]])</f>
        <v>0</v>
      </c>
      <c r="R110">
        <f>IFERROR(INDEX(REDOSLIJED!A:A,MATCH(PlanMasine[[#This Row],[KPL]],REDOSLIJED!B:B,0)),MAX(REDOSLIJED!A:A)+1)</f>
        <v>45</v>
      </c>
      <c r="S110" s="9">
        <f>SUM($M$2:M110)</f>
        <v>6.1845833333333395</v>
      </c>
      <c r="T110" s="3">
        <f>PlanMasine[[#This Row],[Datum SAS]]-1</f>
        <v>45802</v>
      </c>
      <c r="U110">
        <f>WEEKDAY(PlanMasine[[#This Row],[ZAVRŠETAK MAŠINSKE]],2)</f>
        <v>7</v>
      </c>
      <c r="V110" s="3">
        <f>IF(WEEKDAY(PlanMasine[[#This Row],[Datum SAS]]-1,2)=7,PlanMasine[[#This Row],[Datum SAS]]-3,PlanMasine[[#This Row],[Datum SAS]]-1)</f>
        <v>45800</v>
      </c>
      <c r="W110">
        <f>WEEKNUM(PlanMasine[[#This Row],[Column2]],1)</f>
        <v>21</v>
      </c>
    </row>
    <row r="111" spans="1:23" x14ac:dyDescent="0.35">
      <c r="A111">
        <v>1013477</v>
      </c>
      <c r="B111">
        <v>1</v>
      </c>
      <c r="C111">
        <v>1013498</v>
      </c>
      <c r="D111" t="s">
        <v>451</v>
      </c>
      <c r="E111">
        <v>15</v>
      </c>
      <c r="F111">
        <v>1</v>
      </c>
      <c r="G111">
        <v>0</v>
      </c>
      <c r="H111">
        <v>0</v>
      </c>
      <c r="I111" t="s">
        <v>24</v>
      </c>
      <c r="J111" t="s">
        <v>597</v>
      </c>
      <c r="K111" t="s">
        <v>1857</v>
      </c>
      <c r="L111" s="3">
        <v>45820</v>
      </c>
      <c r="M111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1.0416666666666666E-2</v>
      </c>
      <c r="N111" s="3">
        <v>45803</v>
      </c>
      <c r="O111" s="5">
        <f>IFERROR((PlanMasine[[#This Row],[Norma]]/PlanMasine[[#This Row],[Q]])*(PlanMasine[[#This Row],[Q]]/SUMIF(C:C,PlanMasine[[#This Row],[RN]],B:B)*PlanMasine[[#This Row],[KPLQ]]),0)</f>
        <v>15</v>
      </c>
      <c r="P111">
        <v>175819</v>
      </c>
      <c r="Q111">
        <f>COUNTIF(PROMJENA!A:A,PlanMasine[[#This Row],[KPL]]&amp;"-"&amp;PlanMasine[[#This Row],[RN]])</f>
        <v>0</v>
      </c>
      <c r="R111">
        <f>IFERROR(INDEX(REDOSLIJED!A:A,MATCH(PlanMasine[[#This Row],[KPL]],REDOSLIJED!B:B,0)),MAX(REDOSLIJED!A:A)+1)</f>
        <v>45</v>
      </c>
      <c r="S111" s="9">
        <f>SUM($M$2:M111)</f>
        <v>6.1950000000000065</v>
      </c>
      <c r="T111" s="3">
        <f>PlanMasine[[#This Row],[Datum SAS]]-1</f>
        <v>45802</v>
      </c>
      <c r="U111">
        <f>WEEKDAY(PlanMasine[[#This Row],[ZAVRŠETAK MAŠINSKE]],2)</f>
        <v>7</v>
      </c>
      <c r="V111" s="3">
        <f>IF(WEEKDAY(PlanMasine[[#This Row],[Datum SAS]]-1,2)=7,PlanMasine[[#This Row],[Datum SAS]]-3,PlanMasine[[#This Row],[Datum SAS]]-1)</f>
        <v>45800</v>
      </c>
      <c r="W111">
        <f>WEEKNUM(PlanMasine[[#This Row],[Column2]],1)</f>
        <v>21</v>
      </c>
    </row>
    <row r="112" spans="1:23" x14ac:dyDescent="0.35">
      <c r="A112">
        <v>1013612</v>
      </c>
      <c r="B112">
        <v>1</v>
      </c>
      <c r="C112">
        <v>1013633</v>
      </c>
      <c r="D112" t="s">
        <v>451</v>
      </c>
      <c r="E112">
        <v>15</v>
      </c>
      <c r="F112">
        <v>1</v>
      </c>
      <c r="G112">
        <v>0</v>
      </c>
      <c r="H112">
        <v>0</v>
      </c>
      <c r="I112" t="s">
        <v>24</v>
      </c>
      <c r="J112" t="s">
        <v>597</v>
      </c>
      <c r="K112" t="s">
        <v>1858</v>
      </c>
      <c r="L112" s="3">
        <v>45820</v>
      </c>
      <c r="M112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1.0416666666666666E-2</v>
      </c>
      <c r="N112" s="3">
        <v>45803</v>
      </c>
      <c r="O112" s="5">
        <f>IFERROR((PlanMasine[[#This Row],[Norma]]/PlanMasine[[#This Row],[Q]])*(PlanMasine[[#This Row],[Q]]/SUMIF(C:C,PlanMasine[[#This Row],[RN]],B:B)*PlanMasine[[#This Row],[KPLQ]]),0)</f>
        <v>15</v>
      </c>
      <c r="P112">
        <v>175819</v>
      </c>
      <c r="Q112">
        <f>COUNTIF(PROMJENA!A:A,PlanMasine[[#This Row],[KPL]]&amp;"-"&amp;PlanMasine[[#This Row],[RN]])</f>
        <v>0</v>
      </c>
      <c r="R112">
        <f>IFERROR(INDEX(REDOSLIJED!A:A,MATCH(PlanMasine[[#This Row],[KPL]],REDOSLIJED!B:B,0)),MAX(REDOSLIJED!A:A)+1)</f>
        <v>45</v>
      </c>
      <c r="S112" s="9">
        <f>SUM($M$2:M112)</f>
        <v>6.2054166666666735</v>
      </c>
      <c r="T112" s="3">
        <f>PlanMasine[[#This Row],[Datum SAS]]-1</f>
        <v>45802</v>
      </c>
      <c r="U112">
        <f>WEEKDAY(PlanMasine[[#This Row],[ZAVRŠETAK MAŠINSKE]],2)</f>
        <v>7</v>
      </c>
      <c r="V112" s="3">
        <f>IF(WEEKDAY(PlanMasine[[#This Row],[Datum SAS]]-1,2)=7,PlanMasine[[#This Row],[Datum SAS]]-3,PlanMasine[[#This Row],[Datum SAS]]-1)</f>
        <v>45800</v>
      </c>
      <c r="W112">
        <f>WEEKNUM(PlanMasine[[#This Row],[Column2]],1)</f>
        <v>21</v>
      </c>
    </row>
    <row r="113" spans="1:23" x14ac:dyDescent="0.35">
      <c r="A113">
        <v>1013612</v>
      </c>
      <c r="B113">
        <v>1</v>
      </c>
      <c r="C113">
        <v>1013708</v>
      </c>
      <c r="D113" t="s">
        <v>453</v>
      </c>
      <c r="E113">
        <v>30</v>
      </c>
      <c r="F113">
        <v>1</v>
      </c>
      <c r="G113">
        <v>0</v>
      </c>
      <c r="H113">
        <v>0</v>
      </c>
      <c r="I113" t="s">
        <v>24</v>
      </c>
      <c r="J113" t="s">
        <v>597</v>
      </c>
      <c r="K113" t="s">
        <v>1858</v>
      </c>
      <c r="L113" s="3">
        <v>45820</v>
      </c>
      <c r="M113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2.0833333333333332E-2</v>
      </c>
      <c r="N113" s="3">
        <v>45803</v>
      </c>
      <c r="O113" s="5">
        <f>IFERROR((PlanMasine[[#This Row],[Norma]]/PlanMasine[[#This Row],[Q]])*(PlanMasine[[#This Row],[Q]]/SUMIF(C:C,PlanMasine[[#This Row],[RN]],B:B)*PlanMasine[[#This Row],[KPLQ]]),0)</f>
        <v>30</v>
      </c>
      <c r="P113">
        <v>175904</v>
      </c>
      <c r="Q113">
        <f>COUNTIF(PROMJENA!A:A,PlanMasine[[#This Row],[KPL]]&amp;"-"&amp;PlanMasine[[#This Row],[RN]])</f>
        <v>0</v>
      </c>
      <c r="R113">
        <f>IFERROR(INDEX(REDOSLIJED!A:A,MATCH(PlanMasine[[#This Row],[KPL]],REDOSLIJED!B:B,0)),MAX(REDOSLIJED!A:A)+1)</f>
        <v>45</v>
      </c>
      <c r="S113" s="9">
        <f>SUM($M$2:M113)</f>
        <v>6.2262500000000065</v>
      </c>
      <c r="T113" s="3">
        <f>PlanMasine[[#This Row],[Datum SAS]]-1</f>
        <v>45802</v>
      </c>
      <c r="U113">
        <f>WEEKDAY(PlanMasine[[#This Row],[ZAVRŠETAK MAŠINSKE]],2)</f>
        <v>7</v>
      </c>
      <c r="V113" s="3">
        <f>IF(WEEKDAY(PlanMasine[[#This Row],[Datum SAS]]-1,2)=7,PlanMasine[[#This Row],[Datum SAS]]-3,PlanMasine[[#This Row],[Datum SAS]]-1)</f>
        <v>45800</v>
      </c>
      <c r="W113">
        <f>WEEKNUM(PlanMasine[[#This Row],[Column2]],1)</f>
        <v>21</v>
      </c>
    </row>
    <row r="114" spans="1:23" x14ac:dyDescent="0.35">
      <c r="A114">
        <v>1015986</v>
      </c>
      <c r="B114">
        <v>1</v>
      </c>
      <c r="C114">
        <v>1016057</v>
      </c>
      <c r="D114" t="s">
        <v>1832</v>
      </c>
      <c r="E114">
        <v>7</v>
      </c>
      <c r="F114">
        <v>1</v>
      </c>
      <c r="G114">
        <v>0</v>
      </c>
      <c r="H114">
        <v>0</v>
      </c>
      <c r="I114" t="s">
        <v>24</v>
      </c>
      <c r="J114" t="s">
        <v>597</v>
      </c>
      <c r="K114" t="s">
        <v>1859</v>
      </c>
      <c r="L114" s="3">
        <v>45825</v>
      </c>
      <c r="M114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4.8611111111111112E-3</v>
      </c>
      <c r="N114" s="3">
        <v>45803</v>
      </c>
      <c r="O114" s="5">
        <f>IFERROR((PlanMasine[[#This Row],[Norma]]/PlanMasine[[#This Row],[Q]])*(PlanMasine[[#This Row],[Q]]/SUMIF(C:C,PlanMasine[[#This Row],[RN]],B:B)*PlanMasine[[#This Row],[KPLQ]]),0)</f>
        <v>7</v>
      </c>
      <c r="P114">
        <v>179986</v>
      </c>
      <c r="Q114">
        <f>COUNTIF(PROMJENA!A:A,PlanMasine[[#This Row],[KPL]]&amp;"-"&amp;PlanMasine[[#This Row],[RN]])</f>
        <v>0</v>
      </c>
      <c r="R114">
        <f>IFERROR(INDEX(REDOSLIJED!A:A,MATCH(PlanMasine[[#This Row],[KPL]],REDOSLIJED!B:B,0)),MAX(REDOSLIJED!A:A)+1)</f>
        <v>45</v>
      </c>
      <c r="S114" s="9">
        <f>SUM($M$2:M114)</f>
        <v>6.2311111111111179</v>
      </c>
      <c r="T114" s="3">
        <f>PlanMasine[[#This Row],[Datum SAS]]-1</f>
        <v>45802</v>
      </c>
      <c r="U114">
        <f>WEEKDAY(PlanMasine[[#This Row],[ZAVRŠETAK MAŠINSKE]],2)</f>
        <v>7</v>
      </c>
      <c r="V114" s="3">
        <f>IF(WEEKDAY(PlanMasine[[#This Row],[Datum SAS]]-1,2)=7,PlanMasine[[#This Row],[Datum SAS]]-3,PlanMasine[[#This Row],[Datum SAS]]-1)</f>
        <v>45800</v>
      </c>
      <c r="W114">
        <f>WEEKNUM(PlanMasine[[#This Row],[Column2]],1)</f>
        <v>21</v>
      </c>
    </row>
    <row r="115" spans="1:23" x14ac:dyDescent="0.35">
      <c r="A115">
        <v>1015986</v>
      </c>
      <c r="B115">
        <v>1</v>
      </c>
      <c r="C115">
        <v>1016031</v>
      </c>
      <c r="D115" t="s">
        <v>1860</v>
      </c>
      <c r="E115">
        <v>60</v>
      </c>
      <c r="F115">
        <v>1</v>
      </c>
      <c r="G115">
        <v>0</v>
      </c>
      <c r="H115">
        <v>0</v>
      </c>
      <c r="I115" t="s">
        <v>24</v>
      </c>
      <c r="J115" t="s">
        <v>597</v>
      </c>
      <c r="K115" t="s">
        <v>1859</v>
      </c>
      <c r="L115" s="3">
        <v>45825</v>
      </c>
      <c r="M115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4.1666666666666664E-2</v>
      </c>
      <c r="N115" s="3">
        <v>45803</v>
      </c>
      <c r="O115" s="5">
        <f>IFERROR((PlanMasine[[#This Row],[Norma]]/PlanMasine[[#This Row],[Q]])*(PlanMasine[[#This Row],[Q]]/SUMIF(C:C,PlanMasine[[#This Row],[RN]],B:B)*PlanMasine[[#This Row],[KPLQ]]),0)</f>
        <v>60</v>
      </c>
      <c r="P115">
        <v>179960</v>
      </c>
      <c r="Q115">
        <f>COUNTIF(PROMJENA!A:A,PlanMasine[[#This Row],[KPL]]&amp;"-"&amp;PlanMasine[[#This Row],[RN]])</f>
        <v>0</v>
      </c>
      <c r="R115">
        <f>IFERROR(INDEX(REDOSLIJED!A:A,MATCH(PlanMasine[[#This Row],[KPL]],REDOSLIJED!B:B,0)),MAX(REDOSLIJED!A:A)+1)</f>
        <v>45</v>
      </c>
      <c r="S115" s="9">
        <f>SUM($M$2:M115)</f>
        <v>6.2727777777777849</v>
      </c>
      <c r="T115" s="3">
        <f>PlanMasine[[#This Row],[Datum SAS]]-1</f>
        <v>45802</v>
      </c>
      <c r="U115">
        <f>WEEKDAY(PlanMasine[[#This Row],[ZAVRŠETAK MAŠINSKE]],2)</f>
        <v>7</v>
      </c>
      <c r="V115" s="3">
        <f>IF(WEEKDAY(PlanMasine[[#This Row],[Datum SAS]]-1,2)=7,PlanMasine[[#This Row],[Datum SAS]]-3,PlanMasine[[#This Row],[Datum SAS]]-1)</f>
        <v>45800</v>
      </c>
      <c r="W115">
        <f>WEEKNUM(PlanMasine[[#This Row],[Column2]],1)</f>
        <v>21</v>
      </c>
    </row>
    <row r="116" spans="1:23" x14ac:dyDescent="0.35">
      <c r="A116">
        <v>1015986</v>
      </c>
      <c r="B116">
        <v>1</v>
      </c>
      <c r="C116">
        <v>1016011</v>
      </c>
      <c r="D116" t="s">
        <v>1861</v>
      </c>
      <c r="E116">
        <v>60</v>
      </c>
      <c r="F116">
        <v>1</v>
      </c>
      <c r="G116">
        <v>0</v>
      </c>
      <c r="H116">
        <v>0</v>
      </c>
      <c r="I116" t="s">
        <v>24</v>
      </c>
      <c r="J116" t="s">
        <v>597</v>
      </c>
      <c r="K116" t="s">
        <v>1859</v>
      </c>
      <c r="L116" s="3">
        <v>45825</v>
      </c>
      <c r="M116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4.1666666666666664E-2</v>
      </c>
      <c r="N116" s="3">
        <v>45803</v>
      </c>
      <c r="O116" s="5">
        <f>IFERROR((PlanMasine[[#This Row],[Norma]]/PlanMasine[[#This Row],[Q]])*(PlanMasine[[#This Row],[Q]]/SUMIF(C:C,PlanMasine[[#This Row],[RN]],B:B)*PlanMasine[[#This Row],[KPLQ]]),0)</f>
        <v>60</v>
      </c>
      <c r="P116">
        <v>179940</v>
      </c>
      <c r="Q116">
        <f>COUNTIF(PROMJENA!A:A,PlanMasine[[#This Row],[KPL]]&amp;"-"&amp;PlanMasine[[#This Row],[RN]])</f>
        <v>0</v>
      </c>
      <c r="R116">
        <f>IFERROR(INDEX(REDOSLIJED!A:A,MATCH(PlanMasine[[#This Row],[KPL]],REDOSLIJED!B:B,0)),MAX(REDOSLIJED!A:A)+1)</f>
        <v>45</v>
      </c>
      <c r="S116" s="9">
        <f>SUM($M$2:M116)</f>
        <v>6.3144444444444519</v>
      </c>
      <c r="T116" s="3">
        <f>PlanMasine[[#This Row],[Datum SAS]]-1</f>
        <v>45802</v>
      </c>
      <c r="U116">
        <f>WEEKDAY(PlanMasine[[#This Row],[ZAVRŠETAK MAŠINSKE]],2)</f>
        <v>7</v>
      </c>
      <c r="V116" s="3">
        <f>IF(WEEKDAY(PlanMasine[[#This Row],[Datum SAS]]-1,2)=7,PlanMasine[[#This Row],[Datum SAS]]-3,PlanMasine[[#This Row],[Datum SAS]]-1)</f>
        <v>45800</v>
      </c>
      <c r="W116">
        <f>WEEKNUM(PlanMasine[[#This Row],[Column2]],1)</f>
        <v>21</v>
      </c>
    </row>
    <row r="117" spans="1:23" x14ac:dyDescent="0.35">
      <c r="A117">
        <v>1016441</v>
      </c>
      <c r="B117">
        <v>1</v>
      </c>
      <c r="C117">
        <v>1016443</v>
      </c>
      <c r="D117" t="s">
        <v>1862</v>
      </c>
      <c r="E117">
        <v>45</v>
      </c>
      <c r="F117">
        <v>1</v>
      </c>
      <c r="G117">
        <v>0</v>
      </c>
      <c r="H117">
        <v>0</v>
      </c>
      <c r="I117" t="s">
        <v>24</v>
      </c>
      <c r="J117" t="s">
        <v>597</v>
      </c>
      <c r="K117" t="s">
        <v>1863</v>
      </c>
      <c r="L117" s="3">
        <v>45815</v>
      </c>
      <c r="M117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3.125E-2</v>
      </c>
      <c r="N117" s="3">
        <v>45803</v>
      </c>
      <c r="O117" s="5">
        <f>IFERROR((PlanMasine[[#This Row],[Norma]]/PlanMasine[[#This Row],[Q]])*(PlanMasine[[#This Row],[Q]]/SUMIF(C:C,PlanMasine[[#This Row],[RN]],B:B)*PlanMasine[[#This Row],[KPLQ]]),0)</f>
        <v>45</v>
      </c>
      <c r="P117">
        <v>182553</v>
      </c>
      <c r="Q117">
        <f>COUNTIF(PROMJENA!A:A,PlanMasine[[#This Row],[KPL]]&amp;"-"&amp;PlanMasine[[#This Row],[RN]])</f>
        <v>0</v>
      </c>
      <c r="R117">
        <f>IFERROR(INDEX(REDOSLIJED!A:A,MATCH(PlanMasine[[#This Row],[KPL]],REDOSLIJED!B:B,0)),MAX(REDOSLIJED!A:A)+1)</f>
        <v>45</v>
      </c>
      <c r="S117" s="9">
        <f>SUM($M$2:M117)</f>
        <v>6.3456944444444519</v>
      </c>
      <c r="T117" s="3">
        <f>PlanMasine[[#This Row],[Datum SAS]]-1</f>
        <v>45802</v>
      </c>
      <c r="U117">
        <f>WEEKDAY(PlanMasine[[#This Row],[ZAVRŠETAK MAŠINSKE]],2)</f>
        <v>7</v>
      </c>
      <c r="V117" s="3">
        <f>IF(WEEKDAY(PlanMasine[[#This Row],[Datum SAS]]-1,2)=7,PlanMasine[[#This Row],[Datum SAS]]-3,PlanMasine[[#This Row],[Datum SAS]]-1)</f>
        <v>45800</v>
      </c>
      <c r="W117">
        <f>WEEKNUM(PlanMasine[[#This Row],[Column2]],1)</f>
        <v>21</v>
      </c>
    </row>
    <row r="118" spans="1:23" x14ac:dyDescent="0.35">
      <c r="A118">
        <v>1016620</v>
      </c>
      <c r="B118">
        <v>1</v>
      </c>
      <c r="C118">
        <v>1016624</v>
      </c>
      <c r="D118" t="s">
        <v>1862</v>
      </c>
      <c r="E118">
        <v>135</v>
      </c>
      <c r="F118">
        <v>3</v>
      </c>
      <c r="G118">
        <v>0</v>
      </c>
      <c r="H118">
        <v>0</v>
      </c>
      <c r="I118" t="s">
        <v>24</v>
      </c>
      <c r="J118" t="s">
        <v>597</v>
      </c>
      <c r="K118" t="s">
        <v>1864</v>
      </c>
      <c r="L118" s="3">
        <v>45815</v>
      </c>
      <c r="M118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3.125E-2</v>
      </c>
      <c r="N118" s="3">
        <v>45803</v>
      </c>
      <c r="O118" s="5">
        <f>IFERROR((PlanMasine[[#This Row],[Norma]]/PlanMasine[[#This Row],[Q]])*(PlanMasine[[#This Row],[Q]]/SUMIF(C:C,PlanMasine[[#This Row],[RN]],B:B)*PlanMasine[[#This Row],[KPLQ]]),0)</f>
        <v>45</v>
      </c>
      <c r="P118">
        <v>182553</v>
      </c>
      <c r="Q118">
        <f>COUNTIF(PROMJENA!A:A,PlanMasine[[#This Row],[KPL]]&amp;"-"&amp;PlanMasine[[#This Row],[RN]])</f>
        <v>0</v>
      </c>
      <c r="R118">
        <f>IFERROR(INDEX(REDOSLIJED!A:A,MATCH(PlanMasine[[#This Row],[KPL]],REDOSLIJED!B:B,0)),MAX(REDOSLIJED!A:A)+1)</f>
        <v>45</v>
      </c>
      <c r="S118" s="9">
        <f>SUM($M$2:M118)</f>
        <v>6.3769444444444519</v>
      </c>
      <c r="T118" s="3">
        <f>PlanMasine[[#This Row],[Datum SAS]]-1</f>
        <v>45802</v>
      </c>
      <c r="U118">
        <f>WEEKDAY(PlanMasine[[#This Row],[ZAVRŠETAK MAŠINSKE]],2)</f>
        <v>7</v>
      </c>
      <c r="V118" s="3">
        <f>IF(WEEKDAY(PlanMasine[[#This Row],[Datum SAS]]-1,2)=7,PlanMasine[[#This Row],[Datum SAS]]-3,PlanMasine[[#This Row],[Datum SAS]]-1)</f>
        <v>45800</v>
      </c>
      <c r="W118">
        <f>WEEKNUM(PlanMasine[[#This Row],[Column2]],1)</f>
        <v>21</v>
      </c>
    </row>
    <row r="119" spans="1:23" x14ac:dyDescent="0.35">
      <c r="A119">
        <v>1016621</v>
      </c>
      <c r="B119">
        <v>1</v>
      </c>
      <c r="C119">
        <v>1016624</v>
      </c>
      <c r="D119" t="s">
        <v>1862</v>
      </c>
      <c r="E119">
        <v>135</v>
      </c>
      <c r="F119">
        <v>3</v>
      </c>
      <c r="G119">
        <v>0</v>
      </c>
      <c r="H119">
        <v>0</v>
      </c>
      <c r="I119" t="s">
        <v>24</v>
      </c>
      <c r="J119" t="s">
        <v>597</v>
      </c>
      <c r="K119" t="s">
        <v>1864</v>
      </c>
      <c r="L119" s="3">
        <v>45815</v>
      </c>
      <c r="M119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3.125E-2</v>
      </c>
      <c r="N119" s="3">
        <v>45803</v>
      </c>
      <c r="O119" s="5">
        <f>IFERROR((PlanMasine[[#This Row],[Norma]]/PlanMasine[[#This Row],[Q]])*(PlanMasine[[#This Row],[Q]]/SUMIF(C:C,PlanMasine[[#This Row],[RN]],B:B)*PlanMasine[[#This Row],[KPLQ]]),0)</f>
        <v>45</v>
      </c>
      <c r="P119">
        <v>182553</v>
      </c>
      <c r="Q119">
        <f>COUNTIF(PROMJENA!A:A,PlanMasine[[#This Row],[KPL]]&amp;"-"&amp;PlanMasine[[#This Row],[RN]])</f>
        <v>0</v>
      </c>
      <c r="R119">
        <f>IFERROR(INDEX(REDOSLIJED!A:A,MATCH(PlanMasine[[#This Row],[KPL]],REDOSLIJED!B:B,0)),MAX(REDOSLIJED!A:A)+1)</f>
        <v>45</v>
      </c>
      <c r="S119" s="9">
        <f>SUM($M$2:M119)</f>
        <v>6.4081944444444519</v>
      </c>
      <c r="T119" s="3">
        <f>PlanMasine[[#This Row],[Datum SAS]]-1</f>
        <v>45802</v>
      </c>
      <c r="U119">
        <f>WEEKDAY(PlanMasine[[#This Row],[ZAVRŠETAK MAŠINSKE]],2)</f>
        <v>7</v>
      </c>
      <c r="V119" s="3">
        <f>IF(WEEKDAY(PlanMasine[[#This Row],[Datum SAS]]-1,2)=7,PlanMasine[[#This Row],[Datum SAS]]-3,PlanMasine[[#This Row],[Datum SAS]]-1)</f>
        <v>45800</v>
      </c>
      <c r="W119">
        <f>WEEKNUM(PlanMasine[[#This Row],[Column2]],1)</f>
        <v>21</v>
      </c>
    </row>
    <row r="120" spans="1:23" x14ac:dyDescent="0.35">
      <c r="A120">
        <v>1016622</v>
      </c>
      <c r="B120">
        <v>1</v>
      </c>
      <c r="C120">
        <v>1016624</v>
      </c>
      <c r="D120" t="s">
        <v>1862</v>
      </c>
      <c r="E120">
        <v>135</v>
      </c>
      <c r="F120">
        <v>3</v>
      </c>
      <c r="G120">
        <v>0</v>
      </c>
      <c r="H120">
        <v>0</v>
      </c>
      <c r="I120" t="s">
        <v>24</v>
      </c>
      <c r="J120" t="s">
        <v>597</v>
      </c>
      <c r="K120" t="s">
        <v>1864</v>
      </c>
      <c r="L120" s="3">
        <v>45815</v>
      </c>
      <c r="M120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3.125E-2</v>
      </c>
      <c r="N120" s="3">
        <v>45803</v>
      </c>
      <c r="O120" s="5">
        <f>IFERROR((PlanMasine[[#This Row],[Norma]]/PlanMasine[[#This Row],[Q]])*(PlanMasine[[#This Row],[Q]]/SUMIF(C:C,PlanMasine[[#This Row],[RN]],B:B)*PlanMasine[[#This Row],[KPLQ]]),0)</f>
        <v>45</v>
      </c>
      <c r="P120">
        <v>182553</v>
      </c>
      <c r="Q120">
        <f>COUNTIF(PROMJENA!A:A,PlanMasine[[#This Row],[KPL]]&amp;"-"&amp;PlanMasine[[#This Row],[RN]])</f>
        <v>0</v>
      </c>
      <c r="R120">
        <f>IFERROR(INDEX(REDOSLIJED!A:A,MATCH(PlanMasine[[#This Row],[KPL]],REDOSLIJED!B:B,0)),MAX(REDOSLIJED!A:A)+1)</f>
        <v>45</v>
      </c>
      <c r="S120" s="9">
        <f>SUM($M$2:M120)</f>
        <v>6.4394444444444519</v>
      </c>
      <c r="T120" s="3">
        <f>PlanMasine[[#This Row],[Datum SAS]]-1</f>
        <v>45802</v>
      </c>
      <c r="U120">
        <f>WEEKDAY(PlanMasine[[#This Row],[ZAVRŠETAK MAŠINSKE]],2)</f>
        <v>7</v>
      </c>
      <c r="V120" s="3">
        <f>IF(WEEKDAY(PlanMasine[[#This Row],[Datum SAS]]-1,2)=7,PlanMasine[[#This Row],[Datum SAS]]-3,PlanMasine[[#This Row],[Datum SAS]]-1)</f>
        <v>45800</v>
      </c>
      <c r="W120">
        <f>WEEKNUM(PlanMasine[[#This Row],[Column2]],1)</f>
        <v>21</v>
      </c>
    </row>
    <row r="121" spans="1:23" x14ac:dyDescent="0.35">
      <c r="A121">
        <v>1018313</v>
      </c>
      <c r="B121">
        <v>1</v>
      </c>
      <c r="C121">
        <v>1018370</v>
      </c>
      <c r="D121" t="s">
        <v>1865</v>
      </c>
      <c r="E121">
        <v>15</v>
      </c>
      <c r="F121">
        <v>1</v>
      </c>
      <c r="G121">
        <v>0</v>
      </c>
      <c r="H121">
        <v>0</v>
      </c>
      <c r="I121" t="s">
        <v>24</v>
      </c>
      <c r="J121" t="s">
        <v>597</v>
      </c>
      <c r="K121" t="s">
        <v>1866</v>
      </c>
      <c r="L121" s="3">
        <v>45820</v>
      </c>
      <c r="M121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1.0416666666666666E-2</v>
      </c>
      <c r="N121" s="3">
        <v>45803</v>
      </c>
      <c r="O121" s="5">
        <f>IFERROR((PlanMasine[[#This Row],[Norma]]/PlanMasine[[#This Row],[Q]])*(PlanMasine[[#This Row],[Q]]/SUMIF(C:C,PlanMasine[[#This Row],[RN]],B:B)*PlanMasine[[#This Row],[KPLQ]]),0)</f>
        <v>15</v>
      </c>
      <c r="P121">
        <v>180182</v>
      </c>
      <c r="Q121">
        <f>COUNTIF(PROMJENA!A:A,PlanMasine[[#This Row],[KPL]]&amp;"-"&amp;PlanMasine[[#This Row],[RN]])</f>
        <v>0</v>
      </c>
      <c r="R121">
        <f>IFERROR(INDEX(REDOSLIJED!A:A,MATCH(PlanMasine[[#This Row],[KPL]],REDOSLIJED!B:B,0)),MAX(REDOSLIJED!A:A)+1)</f>
        <v>45</v>
      </c>
      <c r="S121" s="9">
        <f>SUM($M$2:M121)</f>
        <v>6.4498611111111188</v>
      </c>
      <c r="T121" s="3">
        <f>PlanMasine[[#This Row],[Datum SAS]]-1</f>
        <v>45802</v>
      </c>
      <c r="U121">
        <f>WEEKDAY(PlanMasine[[#This Row],[ZAVRŠETAK MAŠINSKE]],2)</f>
        <v>7</v>
      </c>
      <c r="V121" s="3">
        <f>IF(WEEKDAY(PlanMasine[[#This Row],[Datum SAS]]-1,2)=7,PlanMasine[[#This Row],[Datum SAS]]-3,PlanMasine[[#This Row],[Datum SAS]]-1)</f>
        <v>45800</v>
      </c>
      <c r="W121">
        <f>WEEKNUM(PlanMasine[[#This Row],[Column2]],1)</f>
        <v>21</v>
      </c>
    </row>
    <row r="122" spans="1:23" x14ac:dyDescent="0.35">
      <c r="A122">
        <v>1018313</v>
      </c>
      <c r="B122">
        <v>1</v>
      </c>
      <c r="C122">
        <v>1018388</v>
      </c>
      <c r="D122" t="s">
        <v>979</v>
      </c>
      <c r="E122">
        <v>10</v>
      </c>
      <c r="F122">
        <v>1</v>
      </c>
      <c r="G122">
        <v>0</v>
      </c>
      <c r="H122">
        <v>0</v>
      </c>
      <c r="I122" t="s">
        <v>24</v>
      </c>
      <c r="J122" t="s">
        <v>597</v>
      </c>
      <c r="K122" t="s">
        <v>1866</v>
      </c>
      <c r="L122" s="3">
        <v>45820</v>
      </c>
      <c r="M122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6.9444444444444441E-3</v>
      </c>
      <c r="N122" s="3">
        <v>45803</v>
      </c>
      <c r="O122" s="5">
        <f>IFERROR((PlanMasine[[#This Row],[Norma]]/PlanMasine[[#This Row],[Q]])*(PlanMasine[[#This Row],[Q]]/SUMIF(C:C,PlanMasine[[#This Row],[RN]],B:B)*PlanMasine[[#This Row],[KPLQ]]),0)</f>
        <v>10</v>
      </c>
      <c r="P122">
        <v>180200</v>
      </c>
      <c r="Q122">
        <f>COUNTIF(PROMJENA!A:A,PlanMasine[[#This Row],[KPL]]&amp;"-"&amp;PlanMasine[[#This Row],[RN]])</f>
        <v>0</v>
      </c>
      <c r="R122">
        <f>IFERROR(INDEX(REDOSLIJED!A:A,MATCH(PlanMasine[[#This Row],[KPL]],REDOSLIJED!B:B,0)),MAX(REDOSLIJED!A:A)+1)</f>
        <v>45</v>
      </c>
      <c r="S122" s="9">
        <f>SUM($M$2:M122)</f>
        <v>6.4568055555555635</v>
      </c>
      <c r="T122" s="3">
        <f>PlanMasine[[#This Row],[Datum SAS]]-1</f>
        <v>45802</v>
      </c>
      <c r="U122">
        <f>WEEKDAY(PlanMasine[[#This Row],[ZAVRŠETAK MAŠINSKE]],2)</f>
        <v>7</v>
      </c>
      <c r="V122" s="3">
        <f>IF(WEEKDAY(PlanMasine[[#This Row],[Datum SAS]]-1,2)=7,PlanMasine[[#This Row],[Datum SAS]]-3,PlanMasine[[#This Row],[Datum SAS]]-1)</f>
        <v>45800</v>
      </c>
      <c r="W122">
        <f>WEEKNUM(PlanMasine[[#This Row],[Column2]],1)</f>
        <v>21</v>
      </c>
    </row>
    <row r="123" spans="1:23" x14ac:dyDescent="0.35">
      <c r="A123">
        <v>1018650</v>
      </c>
      <c r="B123">
        <v>1</v>
      </c>
      <c r="C123">
        <v>1018634</v>
      </c>
      <c r="D123" t="s">
        <v>1052</v>
      </c>
      <c r="E123">
        <v>50</v>
      </c>
      <c r="F123">
        <v>1</v>
      </c>
      <c r="G123">
        <v>0</v>
      </c>
      <c r="H123">
        <v>0</v>
      </c>
      <c r="I123" t="s">
        <v>24</v>
      </c>
      <c r="J123" t="s">
        <v>597</v>
      </c>
      <c r="K123" t="s">
        <v>1867</v>
      </c>
      <c r="L123" s="3">
        <v>45821</v>
      </c>
      <c r="M123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3.4722222222222224E-2</v>
      </c>
      <c r="N123" s="3">
        <v>45803</v>
      </c>
      <c r="O123" s="5">
        <f>IFERROR((PlanMasine[[#This Row],[Norma]]/PlanMasine[[#This Row],[Q]])*(PlanMasine[[#This Row],[Q]]/SUMIF(C:C,PlanMasine[[#This Row],[RN]],B:B)*PlanMasine[[#This Row],[KPLQ]]),0)</f>
        <v>50</v>
      </c>
      <c r="P123">
        <v>190453</v>
      </c>
      <c r="Q123">
        <f>COUNTIF(PROMJENA!A:A,PlanMasine[[#This Row],[KPL]]&amp;"-"&amp;PlanMasine[[#This Row],[RN]])</f>
        <v>0</v>
      </c>
      <c r="R123">
        <f>IFERROR(INDEX(REDOSLIJED!A:A,MATCH(PlanMasine[[#This Row],[KPL]],REDOSLIJED!B:B,0)),MAX(REDOSLIJED!A:A)+1)</f>
        <v>45</v>
      </c>
      <c r="S123" s="9">
        <f>SUM($M$2:M123)</f>
        <v>6.4915277777777858</v>
      </c>
      <c r="T123" s="3">
        <f>PlanMasine[[#This Row],[Datum SAS]]-1</f>
        <v>45802</v>
      </c>
      <c r="U123">
        <f>WEEKDAY(PlanMasine[[#This Row],[ZAVRŠETAK MAŠINSKE]],2)</f>
        <v>7</v>
      </c>
      <c r="V123" s="3">
        <f>IF(WEEKDAY(PlanMasine[[#This Row],[Datum SAS]]-1,2)=7,PlanMasine[[#This Row],[Datum SAS]]-3,PlanMasine[[#This Row],[Datum SAS]]-1)</f>
        <v>45800</v>
      </c>
      <c r="W123">
        <f>WEEKNUM(PlanMasine[[#This Row],[Column2]],1)</f>
        <v>21</v>
      </c>
    </row>
    <row r="124" spans="1:23" x14ac:dyDescent="0.35">
      <c r="A124">
        <v>1020045</v>
      </c>
      <c r="B124">
        <v>1</v>
      </c>
      <c r="C124">
        <v>1020090</v>
      </c>
      <c r="D124" t="s">
        <v>1767</v>
      </c>
      <c r="E124">
        <v>30</v>
      </c>
      <c r="F124">
        <v>1</v>
      </c>
      <c r="G124">
        <v>0</v>
      </c>
      <c r="H124">
        <v>0</v>
      </c>
      <c r="I124" t="s">
        <v>24</v>
      </c>
      <c r="J124" t="s">
        <v>597</v>
      </c>
      <c r="K124" t="s">
        <v>1868</v>
      </c>
      <c r="L124" s="3">
        <v>45822</v>
      </c>
      <c r="M124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2.0833333333333332E-2</v>
      </c>
      <c r="N124" s="3">
        <v>45803</v>
      </c>
      <c r="O124" s="5">
        <f>IFERROR((PlanMasine[[#This Row],[Norma]]/PlanMasine[[#This Row],[Q]])*(PlanMasine[[#This Row],[Q]]/SUMIF(C:C,PlanMasine[[#This Row],[RN]],B:B)*PlanMasine[[#This Row],[KPLQ]]),0)</f>
        <v>30</v>
      </c>
      <c r="P124">
        <v>151167</v>
      </c>
      <c r="Q124">
        <f>COUNTIF(PROMJENA!A:A,PlanMasine[[#This Row],[KPL]]&amp;"-"&amp;PlanMasine[[#This Row],[RN]])</f>
        <v>0</v>
      </c>
      <c r="R124">
        <f>IFERROR(INDEX(REDOSLIJED!A:A,MATCH(PlanMasine[[#This Row],[KPL]],REDOSLIJED!B:B,0)),MAX(REDOSLIJED!A:A)+1)</f>
        <v>45</v>
      </c>
      <c r="S124" s="9">
        <f>SUM($M$2:M124)</f>
        <v>6.5123611111111188</v>
      </c>
      <c r="T124" s="3">
        <f>PlanMasine[[#This Row],[Datum SAS]]-1</f>
        <v>45802</v>
      </c>
      <c r="U124">
        <f>WEEKDAY(PlanMasine[[#This Row],[ZAVRŠETAK MAŠINSKE]],2)</f>
        <v>7</v>
      </c>
      <c r="V124" s="3">
        <f>IF(WEEKDAY(PlanMasine[[#This Row],[Datum SAS]]-1,2)=7,PlanMasine[[#This Row],[Datum SAS]]-3,PlanMasine[[#This Row],[Datum SAS]]-1)</f>
        <v>45800</v>
      </c>
      <c r="W124">
        <f>WEEKNUM(PlanMasine[[#This Row],[Column2]],1)</f>
        <v>21</v>
      </c>
    </row>
    <row r="125" spans="1:23" x14ac:dyDescent="0.35">
      <c r="A125">
        <v>1020045</v>
      </c>
      <c r="B125">
        <v>1</v>
      </c>
      <c r="C125">
        <v>1020091</v>
      </c>
      <c r="D125" t="s">
        <v>1766</v>
      </c>
      <c r="E125">
        <v>30</v>
      </c>
      <c r="F125">
        <v>1</v>
      </c>
      <c r="G125">
        <v>0</v>
      </c>
      <c r="H125">
        <v>0</v>
      </c>
      <c r="I125" t="s">
        <v>24</v>
      </c>
      <c r="J125" t="s">
        <v>597</v>
      </c>
      <c r="K125" t="s">
        <v>1868</v>
      </c>
      <c r="L125" s="3">
        <v>45822</v>
      </c>
      <c r="M125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2.0833333333333332E-2</v>
      </c>
      <c r="N125" s="3">
        <v>45803</v>
      </c>
      <c r="O125" s="5">
        <f>IFERROR((PlanMasine[[#This Row],[Norma]]/PlanMasine[[#This Row],[Q]])*(PlanMasine[[#This Row],[Q]]/SUMIF(C:C,PlanMasine[[#This Row],[RN]],B:B)*PlanMasine[[#This Row],[KPLQ]]),0)</f>
        <v>30</v>
      </c>
      <c r="P125">
        <v>151168</v>
      </c>
      <c r="Q125">
        <f>COUNTIF(PROMJENA!A:A,PlanMasine[[#This Row],[KPL]]&amp;"-"&amp;PlanMasine[[#This Row],[RN]])</f>
        <v>0</v>
      </c>
      <c r="R125">
        <f>IFERROR(INDEX(REDOSLIJED!A:A,MATCH(PlanMasine[[#This Row],[KPL]],REDOSLIJED!B:B,0)),MAX(REDOSLIJED!A:A)+1)</f>
        <v>45</v>
      </c>
      <c r="S125" s="9">
        <f>SUM($M$2:M125)</f>
        <v>6.5331944444444519</v>
      </c>
      <c r="T125" s="3">
        <f>PlanMasine[[#This Row],[Datum SAS]]-1</f>
        <v>45802</v>
      </c>
      <c r="U125">
        <f>WEEKDAY(PlanMasine[[#This Row],[ZAVRŠETAK MAŠINSKE]],2)</f>
        <v>7</v>
      </c>
      <c r="V125" s="3">
        <f>IF(WEEKDAY(PlanMasine[[#This Row],[Datum SAS]]-1,2)=7,PlanMasine[[#This Row],[Datum SAS]]-3,PlanMasine[[#This Row],[Datum SAS]]-1)</f>
        <v>45800</v>
      </c>
      <c r="W125">
        <f>WEEKNUM(PlanMasine[[#This Row],[Column2]],1)</f>
        <v>21</v>
      </c>
    </row>
    <row r="126" spans="1:23" x14ac:dyDescent="0.35">
      <c r="A126">
        <v>1020045</v>
      </c>
      <c r="B126">
        <v>1</v>
      </c>
      <c r="C126">
        <v>1020099</v>
      </c>
      <c r="D126" t="s">
        <v>1609</v>
      </c>
      <c r="E126">
        <v>50</v>
      </c>
      <c r="F126">
        <v>2</v>
      </c>
      <c r="G126">
        <v>0</v>
      </c>
      <c r="H126">
        <v>0</v>
      </c>
      <c r="I126" t="s">
        <v>24</v>
      </c>
      <c r="J126" t="s">
        <v>597</v>
      </c>
      <c r="K126" t="s">
        <v>1868</v>
      </c>
      <c r="L126" s="3">
        <v>45822</v>
      </c>
      <c r="M126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3.4722222222222224E-2</v>
      </c>
      <c r="N126" s="3">
        <v>45803</v>
      </c>
      <c r="O126" s="5">
        <f>IFERROR((PlanMasine[[#This Row],[Norma]]/PlanMasine[[#This Row],[Q]])*(PlanMasine[[#This Row],[Q]]/SUMIF(C:C,PlanMasine[[#This Row],[RN]],B:B)*PlanMasine[[#This Row],[KPLQ]]),0)</f>
        <v>50</v>
      </c>
      <c r="P126">
        <v>151176</v>
      </c>
      <c r="Q126">
        <f>COUNTIF(PROMJENA!A:A,PlanMasine[[#This Row],[KPL]]&amp;"-"&amp;PlanMasine[[#This Row],[RN]])</f>
        <v>0</v>
      </c>
      <c r="R126">
        <f>IFERROR(INDEX(REDOSLIJED!A:A,MATCH(PlanMasine[[#This Row],[KPL]],REDOSLIJED!B:B,0)),MAX(REDOSLIJED!A:A)+1)</f>
        <v>45</v>
      </c>
      <c r="S126" s="9">
        <f>SUM($M$2:M126)</f>
        <v>6.5679166666666742</v>
      </c>
      <c r="T126" s="3">
        <f>PlanMasine[[#This Row],[Datum SAS]]-1</f>
        <v>45802</v>
      </c>
      <c r="U126">
        <f>WEEKDAY(PlanMasine[[#This Row],[ZAVRŠETAK MAŠINSKE]],2)</f>
        <v>7</v>
      </c>
      <c r="V126" s="3">
        <f>IF(WEEKDAY(PlanMasine[[#This Row],[Datum SAS]]-1,2)=7,PlanMasine[[#This Row],[Datum SAS]]-3,PlanMasine[[#This Row],[Datum SAS]]-1)</f>
        <v>45800</v>
      </c>
      <c r="W126">
        <f>WEEKNUM(PlanMasine[[#This Row],[Column2]],1)</f>
        <v>21</v>
      </c>
    </row>
    <row r="127" spans="1:23" x14ac:dyDescent="0.35">
      <c r="A127">
        <v>1021509</v>
      </c>
      <c r="B127">
        <v>1</v>
      </c>
      <c r="C127">
        <v>1021566</v>
      </c>
      <c r="D127" t="s">
        <v>1865</v>
      </c>
      <c r="E127">
        <v>15</v>
      </c>
      <c r="F127">
        <v>1</v>
      </c>
      <c r="G127">
        <v>0</v>
      </c>
      <c r="H127">
        <v>0</v>
      </c>
      <c r="I127" t="s">
        <v>24</v>
      </c>
      <c r="J127" t="s">
        <v>597</v>
      </c>
      <c r="K127" t="s">
        <v>1869</v>
      </c>
      <c r="L127" s="3">
        <v>45820</v>
      </c>
      <c r="M127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1.0416666666666666E-2</v>
      </c>
      <c r="N127" s="3">
        <v>45803</v>
      </c>
      <c r="O127" s="5">
        <f>IFERROR((PlanMasine[[#This Row],[Norma]]/PlanMasine[[#This Row],[Q]])*(PlanMasine[[#This Row],[Q]]/SUMIF(C:C,PlanMasine[[#This Row],[RN]],B:B)*PlanMasine[[#This Row],[KPLQ]]),0)</f>
        <v>15</v>
      </c>
      <c r="P127">
        <v>180182</v>
      </c>
      <c r="Q127">
        <f>COUNTIF(PROMJENA!A:A,PlanMasine[[#This Row],[KPL]]&amp;"-"&amp;PlanMasine[[#This Row],[RN]])</f>
        <v>0</v>
      </c>
      <c r="R127">
        <f>IFERROR(INDEX(REDOSLIJED!A:A,MATCH(PlanMasine[[#This Row],[KPL]],REDOSLIJED!B:B,0)),MAX(REDOSLIJED!A:A)+1)</f>
        <v>45</v>
      </c>
      <c r="S127" s="9">
        <f>SUM($M$2:M127)</f>
        <v>6.5783333333333411</v>
      </c>
      <c r="T127" s="3">
        <f>PlanMasine[[#This Row],[Datum SAS]]-1</f>
        <v>45802</v>
      </c>
      <c r="U127">
        <f>WEEKDAY(PlanMasine[[#This Row],[ZAVRŠETAK MAŠINSKE]],2)</f>
        <v>7</v>
      </c>
      <c r="V127" s="3">
        <f>IF(WEEKDAY(PlanMasine[[#This Row],[Datum SAS]]-1,2)=7,PlanMasine[[#This Row],[Datum SAS]]-3,PlanMasine[[#This Row],[Datum SAS]]-1)</f>
        <v>45800</v>
      </c>
      <c r="W127">
        <f>WEEKNUM(PlanMasine[[#This Row],[Column2]],1)</f>
        <v>21</v>
      </c>
    </row>
    <row r="128" spans="1:23" x14ac:dyDescent="0.35">
      <c r="A128">
        <v>1024565</v>
      </c>
      <c r="B128">
        <v>8</v>
      </c>
      <c r="C128">
        <v>1024560</v>
      </c>
      <c r="D128" t="s">
        <v>239</v>
      </c>
      <c r="E128">
        <v>80</v>
      </c>
      <c r="F128">
        <v>8</v>
      </c>
      <c r="G128">
        <v>5</v>
      </c>
      <c r="H128">
        <v>50</v>
      </c>
      <c r="I128" t="s">
        <v>24</v>
      </c>
      <c r="J128" t="s">
        <v>597</v>
      </c>
      <c r="K128" t="s">
        <v>1870</v>
      </c>
      <c r="L128" s="3">
        <v>45819</v>
      </c>
      <c r="M128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5.5555555555555552E-2</v>
      </c>
      <c r="N128" s="3">
        <v>45803</v>
      </c>
      <c r="O128" s="5">
        <f>IFERROR((PlanMasine[[#This Row],[Norma]]/PlanMasine[[#This Row],[Q]])*(PlanMasine[[#This Row],[Q]]/SUMIF(C:C,PlanMasine[[#This Row],[RN]],B:B)*PlanMasine[[#This Row],[KPLQ]]),0)</f>
        <v>80</v>
      </c>
      <c r="P128">
        <v>155692</v>
      </c>
      <c r="Q128">
        <f>COUNTIF(PROMJENA!A:A,PlanMasine[[#This Row],[KPL]]&amp;"-"&amp;PlanMasine[[#This Row],[RN]])</f>
        <v>0</v>
      </c>
      <c r="R128">
        <f>IFERROR(INDEX(REDOSLIJED!A:A,MATCH(PlanMasine[[#This Row],[KPL]],REDOSLIJED!B:B,0)),MAX(REDOSLIJED!A:A)+1)</f>
        <v>45</v>
      </c>
      <c r="S128" s="9">
        <f>SUM($M$2:M128)</f>
        <v>6.6338888888888965</v>
      </c>
      <c r="T128" s="3">
        <f>PlanMasine[[#This Row],[Datum SAS]]-1</f>
        <v>45802</v>
      </c>
      <c r="U128">
        <f>WEEKDAY(PlanMasine[[#This Row],[ZAVRŠETAK MAŠINSKE]],2)</f>
        <v>7</v>
      </c>
      <c r="V128" s="3">
        <f>IF(WEEKDAY(PlanMasine[[#This Row],[Datum SAS]]-1,2)=7,PlanMasine[[#This Row],[Datum SAS]]-3,PlanMasine[[#This Row],[Datum SAS]]-1)</f>
        <v>45800</v>
      </c>
      <c r="W128">
        <f>WEEKNUM(PlanMasine[[#This Row],[Column2]],1)</f>
        <v>21</v>
      </c>
    </row>
    <row r="129" spans="1:23" x14ac:dyDescent="0.35">
      <c r="A129">
        <v>1024565</v>
      </c>
      <c r="B129">
        <v>8</v>
      </c>
      <c r="C129">
        <v>1024546</v>
      </c>
      <c r="D129" t="s">
        <v>243</v>
      </c>
      <c r="E129">
        <v>80</v>
      </c>
      <c r="F129">
        <v>8</v>
      </c>
      <c r="G129">
        <v>0</v>
      </c>
      <c r="H129">
        <v>0</v>
      </c>
      <c r="I129" t="s">
        <v>24</v>
      </c>
      <c r="J129" t="s">
        <v>597</v>
      </c>
      <c r="K129" t="s">
        <v>1870</v>
      </c>
      <c r="L129" s="3">
        <v>45819</v>
      </c>
      <c r="M129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5.5555555555555552E-2</v>
      </c>
      <c r="N129" s="3">
        <v>45803</v>
      </c>
      <c r="O129" s="5">
        <f>IFERROR((PlanMasine[[#This Row],[Norma]]/PlanMasine[[#This Row],[Q]])*(PlanMasine[[#This Row],[Q]]/SUMIF(C:C,PlanMasine[[#This Row],[RN]],B:B)*PlanMasine[[#This Row],[KPLQ]]),0)</f>
        <v>80</v>
      </c>
      <c r="P129">
        <v>155678</v>
      </c>
      <c r="Q129">
        <f>COUNTIF(PROMJENA!A:A,PlanMasine[[#This Row],[KPL]]&amp;"-"&amp;PlanMasine[[#This Row],[RN]])</f>
        <v>0</v>
      </c>
      <c r="R129">
        <f>IFERROR(INDEX(REDOSLIJED!A:A,MATCH(PlanMasine[[#This Row],[KPL]],REDOSLIJED!B:B,0)),MAX(REDOSLIJED!A:A)+1)</f>
        <v>45</v>
      </c>
      <c r="S129" s="9">
        <f>SUM($M$2:M129)</f>
        <v>6.6894444444444519</v>
      </c>
      <c r="T129" s="3">
        <f>PlanMasine[[#This Row],[Datum SAS]]-1</f>
        <v>45802</v>
      </c>
      <c r="U129">
        <f>WEEKDAY(PlanMasine[[#This Row],[ZAVRŠETAK MAŠINSKE]],2)</f>
        <v>7</v>
      </c>
      <c r="V129" s="3">
        <f>IF(WEEKDAY(PlanMasine[[#This Row],[Datum SAS]]-1,2)=7,PlanMasine[[#This Row],[Datum SAS]]-3,PlanMasine[[#This Row],[Datum SAS]]-1)</f>
        <v>45800</v>
      </c>
      <c r="W129">
        <f>WEEKNUM(PlanMasine[[#This Row],[Column2]],1)</f>
        <v>21</v>
      </c>
    </row>
    <row r="130" spans="1:23" x14ac:dyDescent="0.35">
      <c r="A130">
        <v>1027505</v>
      </c>
      <c r="B130">
        <v>1</v>
      </c>
      <c r="C130">
        <v>1027506</v>
      </c>
      <c r="D130" t="s">
        <v>1079</v>
      </c>
      <c r="E130">
        <v>80</v>
      </c>
      <c r="F130">
        <v>2</v>
      </c>
      <c r="G130">
        <v>0</v>
      </c>
      <c r="H130">
        <v>0</v>
      </c>
      <c r="I130" t="s">
        <v>24</v>
      </c>
      <c r="J130" t="s">
        <v>597</v>
      </c>
      <c r="K130" t="s">
        <v>1871</v>
      </c>
      <c r="L130" s="3">
        <v>45820</v>
      </c>
      <c r="M130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5.5555555555555552E-2</v>
      </c>
      <c r="N130" s="3">
        <v>45804</v>
      </c>
      <c r="O130" s="5">
        <f>IFERROR((PlanMasine[[#This Row],[Norma]]/PlanMasine[[#This Row],[Q]])*(PlanMasine[[#This Row],[Q]]/SUMIF(C:C,PlanMasine[[#This Row],[RN]],B:B)*PlanMasine[[#This Row],[KPLQ]]),0)</f>
        <v>80</v>
      </c>
      <c r="P130">
        <v>175379</v>
      </c>
      <c r="Q130">
        <f>COUNTIF(PROMJENA!A:A,PlanMasine[[#This Row],[KPL]]&amp;"-"&amp;PlanMasine[[#This Row],[RN]])</f>
        <v>0</v>
      </c>
      <c r="R130">
        <f>IFERROR(INDEX(REDOSLIJED!A:A,MATCH(PlanMasine[[#This Row],[KPL]],REDOSLIJED!B:B,0)),MAX(REDOSLIJED!A:A)+1)</f>
        <v>45</v>
      </c>
      <c r="S130" s="9">
        <f>SUM($M$2:M130)</f>
        <v>6.7450000000000072</v>
      </c>
      <c r="T130" s="3">
        <f>PlanMasine[[#This Row],[Datum SAS]]-1</f>
        <v>45803</v>
      </c>
      <c r="U130">
        <f>WEEKDAY(PlanMasine[[#This Row],[ZAVRŠETAK MAŠINSKE]],2)</f>
        <v>1</v>
      </c>
      <c r="V130" s="3">
        <f>IF(WEEKDAY(PlanMasine[[#This Row],[Datum SAS]]-1,2)=7,PlanMasine[[#This Row],[Datum SAS]]-3,PlanMasine[[#This Row],[Datum SAS]]-1)</f>
        <v>45803</v>
      </c>
      <c r="W130">
        <f>WEEKNUM(PlanMasine[[#This Row],[Column2]],1)</f>
        <v>22</v>
      </c>
    </row>
    <row r="131" spans="1:23" x14ac:dyDescent="0.35">
      <c r="A131">
        <v>1027509</v>
      </c>
      <c r="B131">
        <v>4</v>
      </c>
      <c r="C131">
        <v>1027510</v>
      </c>
      <c r="D131" t="s">
        <v>1079</v>
      </c>
      <c r="E131">
        <v>320</v>
      </c>
      <c r="F131">
        <v>8</v>
      </c>
      <c r="G131">
        <v>0</v>
      </c>
      <c r="H131">
        <v>0</v>
      </c>
      <c r="I131" t="s">
        <v>24</v>
      </c>
      <c r="J131" t="s">
        <v>597</v>
      </c>
      <c r="K131" t="s">
        <v>1872</v>
      </c>
      <c r="L131" s="3">
        <v>45820</v>
      </c>
      <c r="M131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0.22222222222222221</v>
      </c>
      <c r="N131" s="3">
        <v>45804</v>
      </c>
      <c r="O131" s="5">
        <f>IFERROR((PlanMasine[[#This Row],[Norma]]/PlanMasine[[#This Row],[Q]])*(PlanMasine[[#This Row],[Q]]/SUMIF(C:C,PlanMasine[[#This Row],[RN]],B:B)*PlanMasine[[#This Row],[KPLQ]]),0)</f>
        <v>320</v>
      </c>
      <c r="P131">
        <v>175379</v>
      </c>
      <c r="Q131">
        <f>COUNTIF(PROMJENA!A:A,PlanMasine[[#This Row],[KPL]]&amp;"-"&amp;PlanMasine[[#This Row],[RN]])</f>
        <v>0</v>
      </c>
      <c r="R131">
        <f>IFERROR(INDEX(REDOSLIJED!A:A,MATCH(PlanMasine[[#This Row],[KPL]],REDOSLIJED!B:B,0)),MAX(REDOSLIJED!A:A)+1)</f>
        <v>45</v>
      </c>
      <c r="S131" s="9">
        <f>SUM($M$2:M131)</f>
        <v>6.9672222222222295</v>
      </c>
      <c r="T131" s="3">
        <f>PlanMasine[[#This Row],[Datum SAS]]-1</f>
        <v>45803</v>
      </c>
      <c r="U131">
        <f>WEEKDAY(PlanMasine[[#This Row],[ZAVRŠETAK MAŠINSKE]],2)</f>
        <v>1</v>
      </c>
      <c r="V131" s="3">
        <f>IF(WEEKDAY(PlanMasine[[#This Row],[Datum SAS]]-1,2)=7,PlanMasine[[#This Row],[Datum SAS]]-3,PlanMasine[[#This Row],[Datum SAS]]-1)</f>
        <v>45803</v>
      </c>
      <c r="W131">
        <f>WEEKNUM(PlanMasine[[#This Row],[Column2]],1)</f>
        <v>22</v>
      </c>
    </row>
    <row r="132" spans="1:23" x14ac:dyDescent="0.35">
      <c r="A132">
        <v>1012730</v>
      </c>
      <c r="B132">
        <v>1</v>
      </c>
      <c r="C132">
        <v>1012731</v>
      </c>
      <c r="D132" t="s">
        <v>1131</v>
      </c>
      <c r="E132">
        <v>65</v>
      </c>
      <c r="F132">
        <v>1</v>
      </c>
      <c r="G132">
        <v>0</v>
      </c>
      <c r="H132">
        <v>0</v>
      </c>
      <c r="I132" t="s">
        <v>24</v>
      </c>
      <c r="J132" t="s">
        <v>597</v>
      </c>
      <c r="K132" t="s">
        <v>1873</v>
      </c>
      <c r="L132" s="3">
        <v>45819</v>
      </c>
      <c r="M132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4.5138888888888888E-2</v>
      </c>
      <c r="N132" s="3">
        <v>45805</v>
      </c>
      <c r="O132" s="5">
        <f>IFERROR((PlanMasine[[#This Row],[Norma]]/PlanMasine[[#This Row],[Q]])*(PlanMasine[[#This Row],[Q]]/SUMIF(C:C,PlanMasine[[#This Row],[RN]],B:B)*PlanMasine[[#This Row],[KPLQ]]),0)</f>
        <v>65</v>
      </c>
      <c r="P132">
        <v>190052</v>
      </c>
      <c r="Q132">
        <f>COUNTIF(PROMJENA!A:A,PlanMasine[[#This Row],[KPL]]&amp;"-"&amp;PlanMasine[[#This Row],[RN]])</f>
        <v>0</v>
      </c>
      <c r="R132">
        <f>IFERROR(INDEX(REDOSLIJED!A:A,MATCH(PlanMasine[[#This Row],[KPL]],REDOSLIJED!B:B,0)),MAX(REDOSLIJED!A:A)+1)</f>
        <v>45</v>
      </c>
      <c r="S132" s="9">
        <f>SUM($M$2:M132)</f>
        <v>7.0123611111111188</v>
      </c>
      <c r="T132" s="3">
        <f>PlanMasine[[#This Row],[Datum SAS]]-1</f>
        <v>45804</v>
      </c>
      <c r="U132">
        <f>WEEKDAY(PlanMasine[[#This Row],[ZAVRŠETAK MAŠINSKE]],2)</f>
        <v>2</v>
      </c>
      <c r="V132" s="3">
        <f>IF(WEEKDAY(PlanMasine[[#This Row],[Datum SAS]]-1,2)=7,PlanMasine[[#This Row],[Datum SAS]]-3,PlanMasine[[#This Row],[Datum SAS]]-1)</f>
        <v>45804</v>
      </c>
      <c r="W132">
        <f>WEEKNUM(PlanMasine[[#This Row],[Column2]],1)</f>
        <v>22</v>
      </c>
    </row>
    <row r="133" spans="1:23" x14ac:dyDescent="0.35">
      <c r="A133">
        <v>1028129</v>
      </c>
      <c r="B133">
        <v>1</v>
      </c>
      <c r="C133">
        <v>1028135</v>
      </c>
      <c r="D133" t="s">
        <v>1874</v>
      </c>
      <c r="E133">
        <v>30</v>
      </c>
      <c r="F133">
        <v>2</v>
      </c>
      <c r="G133">
        <v>0</v>
      </c>
      <c r="H133">
        <v>0</v>
      </c>
      <c r="I133" t="s">
        <v>24</v>
      </c>
      <c r="J133" t="s">
        <v>597</v>
      </c>
      <c r="K133" t="s">
        <v>1875</v>
      </c>
      <c r="L133" s="3">
        <v>45826</v>
      </c>
      <c r="M133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2.0833333333333332E-2</v>
      </c>
      <c r="N133" s="3">
        <v>45807</v>
      </c>
      <c r="O133" s="5">
        <f>IFERROR((PlanMasine[[#This Row],[Norma]]/PlanMasine[[#This Row],[Q]])*(PlanMasine[[#This Row],[Q]]/SUMIF(C:C,PlanMasine[[#This Row],[RN]],B:B)*PlanMasine[[#This Row],[KPLQ]]),0)</f>
        <v>30</v>
      </c>
      <c r="P133">
        <v>232942</v>
      </c>
      <c r="Q133">
        <f>COUNTIF(PROMJENA!A:A,PlanMasine[[#This Row],[KPL]]&amp;"-"&amp;PlanMasine[[#This Row],[RN]])</f>
        <v>0</v>
      </c>
      <c r="R133">
        <f>IFERROR(INDEX(REDOSLIJED!A:A,MATCH(PlanMasine[[#This Row],[KPL]],REDOSLIJED!B:B,0)),MAX(REDOSLIJED!A:A)+1)</f>
        <v>45</v>
      </c>
      <c r="S133" s="9">
        <f>SUM($M$2:M133)</f>
        <v>7.0331944444444519</v>
      </c>
      <c r="T133" s="3">
        <f>PlanMasine[[#This Row],[Datum SAS]]-1</f>
        <v>45806</v>
      </c>
      <c r="U133">
        <f>WEEKDAY(PlanMasine[[#This Row],[ZAVRŠETAK MAŠINSKE]],2)</f>
        <v>4</v>
      </c>
      <c r="V133" s="3">
        <f>IF(WEEKDAY(PlanMasine[[#This Row],[Datum SAS]]-1,2)=7,PlanMasine[[#This Row],[Datum SAS]]-3,PlanMasine[[#This Row],[Datum SAS]]-1)</f>
        <v>45806</v>
      </c>
      <c r="W133">
        <f>WEEKNUM(PlanMasine[[#This Row],[Column2]],1)</f>
        <v>22</v>
      </c>
    </row>
    <row r="134" spans="1:23" x14ac:dyDescent="0.35">
      <c r="A134">
        <v>1002939</v>
      </c>
      <c r="B134">
        <v>1</v>
      </c>
      <c r="C134">
        <v>1002940</v>
      </c>
      <c r="D134" t="s">
        <v>1876</v>
      </c>
      <c r="E134">
        <v>30</v>
      </c>
      <c r="F134">
        <v>1</v>
      </c>
      <c r="G134">
        <v>0</v>
      </c>
      <c r="H134">
        <v>0</v>
      </c>
      <c r="I134" t="s">
        <v>24</v>
      </c>
      <c r="J134" t="s">
        <v>597</v>
      </c>
      <c r="K134" t="s">
        <v>1877</v>
      </c>
      <c r="L134" s="3">
        <v>45838</v>
      </c>
      <c r="M134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2.0833333333333332E-2</v>
      </c>
      <c r="N134" s="3">
        <v>45810</v>
      </c>
      <c r="O134" s="5">
        <f>IFERROR((PlanMasine[[#This Row],[Norma]]/PlanMasine[[#This Row],[Q]])*(PlanMasine[[#This Row],[Q]]/SUMIF(C:C,PlanMasine[[#This Row],[RN]],B:B)*PlanMasine[[#This Row],[KPLQ]]),0)</f>
        <v>30</v>
      </c>
      <c r="P134">
        <v>180676</v>
      </c>
      <c r="Q134">
        <f>COUNTIF(PROMJENA!A:A,PlanMasine[[#This Row],[KPL]]&amp;"-"&amp;PlanMasine[[#This Row],[RN]])</f>
        <v>0</v>
      </c>
      <c r="R134">
        <f>IFERROR(INDEX(REDOSLIJED!A:A,MATCH(PlanMasine[[#This Row],[KPL]],REDOSLIJED!B:B,0)),MAX(REDOSLIJED!A:A)+1)</f>
        <v>45</v>
      </c>
      <c r="S134" s="9">
        <f>SUM($M$2:M134)</f>
        <v>7.0540277777777849</v>
      </c>
      <c r="T134" s="3">
        <f>PlanMasine[[#This Row],[Datum SAS]]-1</f>
        <v>45809</v>
      </c>
      <c r="U134">
        <f>WEEKDAY(PlanMasine[[#This Row],[ZAVRŠETAK MAŠINSKE]],2)</f>
        <v>7</v>
      </c>
      <c r="V134" s="3">
        <f>IF(WEEKDAY(PlanMasine[[#This Row],[Datum SAS]]-1,2)=7,PlanMasine[[#This Row],[Datum SAS]]-3,PlanMasine[[#This Row],[Datum SAS]]-1)</f>
        <v>45807</v>
      </c>
      <c r="W134">
        <f>WEEKNUM(PlanMasine[[#This Row],[Column2]],1)</f>
        <v>22</v>
      </c>
    </row>
    <row r="135" spans="1:23" x14ac:dyDescent="0.35">
      <c r="A135">
        <v>1002949</v>
      </c>
      <c r="B135">
        <v>1</v>
      </c>
      <c r="C135">
        <v>1002950</v>
      </c>
      <c r="D135" t="s">
        <v>1878</v>
      </c>
      <c r="E135">
        <v>30</v>
      </c>
      <c r="F135">
        <v>1</v>
      </c>
      <c r="G135">
        <v>0</v>
      </c>
      <c r="H135">
        <v>0</v>
      </c>
      <c r="I135" t="s">
        <v>24</v>
      </c>
      <c r="J135" t="s">
        <v>597</v>
      </c>
      <c r="K135" t="s">
        <v>1879</v>
      </c>
      <c r="L135" s="3">
        <v>45838</v>
      </c>
      <c r="M135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2.0833333333333332E-2</v>
      </c>
      <c r="N135" s="3">
        <v>45810</v>
      </c>
      <c r="O135" s="5">
        <f>IFERROR((PlanMasine[[#This Row],[Norma]]/PlanMasine[[#This Row],[Q]])*(PlanMasine[[#This Row],[Q]]/SUMIF(C:C,PlanMasine[[#This Row],[RN]],B:B)*PlanMasine[[#This Row],[KPLQ]]),0)</f>
        <v>30</v>
      </c>
      <c r="P135">
        <v>180685</v>
      </c>
      <c r="Q135">
        <f>COUNTIF(PROMJENA!A:A,PlanMasine[[#This Row],[KPL]]&amp;"-"&amp;PlanMasine[[#This Row],[RN]])</f>
        <v>0</v>
      </c>
      <c r="R135">
        <f>IFERROR(INDEX(REDOSLIJED!A:A,MATCH(PlanMasine[[#This Row],[KPL]],REDOSLIJED!B:B,0)),MAX(REDOSLIJED!A:A)+1)</f>
        <v>45</v>
      </c>
      <c r="S135" s="9">
        <f>SUM($M$2:M135)</f>
        <v>7.0748611111111179</v>
      </c>
      <c r="T135" s="3">
        <f>PlanMasine[[#This Row],[Datum SAS]]-1</f>
        <v>45809</v>
      </c>
      <c r="U135">
        <f>WEEKDAY(PlanMasine[[#This Row],[ZAVRŠETAK MAŠINSKE]],2)</f>
        <v>7</v>
      </c>
      <c r="V135" s="3">
        <f>IF(WEEKDAY(PlanMasine[[#This Row],[Datum SAS]]-1,2)=7,PlanMasine[[#This Row],[Datum SAS]]-3,PlanMasine[[#This Row],[Datum SAS]]-1)</f>
        <v>45807</v>
      </c>
      <c r="W135">
        <f>WEEKNUM(PlanMasine[[#This Row],[Column2]],1)</f>
        <v>22</v>
      </c>
    </row>
    <row r="136" spans="1:23" x14ac:dyDescent="0.35">
      <c r="A136">
        <v>1003756</v>
      </c>
      <c r="B136">
        <v>2</v>
      </c>
      <c r="C136">
        <v>1003804</v>
      </c>
      <c r="D136" t="s">
        <v>1755</v>
      </c>
      <c r="E136">
        <v>660</v>
      </c>
      <c r="F136">
        <v>12</v>
      </c>
      <c r="G136">
        <v>0</v>
      </c>
      <c r="H136">
        <v>0</v>
      </c>
      <c r="I136" t="s">
        <v>24</v>
      </c>
      <c r="J136" t="s">
        <v>597</v>
      </c>
      <c r="K136" t="s">
        <v>1880</v>
      </c>
      <c r="L136" s="3">
        <v>45820</v>
      </c>
      <c r="M136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7.0512820512820512E-2</v>
      </c>
      <c r="N136" s="3">
        <v>45810</v>
      </c>
      <c r="O136" s="5">
        <f>IFERROR((PlanMasine[[#This Row],[Norma]]/PlanMasine[[#This Row],[Q]])*(PlanMasine[[#This Row],[Q]]/SUMIF(C:C,PlanMasine[[#This Row],[RN]],B:B)*PlanMasine[[#This Row],[KPLQ]]),0)</f>
        <v>101.53846153846155</v>
      </c>
      <c r="P136">
        <v>227566</v>
      </c>
      <c r="Q136">
        <f>COUNTIF(PROMJENA!A:A,PlanMasine[[#This Row],[KPL]]&amp;"-"&amp;PlanMasine[[#This Row],[RN]])</f>
        <v>0</v>
      </c>
      <c r="R136">
        <f>IFERROR(INDEX(REDOSLIJED!A:A,MATCH(PlanMasine[[#This Row],[KPL]],REDOSLIJED!B:B,0)),MAX(REDOSLIJED!A:A)+1)</f>
        <v>45</v>
      </c>
      <c r="S136" s="9">
        <f>SUM($M$2:M136)</f>
        <v>7.1453739316239382</v>
      </c>
      <c r="T136" s="3">
        <f>PlanMasine[[#This Row],[Datum SAS]]-1</f>
        <v>45809</v>
      </c>
      <c r="U136">
        <f>WEEKDAY(PlanMasine[[#This Row],[ZAVRŠETAK MAŠINSKE]],2)</f>
        <v>7</v>
      </c>
      <c r="V136" s="3">
        <f>IF(WEEKDAY(PlanMasine[[#This Row],[Datum SAS]]-1,2)=7,PlanMasine[[#This Row],[Datum SAS]]-3,PlanMasine[[#This Row],[Datum SAS]]-1)</f>
        <v>45807</v>
      </c>
      <c r="W136">
        <f>WEEKNUM(PlanMasine[[#This Row],[Column2]],1)</f>
        <v>22</v>
      </c>
    </row>
    <row r="137" spans="1:23" x14ac:dyDescent="0.35">
      <c r="A137">
        <v>1003756</v>
      </c>
      <c r="B137">
        <v>2</v>
      </c>
      <c r="C137">
        <v>1003788</v>
      </c>
      <c r="D137" t="s">
        <v>1754</v>
      </c>
      <c r="E137">
        <v>120</v>
      </c>
      <c r="F137">
        <v>12</v>
      </c>
      <c r="G137">
        <v>0</v>
      </c>
      <c r="H137">
        <v>0</v>
      </c>
      <c r="I137" t="s">
        <v>24</v>
      </c>
      <c r="J137" t="s">
        <v>597</v>
      </c>
      <c r="K137" t="s">
        <v>1880</v>
      </c>
      <c r="L137" s="3">
        <v>45820</v>
      </c>
      <c r="M137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1.282051282051282E-2</v>
      </c>
      <c r="N137" s="3">
        <v>45810</v>
      </c>
      <c r="O137" s="5">
        <f>IFERROR((PlanMasine[[#This Row],[Norma]]/PlanMasine[[#This Row],[Q]])*(PlanMasine[[#This Row],[Q]]/SUMIF(C:C,PlanMasine[[#This Row],[RN]],B:B)*PlanMasine[[#This Row],[KPLQ]]),0)</f>
        <v>18.461538461538463</v>
      </c>
      <c r="P137">
        <v>227549</v>
      </c>
      <c r="Q137">
        <f>COUNTIF(PROMJENA!A:A,PlanMasine[[#This Row],[KPL]]&amp;"-"&amp;PlanMasine[[#This Row],[RN]])</f>
        <v>0</v>
      </c>
      <c r="R137">
        <f>IFERROR(INDEX(REDOSLIJED!A:A,MATCH(PlanMasine[[#This Row],[KPL]],REDOSLIJED!B:B,0)),MAX(REDOSLIJED!A:A)+1)</f>
        <v>45</v>
      </c>
      <c r="S137" s="9">
        <f>SUM($M$2:M137)</f>
        <v>7.158194444444451</v>
      </c>
      <c r="T137" s="3">
        <f>PlanMasine[[#This Row],[Datum SAS]]-1</f>
        <v>45809</v>
      </c>
      <c r="U137">
        <f>WEEKDAY(PlanMasine[[#This Row],[ZAVRŠETAK MAŠINSKE]],2)</f>
        <v>7</v>
      </c>
      <c r="V137" s="3">
        <f>IF(WEEKDAY(PlanMasine[[#This Row],[Datum SAS]]-1,2)=7,PlanMasine[[#This Row],[Datum SAS]]-3,PlanMasine[[#This Row],[Datum SAS]]-1)</f>
        <v>45807</v>
      </c>
      <c r="W137">
        <f>WEEKNUM(PlanMasine[[#This Row],[Column2]],1)</f>
        <v>22</v>
      </c>
    </row>
    <row r="138" spans="1:23" x14ac:dyDescent="0.35">
      <c r="A138">
        <v>1003757</v>
      </c>
      <c r="B138">
        <v>1</v>
      </c>
      <c r="C138">
        <v>1003804</v>
      </c>
      <c r="D138" t="s">
        <v>1755</v>
      </c>
      <c r="E138">
        <v>660</v>
      </c>
      <c r="F138">
        <v>12</v>
      </c>
      <c r="G138">
        <v>0</v>
      </c>
      <c r="H138">
        <v>0</v>
      </c>
      <c r="I138" t="s">
        <v>24</v>
      </c>
      <c r="J138" t="s">
        <v>597</v>
      </c>
      <c r="K138" t="s">
        <v>1880</v>
      </c>
      <c r="L138" s="3">
        <v>45820</v>
      </c>
      <c r="M138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3.5256410256410256E-2</v>
      </c>
      <c r="N138" s="3">
        <v>45810</v>
      </c>
      <c r="O138" s="5">
        <f>IFERROR((PlanMasine[[#This Row],[Norma]]/PlanMasine[[#This Row],[Q]])*(PlanMasine[[#This Row],[Q]]/SUMIF(C:C,PlanMasine[[#This Row],[RN]],B:B)*PlanMasine[[#This Row],[KPLQ]]),0)</f>
        <v>50.769230769230774</v>
      </c>
      <c r="P138">
        <v>227566</v>
      </c>
      <c r="Q138">
        <f>COUNTIF(PROMJENA!A:A,PlanMasine[[#This Row],[KPL]]&amp;"-"&amp;PlanMasine[[#This Row],[RN]])</f>
        <v>0</v>
      </c>
      <c r="R138">
        <f>IFERROR(INDEX(REDOSLIJED!A:A,MATCH(PlanMasine[[#This Row],[KPL]],REDOSLIJED!B:B,0)),MAX(REDOSLIJED!A:A)+1)</f>
        <v>45</v>
      </c>
      <c r="S138" s="9">
        <f>SUM($M$2:M138)</f>
        <v>7.1934508547008615</v>
      </c>
      <c r="T138" s="3">
        <f>PlanMasine[[#This Row],[Datum SAS]]-1</f>
        <v>45809</v>
      </c>
      <c r="U138">
        <f>WEEKDAY(PlanMasine[[#This Row],[ZAVRŠETAK MAŠINSKE]],2)</f>
        <v>7</v>
      </c>
      <c r="V138" s="3">
        <f>IF(WEEKDAY(PlanMasine[[#This Row],[Datum SAS]]-1,2)=7,PlanMasine[[#This Row],[Datum SAS]]-3,PlanMasine[[#This Row],[Datum SAS]]-1)</f>
        <v>45807</v>
      </c>
      <c r="W138">
        <f>WEEKNUM(PlanMasine[[#This Row],[Column2]],1)</f>
        <v>22</v>
      </c>
    </row>
    <row r="139" spans="1:23" x14ac:dyDescent="0.35">
      <c r="A139">
        <v>1003757</v>
      </c>
      <c r="B139">
        <v>1</v>
      </c>
      <c r="C139">
        <v>1003788</v>
      </c>
      <c r="D139" t="s">
        <v>1754</v>
      </c>
      <c r="E139">
        <v>120</v>
      </c>
      <c r="F139">
        <v>12</v>
      </c>
      <c r="G139">
        <v>0</v>
      </c>
      <c r="H139">
        <v>0</v>
      </c>
      <c r="I139" t="s">
        <v>24</v>
      </c>
      <c r="J139" t="s">
        <v>597</v>
      </c>
      <c r="K139" t="s">
        <v>1880</v>
      </c>
      <c r="L139" s="3">
        <v>45820</v>
      </c>
      <c r="M139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6.41025641025641E-3</v>
      </c>
      <c r="N139" s="3">
        <v>45810</v>
      </c>
      <c r="O139" s="5">
        <f>IFERROR((PlanMasine[[#This Row],[Norma]]/PlanMasine[[#This Row],[Q]])*(PlanMasine[[#This Row],[Q]]/SUMIF(C:C,PlanMasine[[#This Row],[RN]],B:B)*PlanMasine[[#This Row],[KPLQ]]),0)</f>
        <v>9.2307692307692317</v>
      </c>
      <c r="P139">
        <v>227549</v>
      </c>
      <c r="Q139">
        <f>COUNTIF(PROMJENA!A:A,PlanMasine[[#This Row],[KPL]]&amp;"-"&amp;PlanMasine[[#This Row],[RN]])</f>
        <v>0</v>
      </c>
      <c r="R139">
        <f>IFERROR(INDEX(REDOSLIJED!A:A,MATCH(PlanMasine[[#This Row],[KPL]],REDOSLIJED!B:B,0)),MAX(REDOSLIJED!A:A)+1)</f>
        <v>45</v>
      </c>
      <c r="S139" s="9">
        <f>SUM($M$2:M139)</f>
        <v>7.1998611111111179</v>
      </c>
      <c r="T139" s="3">
        <f>PlanMasine[[#This Row],[Datum SAS]]-1</f>
        <v>45809</v>
      </c>
      <c r="U139">
        <f>WEEKDAY(PlanMasine[[#This Row],[ZAVRŠETAK MAŠINSKE]],2)</f>
        <v>7</v>
      </c>
      <c r="V139" s="3">
        <f>IF(WEEKDAY(PlanMasine[[#This Row],[Datum SAS]]-1,2)=7,PlanMasine[[#This Row],[Datum SAS]]-3,PlanMasine[[#This Row],[Datum SAS]]-1)</f>
        <v>45807</v>
      </c>
      <c r="W139">
        <f>WEEKNUM(PlanMasine[[#This Row],[Column2]],1)</f>
        <v>22</v>
      </c>
    </row>
    <row r="140" spans="1:23" x14ac:dyDescent="0.35">
      <c r="A140">
        <v>1003758</v>
      </c>
      <c r="B140">
        <v>1</v>
      </c>
      <c r="C140">
        <v>1003804</v>
      </c>
      <c r="D140" t="s">
        <v>1755</v>
      </c>
      <c r="E140">
        <v>660</v>
      </c>
      <c r="F140">
        <v>12</v>
      </c>
      <c r="G140">
        <v>0</v>
      </c>
      <c r="H140">
        <v>0</v>
      </c>
      <c r="I140" t="s">
        <v>24</v>
      </c>
      <c r="J140" t="s">
        <v>597</v>
      </c>
      <c r="K140" t="s">
        <v>1880</v>
      </c>
      <c r="L140" s="3">
        <v>45820</v>
      </c>
      <c r="M140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3.5256410256410256E-2</v>
      </c>
      <c r="N140" s="3">
        <v>45810</v>
      </c>
      <c r="O140" s="5">
        <f>IFERROR((PlanMasine[[#This Row],[Norma]]/PlanMasine[[#This Row],[Q]])*(PlanMasine[[#This Row],[Q]]/SUMIF(C:C,PlanMasine[[#This Row],[RN]],B:B)*PlanMasine[[#This Row],[KPLQ]]),0)</f>
        <v>50.769230769230774</v>
      </c>
      <c r="P140">
        <v>227566</v>
      </c>
      <c r="Q140">
        <f>COUNTIF(PROMJENA!A:A,PlanMasine[[#This Row],[KPL]]&amp;"-"&amp;PlanMasine[[#This Row],[RN]])</f>
        <v>0</v>
      </c>
      <c r="R140">
        <f>IFERROR(INDEX(REDOSLIJED!A:A,MATCH(PlanMasine[[#This Row],[KPL]],REDOSLIJED!B:B,0)),MAX(REDOSLIJED!A:A)+1)</f>
        <v>45</v>
      </c>
      <c r="S140" s="9">
        <f>SUM($M$2:M140)</f>
        <v>7.2351175213675285</v>
      </c>
      <c r="T140" s="3">
        <f>PlanMasine[[#This Row],[Datum SAS]]-1</f>
        <v>45809</v>
      </c>
      <c r="U140">
        <f>WEEKDAY(PlanMasine[[#This Row],[ZAVRŠETAK MAŠINSKE]],2)</f>
        <v>7</v>
      </c>
      <c r="V140" s="3">
        <f>IF(WEEKDAY(PlanMasine[[#This Row],[Datum SAS]]-1,2)=7,PlanMasine[[#This Row],[Datum SAS]]-3,PlanMasine[[#This Row],[Datum SAS]]-1)</f>
        <v>45807</v>
      </c>
      <c r="W140">
        <f>WEEKNUM(PlanMasine[[#This Row],[Column2]],1)</f>
        <v>22</v>
      </c>
    </row>
    <row r="141" spans="1:23" x14ac:dyDescent="0.35">
      <c r="A141">
        <v>1003758</v>
      </c>
      <c r="B141">
        <v>1</v>
      </c>
      <c r="C141">
        <v>1003788</v>
      </c>
      <c r="D141" t="s">
        <v>1754</v>
      </c>
      <c r="E141">
        <v>120</v>
      </c>
      <c r="F141">
        <v>12</v>
      </c>
      <c r="G141">
        <v>0</v>
      </c>
      <c r="H141">
        <v>0</v>
      </c>
      <c r="I141" t="s">
        <v>24</v>
      </c>
      <c r="J141" t="s">
        <v>597</v>
      </c>
      <c r="K141" t="s">
        <v>1880</v>
      </c>
      <c r="L141" s="3">
        <v>45820</v>
      </c>
      <c r="M141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6.41025641025641E-3</v>
      </c>
      <c r="N141" s="3">
        <v>45810</v>
      </c>
      <c r="O141" s="5">
        <f>IFERROR((PlanMasine[[#This Row],[Norma]]/PlanMasine[[#This Row],[Q]])*(PlanMasine[[#This Row],[Q]]/SUMIF(C:C,PlanMasine[[#This Row],[RN]],B:B)*PlanMasine[[#This Row],[KPLQ]]),0)</f>
        <v>9.2307692307692317</v>
      </c>
      <c r="P141">
        <v>227549</v>
      </c>
      <c r="Q141">
        <f>COUNTIF(PROMJENA!A:A,PlanMasine[[#This Row],[KPL]]&amp;"-"&amp;PlanMasine[[#This Row],[RN]])</f>
        <v>0</v>
      </c>
      <c r="R141">
        <f>IFERROR(INDEX(REDOSLIJED!A:A,MATCH(PlanMasine[[#This Row],[KPL]],REDOSLIJED!B:B,0)),MAX(REDOSLIJED!A:A)+1)</f>
        <v>45</v>
      </c>
      <c r="S141" s="9">
        <f>SUM($M$2:M141)</f>
        <v>7.2415277777777849</v>
      </c>
      <c r="T141" s="3">
        <f>PlanMasine[[#This Row],[Datum SAS]]-1</f>
        <v>45809</v>
      </c>
      <c r="U141">
        <f>WEEKDAY(PlanMasine[[#This Row],[ZAVRŠETAK MAŠINSKE]],2)</f>
        <v>7</v>
      </c>
      <c r="V141" s="3">
        <f>IF(WEEKDAY(PlanMasine[[#This Row],[Datum SAS]]-1,2)=7,PlanMasine[[#This Row],[Datum SAS]]-3,PlanMasine[[#This Row],[Datum SAS]]-1)</f>
        <v>45807</v>
      </c>
      <c r="W141">
        <f>WEEKNUM(PlanMasine[[#This Row],[Column2]],1)</f>
        <v>22</v>
      </c>
    </row>
    <row r="142" spans="1:23" x14ac:dyDescent="0.35">
      <c r="A142">
        <v>1003759</v>
      </c>
      <c r="B142">
        <v>1</v>
      </c>
      <c r="C142">
        <v>1003804</v>
      </c>
      <c r="D142" t="s">
        <v>1755</v>
      </c>
      <c r="E142">
        <v>660</v>
      </c>
      <c r="F142">
        <v>12</v>
      </c>
      <c r="G142">
        <v>0</v>
      </c>
      <c r="H142">
        <v>0</v>
      </c>
      <c r="I142" t="s">
        <v>24</v>
      </c>
      <c r="J142" t="s">
        <v>597</v>
      </c>
      <c r="K142" t="s">
        <v>1880</v>
      </c>
      <c r="L142" s="3">
        <v>45820</v>
      </c>
      <c r="M142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3.5256410256410256E-2</v>
      </c>
      <c r="N142" s="3">
        <v>45810</v>
      </c>
      <c r="O142" s="5">
        <f>IFERROR((PlanMasine[[#This Row],[Norma]]/PlanMasine[[#This Row],[Q]])*(PlanMasine[[#This Row],[Q]]/SUMIF(C:C,PlanMasine[[#This Row],[RN]],B:B)*PlanMasine[[#This Row],[KPLQ]]),0)</f>
        <v>50.769230769230774</v>
      </c>
      <c r="P142">
        <v>227566</v>
      </c>
      <c r="Q142">
        <f>COUNTIF(PROMJENA!A:A,PlanMasine[[#This Row],[KPL]]&amp;"-"&amp;PlanMasine[[#This Row],[RN]])</f>
        <v>0</v>
      </c>
      <c r="R142">
        <f>IFERROR(INDEX(REDOSLIJED!A:A,MATCH(PlanMasine[[#This Row],[KPL]],REDOSLIJED!B:B,0)),MAX(REDOSLIJED!A:A)+1)</f>
        <v>45</v>
      </c>
      <c r="S142" s="9">
        <f>SUM($M$2:M142)</f>
        <v>7.2767841880341955</v>
      </c>
      <c r="T142" s="3">
        <f>PlanMasine[[#This Row],[Datum SAS]]-1</f>
        <v>45809</v>
      </c>
      <c r="U142">
        <f>WEEKDAY(PlanMasine[[#This Row],[ZAVRŠETAK MAŠINSKE]],2)</f>
        <v>7</v>
      </c>
      <c r="V142" s="3">
        <f>IF(WEEKDAY(PlanMasine[[#This Row],[Datum SAS]]-1,2)=7,PlanMasine[[#This Row],[Datum SAS]]-3,PlanMasine[[#This Row],[Datum SAS]]-1)</f>
        <v>45807</v>
      </c>
      <c r="W142">
        <f>WEEKNUM(PlanMasine[[#This Row],[Column2]],1)</f>
        <v>22</v>
      </c>
    </row>
    <row r="143" spans="1:23" x14ac:dyDescent="0.35">
      <c r="A143">
        <v>1003759</v>
      </c>
      <c r="B143">
        <v>1</v>
      </c>
      <c r="C143">
        <v>1003788</v>
      </c>
      <c r="D143" t="s">
        <v>1754</v>
      </c>
      <c r="E143">
        <v>120</v>
      </c>
      <c r="F143">
        <v>12</v>
      </c>
      <c r="G143">
        <v>0</v>
      </c>
      <c r="H143">
        <v>0</v>
      </c>
      <c r="I143" t="s">
        <v>24</v>
      </c>
      <c r="J143" t="s">
        <v>597</v>
      </c>
      <c r="K143" t="s">
        <v>1880</v>
      </c>
      <c r="L143" s="3">
        <v>45820</v>
      </c>
      <c r="M143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6.41025641025641E-3</v>
      </c>
      <c r="N143" s="3">
        <v>45810</v>
      </c>
      <c r="O143" s="5">
        <f>IFERROR((PlanMasine[[#This Row],[Norma]]/PlanMasine[[#This Row],[Q]])*(PlanMasine[[#This Row],[Q]]/SUMIF(C:C,PlanMasine[[#This Row],[RN]],B:B)*PlanMasine[[#This Row],[KPLQ]]),0)</f>
        <v>9.2307692307692317</v>
      </c>
      <c r="P143">
        <v>227549</v>
      </c>
      <c r="Q143">
        <f>COUNTIF(PROMJENA!A:A,PlanMasine[[#This Row],[KPL]]&amp;"-"&amp;PlanMasine[[#This Row],[RN]])</f>
        <v>0</v>
      </c>
      <c r="R143">
        <f>IFERROR(INDEX(REDOSLIJED!A:A,MATCH(PlanMasine[[#This Row],[KPL]],REDOSLIJED!B:B,0)),MAX(REDOSLIJED!A:A)+1)</f>
        <v>45</v>
      </c>
      <c r="S143" s="9">
        <f>SUM($M$2:M143)</f>
        <v>7.2831944444444519</v>
      </c>
      <c r="T143" s="3">
        <f>PlanMasine[[#This Row],[Datum SAS]]-1</f>
        <v>45809</v>
      </c>
      <c r="U143">
        <f>WEEKDAY(PlanMasine[[#This Row],[ZAVRŠETAK MAŠINSKE]],2)</f>
        <v>7</v>
      </c>
      <c r="V143" s="3">
        <f>IF(WEEKDAY(PlanMasine[[#This Row],[Datum SAS]]-1,2)=7,PlanMasine[[#This Row],[Datum SAS]]-3,PlanMasine[[#This Row],[Datum SAS]]-1)</f>
        <v>45807</v>
      </c>
      <c r="W143">
        <f>WEEKNUM(PlanMasine[[#This Row],[Column2]],1)</f>
        <v>22</v>
      </c>
    </row>
    <row r="144" spans="1:23" x14ac:dyDescent="0.35">
      <c r="A144">
        <v>1003760</v>
      </c>
      <c r="B144">
        <v>1</v>
      </c>
      <c r="C144">
        <v>1003804</v>
      </c>
      <c r="D144" t="s">
        <v>1755</v>
      </c>
      <c r="E144">
        <v>660</v>
      </c>
      <c r="F144">
        <v>12</v>
      </c>
      <c r="G144">
        <v>0</v>
      </c>
      <c r="H144">
        <v>0</v>
      </c>
      <c r="I144" t="s">
        <v>24</v>
      </c>
      <c r="J144" t="s">
        <v>597</v>
      </c>
      <c r="K144" t="s">
        <v>1880</v>
      </c>
      <c r="L144" s="3">
        <v>45820</v>
      </c>
      <c r="M144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3.5256410256410256E-2</v>
      </c>
      <c r="N144" s="3">
        <v>45810</v>
      </c>
      <c r="O144" s="5">
        <f>IFERROR((PlanMasine[[#This Row],[Norma]]/PlanMasine[[#This Row],[Q]])*(PlanMasine[[#This Row],[Q]]/SUMIF(C:C,PlanMasine[[#This Row],[RN]],B:B)*PlanMasine[[#This Row],[KPLQ]]),0)</f>
        <v>50.769230769230774</v>
      </c>
      <c r="P144">
        <v>227566</v>
      </c>
      <c r="Q144">
        <f>COUNTIF(PROMJENA!A:A,PlanMasine[[#This Row],[KPL]]&amp;"-"&amp;PlanMasine[[#This Row],[RN]])</f>
        <v>0</v>
      </c>
      <c r="R144">
        <f>IFERROR(INDEX(REDOSLIJED!A:A,MATCH(PlanMasine[[#This Row],[KPL]],REDOSLIJED!B:B,0)),MAX(REDOSLIJED!A:A)+1)</f>
        <v>45</v>
      </c>
      <c r="S144" s="9">
        <f>SUM($M$2:M144)</f>
        <v>7.3184508547008624</v>
      </c>
      <c r="T144" s="3">
        <f>PlanMasine[[#This Row],[Datum SAS]]-1</f>
        <v>45809</v>
      </c>
      <c r="U144">
        <f>WEEKDAY(PlanMasine[[#This Row],[ZAVRŠETAK MAŠINSKE]],2)</f>
        <v>7</v>
      </c>
      <c r="V144" s="3">
        <f>IF(WEEKDAY(PlanMasine[[#This Row],[Datum SAS]]-1,2)=7,PlanMasine[[#This Row],[Datum SAS]]-3,PlanMasine[[#This Row],[Datum SAS]]-1)</f>
        <v>45807</v>
      </c>
      <c r="W144">
        <f>WEEKNUM(PlanMasine[[#This Row],[Column2]],1)</f>
        <v>22</v>
      </c>
    </row>
    <row r="145" spans="1:23" x14ac:dyDescent="0.35">
      <c r="A145">
        <v>1003760</v>
      </c>
      <c r="B145">
        <v>1</v>
      </c>
      <c r="C145">
        <v>1003788</v>
      </c>
      <c r="D145" t="s">
        <v>1754</v>
      </c>
      <c r="E145">
        <v>120</v>
      </c>
      <c r="F145">
        <v>12</v>
      </c>
      <c r="G145">
        <v>0</v>
      </c>
      <c r="H145">
        <v>0</v>
      </c>
      <c r="I145" t="s">
        <v>24</v>
      </c>
      <c r="J145" t="s">
        <v>597</v>
      </c>
      <c r="K145" t="s">
        <v>1880</v>
      </c>
      <c r="L145" s="3">
        <v>45820</v>
      </c>
      <c r="M145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6.41025641025641E-3</v>
      </c>
      <c r="N145" s="3">
        <v>45810</v>
      </c>
      <c r="O145" s="5">
        <f>IFERROR((PlanMasine[[#This Row],[Norma]]/PlanMasine[[#This Row],[Q]])*(PlanMasine[[#This Row],[Q]]/SUMIF(C:C,PlanMasine[[#This Row],[RN]],B:B)*PlanMasine[[#This Row],[KPLQ]]),0)</f>
        <v>9.2307692307692317</v>
      </c>
      <c r="P145">
        <v>227549</v>
      </c>
      <c r="Q145">
        <f>COUNTIF(PROMJENA!A:A,PlanMasine[[#This Row],[KPL]]&amp;"-"&amp;PlanMasine[[#This Row],[RN]])</f>
        <v>0</v>
      </c>
      <c r="R145">
        <f>IFERROR(INDEX(REDOSLIJED!A:A,MATCH(PlanMasine[[#This Row],[KPL]],REDOSLIJED!B:B,0)),MAX(REDOSLIJED!A:A)+1)</f>
        <v>45</v>
      </c>
      <c r="S145" s="9">
        <f>SUM($M$2:M145)</f>
        <v>7.3248611111111188</v>
      </c>
      <c r="T145" s="3">
        <f>PlanMasine[[#This Row],[Datum SAS]]-1</f>
        <v>45809</v>
      </c>
      <c r="U145">
        <f>WEEKDAY(PlanMasine[[#This Row],[ZAVRŠETAK MAŠINSKE]],2)</f>
        <v>7</v>
      </c>
      <c r="V145" s="3">
        <f>IF(WEEKDAY(PlanMasine[[#This Row],[Datum SAS]]-1,2)=7,PlanMasine[[#This Row],[Datum SAS]]-3,PlanMasine[[#This Row],[Datum SAS]]-1)</f>
        <v>45807</v>
      </c>
      <c r="W145">
        <f>WEEKNUM(PlanMasine[[#This Row],[Column2]],1)</f>
        <v>22</v>
      </c>
    </row>
    <row r="146" spans="1:23" x14ac:dyDescent="0.35">
      <c r="A146">
        <v>1003761</v>
      </c>
      <c r="B146">
        <v>1</v>
      </c>
      <c r="C146">
        <v>1003788</v>
      </c>
      <c r="D146" t="s">
        <v>1754</v>
      </c>
      <c r="E146">
        <v>120</v>
      </c>
      <c r="F146">
        <v>12</v>
      </c>
      <c r="G146">
        <v>0</v>
      </c>
      <c r="H146">
        <v>0</v>
      </c>
      <c r="I146" t="s">
        <v>24</v>
      </c>
      <c r="J146" t="s">
        <v>597</v>
      </c>
      <c r="K146" t="s">
        <v>1880</v>
      </c>
      <c r="L146" s="3">
        <v>45820</v>
      </c>
      <c r="M146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6.41025641025641E-3</v>
      </c>
      <c r="N146" s="3">
        <v>45810</v>
      </c>
      <c r="O146" s="5">
        <f>IFERROR((PlanMasine[[#This Row],[Norma]]/PlanMasine[[#This Row],[Q]])*(PlanMasine[[#This Row],[Q]]/SUMIF(C:C,PlanMasine[[#This Row],[RN]],B:B)*PlanMasine[[#This Row],[KPLQ]]),0)</f>
        <v>9.2307692307692317</v>
      </c>
      <c r="P146">
        <v>227549</v>
      </c>
      <c r="Q146">
        <f>COUNTIF(PROMJENA!A:A,PlanMasine[[#This Row],[KPL]]&amp;"-"&amp;PlanMasine[[#This Row],[RN]])</f>
        <v>0</v>
      </c>
      <c r="R146">
        <f>IFERROR(INDEX(REDOSLIJED!A:A,MATCH(PlanMasine[[#This Row],[KPL]],REDOSLIJED!B:B,0)),MAX(REDOSLIJED!A:A)+1)</f>
        <v>45</v>
      </c>
      <c r="S146" s="9">
        <f>SUM($M$2:M146)</f>
        <v>7.3312713675213752</v>
      </c>
      <c r="T146" s="3">
        <f>PlanMasine[[#This Row],[Datum SAS]]-1</f>
        <v>45809</v>
      </c>
      <c r="U146">
        <f>WEEKDAY(PlanMasine[[#This Row],[ZAVRŠETAK MAŠINSKE]],2)</f>
        <v>7</v>
      </c>
      <c r="V146" s="3">
        <f>IF(WEEKDAY(PlanMasine[[#This Row],[Datum SAS]]-1,2)=7,PlanMasine[[#This Row],[Datum SAS]]-3,PlanMasine[[#This Row],[Datum SAS]]-1)</f>
        <v>45807</v>
      </c>
      <c r="W146">
        <f>WEEKNUM(PlanMasine[[#This Row],[Column2]],1)</f>
        <v>22</v>
      </c>
    </row>
    <row r="147" spans="1:23" x14ac:dyDescent="0.35">
      <c r="A147">
        <v>1003761</v>
      </c>
      <c r="B147">
        <v>1</v>
      </c>
      <c r="C147">
        <v>1003804</v>
      </c>
      <c r="D147" t="s">
        <v>1755</v>
      </c>
      <c r="E147">
        <v>660</v>
      </c>
      <c r="F147">
        <v>12</v>
      </c>
      <c r="G147">
        <v>0</v>
      </c>
      <c r="H147">
        <v>0</v>
      </c>
      <c r="I147" t="s">
        <v>24</v>
      </c>
      <c r="J147" t="s">
        <v>597</v>
      </c>
      <c r="K147" t="s">
        <v>1880</v>
      </c>
      <c r="L147" s="3">
        <v>45820</v>
      </c>
      <c r="M147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3.5256410256410256E-2</v>
      </c>
      <c r="N147" s="3">
        <v>45810</v>
      </c>
      <c r="O147" s="5">
        <f>IFERROR((PlanMasine[[#This Row],[Norma]]/PlanMasine[[#This Row],[Q]])*(PlanMasine[[#This Row],[Q]]/SUMIF(C:C,PlanMasine[[#This Row],[RN]],B:B)*PlanMasine[[#This Row],[KPLQ]]),0)</f>
        <v>50.769230769230774</v>
      </c>
      <c r="P147">
        <v>227566</v>
      </c>
      <c r="Q147">
        <f>COUNTIF(PROMJENA!A:A,PlanMasine[[#This Row],[KPL]]&amp;"-"&amp;PlanMasine[[#This Row],[RN]])</f>
        <v>0</v>
      </c>
      <c r="R147">
        <f>IFERROR(INDEX(REDOSLIJED!A:A,MATCH(PlanMasine[[#This Row],[KPL]],REDOSLIJED!B:B,0)),MAX(REDOSLIJED!A:A)+1)</f>
        <v>45</v>
      </c>
      <c r="S147" s="9">
        <f>SUM($M$2:M147)</f>
        <v>7.3665277777777858</v>
      </c>
      <c r="T147" s="3">
        <f>PlanMasine[[#This Row],[Datum SAS]]-1</f>
        <v>45809</v>
      </c>
      <c r="U147">
        <f>WEEKDAY(PlanMasine[[#This Row],[ZAVRŠETAK MAŠINSKE]],2)</f>
        <v>7</v>
      </c>
      <c r="V147" s="3">
        <f>IF(WEEKDAY(PlanMasine[[#This Row],[Datum SAS]]-1,2)=7,PlanMasine[[#This Row],[Datum SAS]]-3,PlanMasine[[#This Row],[Datum SAS]]-1)</f>
        <v>45807</v>
      </c>
      <c r="W147">
        <f>WEEKNUM(PlanMasine[[#This Row],[Column2]],1)</f>
        <v>22</v>
      </c>
    </row>
    <row r="148" spans="1:23" x14ac:dyDescent="0.35">
      <c r="A148">
        <v>1003762</v>
      </c>
      <c r="B148">
        <v>1</v>
      </c>
      <c r="C148">
        <v>1003804</v>
      </c>
      <c r="D148" t="s">
        <v>1755</v>
      </c>
      <c r="E148">
        <v>660</v>
      </c>
      <c r="F148">
        <v>12</v>
      </c>
      <c r="G148">
        <v>0</v>
      </c>
      <c r="H148">
        <v>0</v>
      </c>
      <c r="I148" t="s">
        <v>24</v>
      </c>
      <c r="J148" t="s">
        <v>597</v>
      </c>
      <c r="K148" t="s">
        <v>1880</v>
      </c>
      <c r="L148" s="3">
        <v>45820</v>
      </c>
      <c r="M148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3.5256410256410256E-2</v>
      </c>
      <c r="N148" s="3">
        <v>45810</v>
      </c>
      <c r="O148" s="5">
        <f>IFERROR((PlanMasine[[#This Row],[Norma]]/PlanMasine[[#This Row],[Q]])*(PlanMasine[[#This Row],[Q]]/SUMIF(C:C,PlanMasine[[#This Row],[RN]],B:B)*PlanMasine[[#This Row],[KPLQ]]),0)</f>
        <v>50.769230769230774</v>
      </c>
      <c r="P148">
        <v>227566</v>
      </c>
      <c r="Q148">
        <f>COUNTIF(PROMJENA!A:A,PlanMasine[[#This Row],[KPL]]&amp;"-"&amp;PlanMasine[[#This Row],[RN]])</f>
        <v>0</v>
      </c>
      <c r="R148">
        <f>IFERROR(INDEX(REDOSLIJED!A:A,MATCH(PlanMasine[[#This Row],[KPL]],REDOSLIJED!B:B,0)),MAX(REDOSLIJED!A:A)+1)</f>
        <v>45</v>
      </c>
      <c r="S148" s="9">
        <f>SUM($M$2:M148)</f>
        <v>7.4017841880341964</v>
      </c>
      <c r="T148" s="3">
        <f>PlanMasine[[#This Row],[Datum SAS]]-1</f>
        <v>45809</v>
      </c>
      <c r="U148">
        <f>WEEKDAY(PlanMasine[[#This Row],[ZAVRŠETAK MAŠINSKE]],2)</f>
        <v>7</v>
      </c>
      <c r="V148" s="3">
        <f>IF(WEEKDAY(PlanMasine[[#This Row],[Datum SAS]]-1,2)=7,PlanMasine[[#This Row],[Datum SAS]]-3,PlanMasine[[#This Row],[Datum SAS]]-1)</f>
        <v>45807</v>
      </c>
      <c r="W148">
        <f>WEEKNUM(PlanMasine[[#This Row],[Column2]],1)</f>
        <v>22</v>
      </c>
    </row>
    <row r="149" spans="1:23" x14ac:dyDescent="0.35">
      <c r="A149">
        <v>1003762</v>
      </c>
      <c r="B149">
        <v>1</v>
      </c>
      <c r="C149">
        <v>1003788</v>
      </c>
      <c r="D149" t="s">
        <v>1754</v>
      </c>
      <c r="E149">
        <v>120</v>
      </c>
      <c r="F149">
        <v>12</v>
      </c>
      <c r="G149">
        <v>0</v>
      </c>
      <c r="H149">
        <v>0</v>
      </c>
      <c r="I149" t="s">
        <v>24</v>
      </c>
      <c r="J149" t="s">
        <v>597</v>
      </c>
      <c r="K149" t="s">
        <v>1880</v>
      </c>
      <c r="L149" s="3">
        <v>45820</v>
      </c>
      <c r="M149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6.41025641025641E-3</v>
      </c>
      <c r="N149" s="3">
        <v>45810</v>
      </c>
      <c r="O149" s="5">
        <f>IFERROR((PlanMasine[[#This Row],[Norma]]/PlanMasine[[#This Row],[Q]])*(PlanMasine[[#This Row],[Q]]/SUMIF(C:C,PlanMasine[[#This Row],[RN]],B:B)*PlanMasine[[#This Row],[KPLQ]]),0)</f>
        <v>9.2307692307692317</v>
      </c>
      <c r="P149">
        <v>227549</v>
      </c>
      <c r="Q149">
        <f>COUNTIF(PROMJENA!A:A,PlanMasine[[#This Row],[KPL]]&amp;"-"&amp;PlanMasine[[#This Row],[RN]])</f>
        <v>0</v>
      </c>
      <c r="R149">
        <f>IFERROR(INDEX(REDOSLIJED!A:A,MATCH(PlanMasine[[#This Row],[KPL]],REDOSLIJED!B:B,0)),MAX(REDOSLIJED!A:A)+1)</f>
        <v>45</v>
      </c>
      <c r="S149" s="9">
        <f>SUM($M$2:M149)</f>
        <v>7.4081944444444527</v>
      </c>
      <c r="T149" s="3">
        <f>PlanMasine[[#This Row],[Datum SAS]]-1</f>
        <v>45809</v>
      </c>
      <c r="U149">
        <f>WEEKDAY(PlanMasine[[#This Row],[ZAVRŠETAK MAŠINSKE]],2)</f>
        <v>7</v>
      </c>
      <c r="V149" s="3">
        <f>IF(WEEKDAY(PlanMasine[[#This Row],[Datum SAS]]-1,2)=7,PlanMasine[[#This Row],[Datum SAS]]-3,PlanMasine[[#This Row],[Datum SAS]]-1)</f>
        <v>45807</v>
      </c>
      <c r="W149">
        <f>WEEKNUM(PlanMasine[[#This Row],[Column2]],1)</f>
        <v>22</v>
      </c>
    </row>
    <row r="150" spans="1:23" x14ac:dyDescent="0.35">
      <c r="A150">
        <v>1003763</v>
      </c>
      <c r="B150">
        <v>1</v>
      </c>
      <c r="C150">
        <v>1003788</v>
      </c>
      <c r="D150" t="s">
        <v>1754</v>
      </c>
      <c r="E150">
        <v>120</v>
      </c>
      <c r="F150">
        <v>12</v>
      </c>
      <c r="G150">
        <v>0</v>
      </c>
      <c r="H150">
        <v>0</v>
      </c>
      <c r="I150" t="s">
        <v>24</v>
      </c>
      <c r="J150" t="s">
        <v>597</v>
      </c>
      <c r="K150" t="s">
        <v>1880</v>
      </c>
      <c r="L150" s="3">
        <v>45820</v>
      </c>
      <c r="M150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6.41025641025641E-3</v>
      </c>
      <c r="N150" s="3">
        <v>45810</v>
      </c>
      <c r="O150" s="5">
        <f>IFERROR((PlanMasine[[#This Row],[Norma]]/PlanMasine[[#This Row],[Q]])*(PlanMasine[[#This Row],[Q]]/SUMIF(C:C,PlanMasine[[#This Row],[RN]],B:B)*PlanMasine[[#This Row],[KPLQ]]),0)</f>
        <v>9.2307692307692317</v>
      </c>
      <c r="P150">
        <v>227549</v>
      </c>
      <c r="Q150">
        <f>COUNTIF(PROMJENA!A:A,PlanMasine[[#This Row],[KPL]]&amp;"-"&amp;PlanMasine[[#This Row],[RN]])</f>
        <v>0</v>
      </c>
      <c r="R150">
        <f>IFERROR(INDEX(REDOSLIJED!A:A,MATCH(PlanMasine[[#This Row],[KPL]],REDOSLIJED!B:B,0)),MAX(REDOSLIJED!A:A)+1)</f>
        <v>45</v>
      </c>
      <c r="S150" s="9">
        <f>SUM($M$2:M150)</f>
        <v>7.4146047008547091</v>
      </c>
      <c r="T150" s="3">
        <f>PlanMasine[[#This Row],[Datum SAS]]-1</f>
        <v>45809</v>
      </c>
      <c r="U150">
        <f>WEEKDAY(PlanMasine[[#This Row],[ZAVRŠETAK MAŠINSKE]],2)</f>
        <v>7</v>
      </c>
      <c r="V150" s="3">
        <f>IF(WEEKDAY(PlanMasine[[#This Row],[Datum SAS]]-1,2)=7,PlanMasine[[#This Row],[Datum SAS]]-3,PlanMasine[[#This Row],[Datum SAS]]-1)</f>
        <v>45807</v>
      </c>
      <c r="W150">
        <f>WEEKNUM(PlanMasine[[#This Row],[Column2]],1)</f>
        <v>22</v>
      </c>
    </row>
    <row r="151" spans="1:23" x14ac:dyDescent="0.35">
      <c r="A151">
        <v>1003763</v>
      </c>
      <c r="B151">
        <v>1</v>
      </c>
      <c r="C151">
        <v>1003804</v>
      </c>
      <c r="D151" t="s">
        <v>1755</v>
      </c>
      <c r="E151">
        <v>660</v>
      </c>
      <c r="F151">
        <v>12</v>
      </c>
      <c r="G151">
        <v>0</v>
      </c>
      <c r="H151">
        <v>0</v>
      </c>
      <c r="I151" t="s">
        <v>24</v>
      </c>
      <c r="J151" t="s">
        <v>597</v>
      </c>
      <c r="K151" t="s">
        <v>1880</v>
      </c>
      <c r="L151" s="3">
        <v>45820</v>
      </c>
      <c r="M151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3.5256410256410256E-2</v>
      </c>
      <c r="N151" s="3">
        <v>45810</v>
      </c>
      <c r="O151" s="5">
        <f>IFERROR((PlanMasine[[#This Row],[Norma]]/PlanMasine[[#This Row],[Q]])*(PlanMasine[[#This Row],[Q]]/SUMIF(C:C,PlanMasine[[#This Row],[RN]],B:B)*PlanMasine[[#This Row],[KPLQ]]),0)</f>
        <v>50.769230769230774</v>
      </c>
      <c r="P151">
        <v>227566</v>
      </c>
      <c r="Q151">
        <f>COUNTIF(PROMJENA!A:A,PlanMasine[[#This Row],[KPL]]&amp;"-"&amp;PlanMasine[[#This Row],[RN]])</f>
        <v>0</v>
      </c>
      <c r="R151">
        <f>IFERROR(INDEX(REDOSLIJED!A:A,MATCH(PlanMasine[[#This Row],[KPL]],REDOSLIJED!B:B,0)),MAX(REDOSLIJED!A:A)+1)</f>
        <v>45</v>
      </c>
      <c r="S151" s="9">
        <f>SUM($M$2:M151)</f>
        <v>7.4498611111111197</v>
      </c>
      <c r="T151" s="3">
        <f>PlanMasine[[#This Row],[Datum SAS]]-1</f>
        <v>45809</v>
      </c>
      <c r="U151">
        <f>WEEKDAY(PlanMasine[[#This Row],[ZAVRŠETAK MAŠINSKE]],2)</f>
        <v>7</v>
      </c>
      <c r="V151" s="3">
        <f>IF(WEEKDAY(PlanMasine[[#This Row],[Datum SAS]]-1,2)=7,PlanMasine[[#This Row],[Datum SAS]]-3,PlanMasine[[#This Row],[Datum SAS]]-1)</f>
        <v>45807</v>
      </c>
      <c r="W151">
        <f>WEEKNUM(PlanMasine[[#This Row],[Column2]],1)</f>
        <v>22</v>
      </c>
    </row>
    <row r="152" spans="1:23" x14ac:dyDescent="0.35">
      <c r="A152">
        <v>1003764</v>
      </c>
      <c r="B152">
        <v>1</v>
      </c>
      <c r="C152">
        <v>1003804</v>
      </c>
      <c r="D152" t="s">
        <v>1755</v>
      </c>
      <c r="E152">
        <v>660</v>
      </c>
      <c r="F152">
        <v>12</v>
      </c>
      <c r="G152">
        <v>0</v>
      </c>
      <c r="H152">
        <v>0</v>
      </c>
      <c r="I152" t="s">
        <v>24</v>
      </c>
      <c r="J152" t="s">
        <v>597</v>
      </c>
      <c r="K152" t="s">
        <v>1880</v>
      </c>
      <c r="L152" s="3">
        <v>45820</v>
      </c>
      <c r="M152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3.5256410256410256E-2</v>
      </c>
      <c r="N152" s="3">
        <v>45810</v>
      </c>
      <c r="O152" s="5">
        <f>IFERROR((PlanMasine[[#This Row],[Norma]]/PlanMasine[[#This Row],[Q]])*(PlanMasine[[#This Row],[Q]]/SUMIF(C:C,PlanMasine[[#This Row],[RN]],B:B)*PlanMasine[[#This Row],[KPLQ]]),0)</f>
        <v>50.769230769230774</v>
      </c>
      <c r="P152">
        <v>227566</v>
      </c>
      <c r="Q152">
        <f>COUNTIF(PROMJENA!A:A,PlanMasine[[#This Row],[KPL]]&amp;"-"&amp;PlanMasine[[#This Row],[RN]])</f>
        <v>0</v>
      </c>
      <c r="R152">
        <f>IFERROR(INDEX(REDOSLIJED!A:A,MATCH(PlanMasine[[#This Row],[KPL]],REDOSLIJED!B:B,0)),MAX(REDOSLIJED!A:A)+1)</f>
        <v>45</v>
      </c>
      <c r="S152" s="9">
        <f>SUM($M$2:M152)</f>
        <v>7.4851175213675303</v>
      </c>
      <c r="T152" s="3">
        <f>PlanMasine[[#This Row],[Datum SAS]]-1</f>
        <v>45809</v>
      </c>
      <c r="U152">
        <f>WEEKDAY(PlanMasine[[#This Row],[ZAVRŠETAK MAŠINSKE]],2)</f>
        <v>7</v>
      </c>
      <c r="V152" s="3">
        <f>IF(WEEKDAY(PlanMasine[[#This Row],[Datum SAS]]-1,2)=7,PlanMasine[[#This Row],[Datum SAS]]-3,PlanMasine[[#This Row],[Datum SAS]]-1)</f>
        <v>45807</v>
      </c>
      <c r="W152">
        <f>WEEKNUM(PlanMasine[[#This Row],[Column2]],1)</f>
        <v>22</v>
      </c>
    </row>
    <row r="153" spans="1:23" x14ac:dyDescent="0.35">
      <c r="A153">
        <v>1003764</v>
      </c>
      <c r="B153">
        <v>1</v>
      </c>
      <c r="C153">
        <v>1003788</v>
      </c>
      <c r="D153" t="s">
        <v>1754</v>
      </c>
      <c r="E153">
        <v>120</v>
      </c>
      <c r="F153">
        <v>12</v>
      </c>
      <c r="G153">
        <v>0</v>
      </c>
      <c r="H153">
        <v>0</v>
      </c>
      <c r="I153" t="s">
        <v>24</v>
      </c>
      <c r="J153" t="s">
        <v>597</v>
      </c>
      <c r="K153" t="s">
        <v>1880</v>
      </c>
      <c r="L153" s="3">
        <v>45820</v>
      </c>
      <c r="M153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6.41025641025641E-3</v>
      </c>
      <c r="N153" s="3">
        <v>45810</v>
      </c>
      <c r="O153" s="5">
        <f>IFERROR((PlanMasine[[#This Row],[Norma]]/PlanMasine[[#This Row],[Q]])*(PlanMasine[[#This Row],[Q]]/SUMIF(C:C,PlanMasine[[#This Row],[RN]],B:B)*PlanMasine[[#This Row],[KPLQ]]),0)</f>
        <v>9.2307692307692317</v>
      </c>
      <c r="P153">
        <v>227549</v>
      </c>
      <c r="Q153">
        <f>COUNTIF(PROMJENA!A:A,PlanMasine[[#This Row],[KPL]]&amp;"-"&amp;PlanMasine[[#This Row],[RN]])</f>
        <v>0</v>
      </c>
      <c r="R153">
        <f>IFERROR(INDEX(REDOSLIJED!A:A,MATCH(PlanMasine[[#This Row],[KPL]],REDOSLIJED!B:B,0)),MAX(REDOSLIJED!A:A)+1)</f>
        <v>45</v>
      </c>
      <c r="S153" s="9">
        <f>SUM($M$2:M153)</f>
        <v>7.4915277777777867</v>
      </c>
      <c r="T153" s="3">
        <f>PlanMasine[[#This Row],[Datum SAS]]-1</f>
        <v>45809</v>
      </c>
      <c r="U153">
        <f>WEEKDAY(PlanMasine[[#This Row],[ZAVRŠETAK MAŠINSKE]],2)</f>
        <v>7</v>
      </c>
      <c r="V153" s="3">
        <f>IF(WEEKDAY(PlanMasine[[#This Row],[Datum SAS]]-1,2)=7,PlanMasine[[#This Row],[Datum SAS]]-3,PlanMasine[[#This Row],[Datum SAS]]-1)</f>
        <v>45807</v>
      </c>
      <c r="W153">
        <f>WEEKNUM(PlanMasine[[#This Row],[Column2]],1)</f>
        <v>22</v>
      </c>
    </row>
    <row r="154" spans="1:23" x14ac:dyDescent="0.35">
      <c r="A154">
        <v>1003765</v>
      </c>
      <c r="B154">
        <v>1</v>
      </c>
      <c r="C154">
        <v>1003788</v>
      </c>
      <c r="D154" t="s">
        <v>1754</v>
      </c>
      <c r="E154">
        <v>120</v>
      </c>
      <c r="F154">
        <v>12</v>
      </c>
      <c r="G154">
        <v>0</v>
      </c>
      <c r="H154">
        <v>0</v>
      </c>
      <c r="I154" t="s">
        <v>24</v>
      </c>
      <c r="J154" t="s">
        <v>597</v>
      </c>
      <c r="K154" t="s">
        <v>1880</v>
      </c>
      <c r="L154" s="3">
        <v>45820</v>
      </c>
      <c r="M154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6.41025641025641E-3</v>
      </c>
      <c r="N154" s="3">
        <v>45810</v>
      </c>
      <c r="O154" s="5">
        <f>IFERROR((PlanMasine[[#This Row],[Norma]]/PlanMasine[[#This Row],[Q]])*(PlanMasine[[#This Row],[Q]]/SUMIF(C:C,PlanMasine[[#This Row],[RN]],B:B)*PlanMasine[[#This Row],[KPLQ]]),0)</f>
        <v>9.2307692307692317</v>
      </c>
      <c r="P154">
        <v>227549</v>
      </c>
      <c r="Q154">
        <f>COUNTIF(PROMJENA!A:A,PlanMasine[[#This Row],[KPL]]&amp;"-"&amp;PlanMasine[[#This Row],[RN]])</f>
        <v>0</v>
      </c>
      <c r="R154">
        <f>IFERROR(INDEX(REDOSLIJED!A:A,MATCH(PlanMasine[[#This Row],[KPL]],REDOSLIJED!B:B,0)),MAX(REDOSLIJED!A:A)+1)</f>
        <v>45</v>
      </c>
      <c r="S154" s="9">
        <f>SUM($M$2:M154)</f>
        <v>7.4979380341880431</v>
      </c>
      <c r="T154" s="3">
        <f>PlanMasine[[#This Row],[Datum SAS]]-1</f>
        <v>45809</v>
      </c>
      <c r="U154">
        <f>WEEKDAY(PlanMasine[[#This Row],[ZAVRŠETAK MAŠINSKE]],2)</f>
        <v>7</v>
      </c>
      <c r="V154" s="3">
        <f>IF(WEEKDAY(PlanMasine[[#This Row],[Datum SAS]]-1,2)=7,PlanMasine[[#This Row],[Datum SAS]]-3,PlanMasine[[#This Row],[Datum SAS]]-1)</f>
        <v>45807</v>
      </c>
      <c r="W154">
        <f>WEEKNUM(PlanMasine[[#This Row],[Column2]],1)</f>
        <v>22</v>
      </c>
    </row>
    <row r="155" spans="1:23" x14ac:dyDescent="0.35">
      <c r="A155">
        <v>1003765</v>
      </c>
      <c r="B155">
        <v>1</v>
      </c>
      <c r="C155">
        <v>1003804</v>
      </c>
      <c r="D155" t="s">
        <v>1755</v>
      </c>
      <c r="E155">
        <v>660</v>
      </c>
      <c r="F155">
        <v>12</v>
      </c>
      <c r="G155">
        <v>0</v>
      </c>
      <c r="H155">
        <v>0</v>
      </c>
      <c r="I155" t="s">
        <v>24</v>
      </c>
      <c r="J155" t="s">
        <v>597</v>
      </c>
      <c r="K155" t="s">
        <v>1880</v>
      </c>
      <c r="L155" s="3">
        <v>45820</v>
      </c>
      <c r="M155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3.5256410256410256E-2</v>
      </c>
      <c r="N155" s="3">
        <v>45810</v>
      </c>
      <c r="O155" s="5">
        <f>IFERROR((PlanMasine[[#This Row],[Norma]]/PlanMasine[[#This Row],[Q]])*(PlanMasine[[#This Row],[Q]]/SUMIF(C:C,PlanMasine[[#This Row],[RN]],B:B)*PlanMasine[[#This Row],[KPLQ]]),0)</f>
        <v>50.769230769230774</v>
      </c>
      <c r="P155">
        <v>227566</v>
      </c>
      <c r="Q155">
        <f>COUNTIF(PROMJENA!A:A,PlanMasine[[#This Row],[KPL]]&amp;"-"&amp;PlanMasine[[#This Row],[RN]])</f>
        <v>0</v>
      </c>
      <c r="R155">
        <f>IFERROR(INDEX(REDOSLIJED!A:A,MATCH(PlanMasine[[#This Row],[KPL]],REDOSLIJED!B:B,0)),MAX(REDOSLIJED!A:A)+1)</f>
        <v>45</v>
      </c>
      <c r="S155" s="9">
        <f>SUM($M$2:M155)</f>
        <v>7.5331944444444536</v>
      </c>
      <c r="T155" s="3">
        <f>PlanMasine[[#This Row],[Datum SAS]]-1</f>
        <v>45809</v>
      </c>
      <c r="U155">
        <f>WEEKDAY(PlanMasine[[#This Row],[ZAVRŠETAK MAŠINSKE]],2)</f>
        <v>7</v>
      </c>
      <c r="V155" s="3">
        <f>IF(WEEKDAY(PlanMasine[[#This Row],[Datum SAS]]-1,2)=7,PlanMasine[[#This Row],[Datum SAS]]-3,PlanMasine[[#This Row],[Datum SAS]]-1)</f>
        <v>45807</v>
      </c>
      <c r="W155">
        <f>WEEKNUM(PlanMasine[[#This Row],[Column2]],1)</f>
        <v>22</v>
      </c>
    </row>
    <row r="156" spans="1:23" x14ac:dyDescent="0.35">
      <c r="A156">
        <v>1003766</v>
      </c>
      <c r="B156">
        <v>1</v>
      </c>
      <c r="C156">
        <v>1003804</v>
      </c>
      <c r="D156" t="s">
        <v>1755</v>
      </c>
      <c r="E156">
        <v>660</v>
      </c>
      <c r="F156">
        <v>12</v>
      </c>
      <c r="G156">
        <v>0</v>
      </c>
      <c r="H156">
        <v>0</v>
      </c>
      <c r="I156" t="s">
        <v>24</v>
      </c>
      <c r="J156" t="s">
        <v>597</v>
      </c>
      <c r="K156" t="s">
        <v>1880</v>
      </c>
      <c r="L156" s="3">
        <v>45820</v>
      </c>
      <c r="M156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3.5256410256410256E-2</v>
      </c>
      <c r="N156" s="3">
        <v>45810</v>
      </c>
      <c r="O156" s="5">
        <f>IFERROR((PlanMasine[[#This Row],[Norma]]/PlanMasine[[#This Row],[Q]])*(PlanMasine[[#This Row],[Q]]/SUMIF(C:C,PlanMasine[[#This Row],[RN]],B:B)*PlanMasine[[#This Row],[KPLQ]]),0)</f>
        <v>50.769230769230774</v>
      </c>
      <c r="P156">
        <v>227566</v>
      </c>
      <c r="Q156">
        <f>COUNTIF(PROMJENA!A:A,PlanMasine[[#This Row],[KPL]]&amp;"-"&amp;PlanMasine[[#This Row],[RN]])</f>
        <v>0</v>
      </c>
      <c r="R156">
        <f>IFERROR(INDEX(REDOSLIJED!A:A,MATCH(PlanMasine[[#This Row],[KPL]],REDOSLIJED!B:B,0)),MAX(REDOSLIJED!A:A)+1)</f>
        <v>45</v>
      </c>
      <c r="S156" s="9">
        <f>SUM($M$2:M156)</f>
        <v>7.5684508547008642</v>
      </c>
      <c r="T156" s="3">
        <f>PlanMasine[[#This Row],[Datum SAS]]-1</f>
        <v>45809</v>
      </c>
      <c r="U156">
        <f>WEEKDAY(PlanMasine[[#This Row],[ZAVRŠETAK MAŠINSKE]],2)</f>
        <v>7</v>
      </c>
      <c r="V156" s="3">
        <f>IF(WEEKDAY(PlanMasine[[#This Row],[Datum SAS]]-1,2)=7,PlanMasine[[#This Row],[Datum SAS]]-3,PlanMasine[[#This Row],[Datum SAS]]-1)</f>
        <v>45807</v>
      </c>
      <c r="W156">
        <f>WEEKNUM(PlanMasine[[#This Row],[Column2]],1)</f>
        <v>22</v>
      </c>
    </row>
    <row r="157" spans="1:23" x14ac:dyDescent="0.35">
      <c r="A157">
        <v>1003766</v>
      </c>
      <c r="B157">
        <v>1</v>
      </c>
      <c r="C157">
        <v>1003788</v>
      </c>
      <c r="D157" t="s">
        <v>1754</v>
      </c>
      <c r="E157">
        <v>120</v>
      </c>
      <c r="F157">
        <v>12</v>
      </c>
      <c r="G157">
        <v>0</v>
      </c>
      <c r="H157">
        <v>0</v>
      </c>
      <c r="I157" t="s">
        <v>24</v>
      </c>
      <c r="J157" t="s">
        <v>597</v>
      </c>
      <c r="K157" t="s">
        <v>1880</v>
      </c>
      <c r="L157" s="3">
        <v>45820</v>
      </c>
      <c r="M157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6.41025641025641E-3</v>
      </c>
      <c r="N157" s="3">
        <v>45810</v>
      </c>
      <c r="O157" s="5">
        <f>IFERROR((PlanMasine[[#This Row],[Norma]]/PlanMasine[[#This Row],[Q]])*(PlanMasine[[#This Row],[Q]]/SUMIF(C:C,PlanMasine[[#This Row],[RN]],B:B)*PlanMasine[[#This Row],[KPLQ]]),0)</f>
        <v>9.2307692307692317</v>
      </c>
      <c r="P157">
        <v>227549</v>
      </c>
      <c r="Q157">
        <f>COUNTIF(PROMJENA!A:A,PlanMasine[[#This Row],[KPL]]&amp;"-"&amp;PlanMasine[[#This Row],[RN]])</f>
        <v>0</v>
      </c>
      <c r="R157">
        <f>IFERROR(INDEX(REDOSLIJED!A:A,MATCH(PlanMasine[[#This Row],[KPL]],REDOSLIJED!B:B,0)),MAX(REDOSLIJED!A:A)+1)</f>
        <v>45</v>
      </c>
      <c r="S157" s="9">
        <f>SUM($M$2:M157)</f>
        <v>7.5748611111111206</v>
      </c>
      <c r="T157" s="3">
        <f>PlanMasine[[#This Row],[Datum SAS]]-1</f>
        <v>45809</v>
      </c>
      <c r="U157">
        <f>WEEKDAY(PlanMasine[[#This Row],[ZAVRŠETAK MAŠINSKE]],2)</f>
        <v>7</v>
      </c>
      <c r="V157" s="3">
        <f>IF(WEEKDAY(PlanMasine[[#This Row],[Datum SAS]]-1,2)=7,PlanMasine[[#This Row],[Datum SAS]]-3,PlanMasine[[#This Row],[Datum SAS]]-1)</f>
        <v>45807</v>
      </c>
      <c r="W157">
        <f>WEEKNUM(PlanMasine[[#This Row],[Column2]],1)</f>
        <v>22</v>
      </c>
    </row>
    <row r="158" spans="1:23" x14ac:dyDescent="0.35">
      <c r="A158">
        <v>1003767</v>
      </c>
      <c r="B158">
        <v>1</v>
      </c>
      <c r="C158">
        <v>1003804</v>
      </c>
      <c r="D158" t="s">
        <v>1755</v>
      </c>
      <c r="E158">
        <v>660</v>
      </c>
      <c r="F158">
        <v>12</v>
      </c>
      <c r="G158">
        <v>0</v>
      </c>
      <c r="H158">
        <v>0</v>
      </c>
      <c r="I158" t="s">
        <v>24</v>
      </c>
      <c r="J158" t="s">
        <v>597</v>
      </c>
      <c r="K158" t="s">
        <v>1880</v>
      </c>
      <c r="L158" s="3">
        <v>45820</v>
      </c>
      <c r="M158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3.5256410256410256E-2</v>
      </c>
      <c r="N158" s="3">
        <v>45810</v>
      </c>
      <c r="O158" s="5">
        <f>IFERROR((PlanMasine[[#This Row],[Norma]]/PlanMasine[[#This Row],[Q]])*(PlanMasine[[#This Row],[Q]]/SUMIF(C:C,PlanMasine[[#This Row],[RN]],B:B)*PlanMasine[[#This Row],[KPLQ]]),0)</f>
        <v>50.769230769230774</v>
      </c>
      <c r="P158">
        <v>227566</v>
      </c>
      <c r="Q158">
        <f>COUNTIF(PROMJENA!A:A,PlanMasine[[#This Row],[KPL]]&amp;"-"&amp;PlanMasine[[#This Row],[RN]])</f>
        <v>0</v>
      </c>
      <c r="R158">
        <f>IFERROR(INDEX(REDOSLIJED!A:A,MATCH(PlanMasine[[#This Row],[KPL]],REDOSLIJED!B:B,0)),MAX(REDOSLIJED!A:A)+1)</f>
        <v>45</v>
      </c>
      <c r="S158" s="9">
        <f>SUM($M$2:M158)</f>
        <v>7.6101175213675312</v>
      </c>
      <c r="T158" s="3">
        <f>PlanMasine[[#This Row],[Datum SAS]]-1</f>
        <v>45809</v>
      </c>
      <c r="U158">
        <f>WEEKDAY(PlanMasine[[#This Row],[ZAVRŠETAK MAŠINSKE]],2)</f>
        <v>7</v>
      </c>
      <c r="V158" s="3">
        <f>IF(WEEKDAY(PlanMasine[[#This Row],[Datum SAS]]-1,2)=7,PlanMasine[[#This Row],[Datum SAS]]-3,PlanMasine[[#This Row],[Datum SAS]]-1)</f>
        <v>45807</v>
      </c>
      <c r="W158">
        <f>WEEKNUM(PlanMasine[[#This Row],[Column2]],1)</f>
        <v>22</v>
      </c>
    </row>
    <row r="159" spans="1:23" x14ac:dyDescent="0.35">
      <c r="A159">
        <v>1003767</v>
      </c>
      <c r="B159">
        <v>1</v>
      </c>
      <c r="C159">
        <v>1003788</v>
      </c>
      <c r="D159" t="s">
        <v>1754</v>
      </c>
      <c r="E159">
        <v>120</v>
      </c>
      <c r="F159">
        <v>12</v>
      </c>
      <c r="G159">
        <v>0</v>
      </c>
      <c r="H159">
        <v>0</v>
      </c>
      <c r="I159" t="s">
        <v>24</v>
      </c>
      <c r="J159" t="s">
        <v>597</v>
      </c>
      <c r="K159" t="s">
        <v>1880</v>
      </c>
      <c r="L159" s="3">
        <v>45820</v>
      </c>
      <c r="M159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6.41025641025641E-3</v>
      </c>
      <c r="N159" s="3">
        <v>45810</v>
      </c>
      <c r="O159" s="5">
        <f>IFERROR((PlanMasine[[#This Row],[Norma]]/PlanMasine[[#This Row],[Q]])*(PlanMasine[[#This Row],[Q]]/SUMIF(C:C,PlanMasine[[#This Row],[RN]],B:B)*PlanMasine[[#This Row],[KPLQ]]),0)</f>
        <v>9.2307692307692317</v>
      </c>
      <c r="P159">
        <v>227549</v>
      </c>
      <c r="Q159">
        <f>COUNTIF(PROMJENA!A:A,PlanMasine[[#This Row],[KPL]]&amp;"-"&amp;PlanMasine[[#This Row],[RN]])</f>
        <v>0</v>
      </c>
      <c r="R159">
        <f>IFERROR(INDEX(REDOSLIJED!A:A,MATCH(PlanMasine[[#This Row],[KPL]],REDOSLIJED!B:B,0)),MAX(REDOSLIJED!A:A)+1)</f>
        <v>45</v>
      </c>
      <c r="S159" s="9">
        <f>SUM($M$2:M159)</f>
        <v>7.6165277777777876</v>
      </c>
      <c r="T159" s="3">
        <f>PlanMasine[[#This Row],[Datum SAS]]-1</f>
        <v>45809</v>
      </c>
      <c r="U159">
        <f>WEEKDAY(PlanMasine[[#This Row],[ZAVRŠETAK MAŠINSKE]],2)</f>
        <v>7</v>
      </c>
      <c r="V159" s="3">
        <f>IF(WEEKDAY(PlanMasine[[#This Row],[Datum SAS]]-1,2)=7,PlanMasine[[#This Row],[Datum SAS]]-3,PlanMasine[[#This Row],[Datum SAS]]-1)</f>
        <v>45807</v>
      </c>
      <c r="W159">
        <f>WEEKNUM(PlanMasine[[#This Row],[Column2]],1)</f>
        <v>22</v>
      </c>
    </row>
    <row r="160" spans="1:23" x14ac:dyDescent="0.35">
      <c r="A160">
        <v>1004126</v>
      </c>
      <c r="B160">
        <v>1</v>
      </c>
      <c r="C160">
        <v>1004155</v>
      </c>
      <c r="D160" t="s">
        <v>1495</v>
      </c>
      <c r="E160">
        <v>360</v>
      </c>
      <c r="F160">
        <v>12</v>
      </c>
      <c r="G160">
        <v>0</v>
      </c>
      <c r="H160">
        <v>0</v>
      </c>
      <c r="I160" t="s">
        <v>24</v>
      </c>
      <c r="J160" t="s">
        <v>597</v>
      </c>
      <c r="K160" t="s">
        <v>1881</v>
      </c>
      <c r="L160" s="3">
        <v>45820</v>
      </c>
      <c r="M160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2.0833333333333332E-2</v>
      </c>
      <c r="N160" s="3">
        <v>45810</v>
      </c>
      <c r="O160" s="5">
        <f>IFERROR((PlanMasine[[#This Row],[Norma]]/PlanMasine[[#This Row],[Q]])*(PlanMasine[[#This Row],[Q]]/SUMIF(C:C,PlanMasine[[#This Row],[RN]],B:B)*PlanMasine[[#This Row],[KPLQ]]),0)</f>
        <v>30</v>
      </c>
      <c r="P160">
        <v>220643</v>
      </c>
      <c r="Q160">
        <f>COUNTIF(PROMJENA!A:A,PlanMasine[[#This Row],[KPL]]&amp;"-"&amp;PlanMasine[[#This Row],[RN]])</f>
        <v>0</v>
      </c>
      <c r="R160">
        <f>IFERROR(INDEX(REDOSLIJED!A:A,MATCH(PlanMasine[[#This Row],[KPL]],REDOSLIJED!B:B,0)),MAX(REDOSLIJED!A:A)+1)</f>
        <v>45</v>
      </c>
      <c r="S160" s="9">
        <f>SUM($M$2:M160)</f>
        <v>7.6373611111111206</v>
      </c>
      <c r="T160" s="3">
        <f>PlanMasine[[#This Row],[Datum SAS]]-1</f>
        <v>45809</v>
      </c>
      <c r="U160">
        <f>WEEKDAY(PlanMasine[[#This Row],[ZAVRŠETAK MAŠINSKE]],2)</f>
        <v>7</v>
      </c>
      <c r="V160" s="3">
        <f>IF(WEEKDAY(PlanMasine[[#This Row],[Datum SAS]]-1,2)=7,PlanMasine[[#This Row],[Datum SAS]]-3,PlanMasine[[#This Row],[Datum SAS]]-1)</f>
        <v>45807</v>
      </c>
      <c r="W160">
        <f>WEEKNUM(PlanMasine[[#This Row],[Column2]],1)</f>
        <v>22</v>
      </c>
    </row>
    <row r="161" spans="1:23" x14ac:dyDescent="0.35">
      <c r="A161">
        <v>1004126</v>
      </c>
      <c r="B161">
        <v>1</v>
      </c>
      <c r="C161">
        <v>1004154</v>
      </c>
      <c r="D161" t="s">
        <v>1802</v>
      </c>
      <c r="E161">
        <v>240</v>
      </c>
      <c r="F161">
        <v>12</v>
      </c>
      <c r="G161">
        <v>0</v>
      </c>
      <c r="H161">
        <v>0</v>
      </c>
      <c r="I161" t="s">
        <v>24</v>
      </c>
      <c r="J161" t="s">
        <v>597</v>
      </c>
      <c r="K161" t="s">
        <v>1881</v>
      </c>
      <c r="L161" s="3">
        <v>45820</v>
      </c>
      <c r="M161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1.3888888888888888E-2</v>
      </c>
      <c r="N161" s="3">
        <v>45810</v>
      </c>
      <c r="O161" s="5">
        <f>IFERROR((PlanMasine[[#This Row],[Norma]]/PlanMasine[[#This Row],[Q]])*(PlanMasine[[#This Row],[Q]]/SUMIF(C:C,PlanMasine[[#This Row],[RN]],B:B)*PlanMasine[[#This Row],[KPLQ]]),0)</f>
        <v>20</v>
      </c>
      <c r="P161">
        <v>220642</v>
      </c>
      <c r="Q161">
        <f>COUNTIF(PROMJENA!A:A,PlanMasine[[#This Row],[KPL]]&amp;"-"&amp;PlanMasine[[#This Row],[RN]])</f>
        <v>0</v>
      </c>
      <c r="R161">
        <f>IFERROR(INDEX(REDOSLIJED!A:A,MATCH(PlanMasine[[#This Row],[KPL]],REDOSLIJED!B:B,0)),MAX(REDOSLIJED!A:A)+1)</f>
        <v>45</v>
      </c>
      <c r="S161" s="9">
        <f>SUM($M$2:M161)</f>
        <v>7.6512500000000099</v>
      </c>
      <c r="T161" s="3">
        <f>PlanMasine[[#This Row],[Datum SAS]]-1</f>
        <v>45809</v>
      </c>
      <c r="U161">
        <f>WEEKDAY(PlanMasine[[#This Row],[ZAVRŠETAK MAŠINSKE]],2)</f>
        <v>7</v>
      </c>
      <c r="V161" s="3">
        <f>IF(WEEKDAY(PlanMasine[[#This Row],[Datum SAS]]-1,2)=7,PlanMasine[[#This Row],[Datum SAS]]-3,PlanMasine[[#This Row],[Datum SAS]]-1)</f>
        <v>45807</v>
      </c>
      <c r="W161">
        <f>WEEKNUM(PlanMasine[[#This Row],[Column2]],1)</f>
        <v>22</v>
      </c>
    </row>
    <row r="162" spans="1:23" x14ac:dyDescent="0.35">
      <c r="A162">
        <v>1004128</v>
      </c>
      <c r="B162">
        <v>1</v>
      </c>
      <c r="C162">
        <v>1004154</v>
      </c>
      <c r="D162" t="s">
        <v>1802</v>
      </c>
      <c r="E162">
        <v>240</v>
      </c>
      <c r="F162">
        <v>12</v>
      </c>
      <c r="G162">
        <v>0</v>
      </c>
      <c r="H162">
        <v>0</v>
      </c>
      <c r="I162" t="s">
        <v>24</v>
      </c>
      <c r="J162" t="s">
        <v>597</v>
      </c>
      <c r="K162" t="s">
        <v>1881</v>
      </c>
      <c r="L162" s="3">
        <v>45820</v>
      </c>
      <c r="M162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1.3888888888888888E-2</v>
      </c>
      <c r="N162" s="3">
        <v>45810</v>
      </c>
      <c r="O162" s="5">
        <f>IFERROR((PlanMasine[[#This Row],[Norma]]/PlanMasine[[#This Row],[Q]])*(PlanMasine[[#This Row],[Q]]/SUMIF(C:C,PlanMasine[[#This Row],[RN]],B:B)*PlanMasine[[#This Row],[KPLQ]]),0)</f>
        <v>20</v>
      </c>
      <c r="P162">
        <v>220642</v>
      </c>
      <c r="Q162">
        <f>COUNTIF(PROMJENA!A:A,PlanMasine[[#This Row],[KPL]]&amp;"-"&amp;PlanMasine[[#This Row],[RN]])</f>
        <v>0</v>
      </c>
      <c r="R162">
        <f>IFERROR(INDEX(REDOSLIJED!A:A,MATCH(PlanMasine[[#This Row],[KPL]],REDOSLIJED!B:B,0)),MAX(REDOSLIJED!A:A)+1)</f>
        <v>45</v>
      </c>
      <c r="S162" s="9">
        <f>SUM($M$2:M162)</f>
        <v>7.6651388888888992</v>
      </c>
      <c r="T162" s="3">
        <f>PlanMasine[[#This Row],[Datum SAS]]-1</f>
        <v>45809</v>
      </c>
      <c r="U162">
        <f>WEEKDAY(PlanMasine[[#This Row],[ZAVRŠETAK MAŠINSKE]],2)</f>
        <v>7</v>
      </c>
      <c r="V162" s="3">
        <f>IF(WEEKDAY(PlanMasine[[#This Row],[Datum SAS]]-1,2)=7,PlanMasine[[#This Row],[Datum SAS]]-3,PlanMasine[[#This Row],[Datum SAS]]-1)</f>
        <v>45807</v>
      </c>
      <c r="W162">
        <f>WEEKNUM(PlanMasine[[#This Row],[Column2]],1)</f>
        <v>22</v>
      </c>
    </row>
    <row r="163" spans="1:23" x14ac:dyDescent="0.35">
      <c r="A163">
        <v>1004128</v>
      </c>
      <c r="B163">
        <v>1</v>
      </c>
      <c r="C163">
        <v>1004155</v>
      </c>
      <c r="D163" t="s">
        <v>1495</v>
      </c>
      <c r="E163">
        <v>360</v>
      </c>
      <c r="F163">
        <v>12</v>
      </c>
      <c r="G163">
        <v>0</v>
      </c>
      <c r="H163">
        <v>0</v>
      </c>
      <c r="I163" t="s">
        <v>24</v>
      </c>
      <c r="J163" t="s">
        <v>597</v>
      </c>
      <c r="K163" t="s">
        <v>1881</v>
      </c>
      <c r="L163" s="3">
        <v>45820</v>
      </c>
      <c r="M163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2.0833333333333332E-2</v>
      </c>
      <c r="N163" s="3">
        <v>45810</v>
      </c>
      <c r="O163" s="5">
        <f>IFERROR((PlanMasine[[#This Row],[Norma]]/PlanMasine[[#This Row],[Q]])*(PlanMasine[[#This Row],[Q]]/SUMIF(C:C,PlanMasine[[#This Row],[RN]],B:B)*PlanMasine[[#This Row],[KPLQ]]),0)</f>
        <v>30</v>
      </c>
      <c r="P163">
        <v>220643</v>
      </c>
      <c r="Q163">
        <f>COUNTIF(PROMJENA!A:A,PlanMasine[[#This Row],[KPL]]&amp;"-"&amp;PlanMasine[[#This Row],[RN]])</f>
        <v>0</v>
      </c>
      <c r="R163">
        <f>IFERROR(INDEX(REDOSLIJED!A:A,MATCH(PlanMasine[[#This Row],[KPL]],REDOSLIJED!B:B,0)),MAX(REDOSLIJED!A:A)+1)</f>
        <v>45</v>
      </c>
      <c r="S163" s="9">
        <f>SUM($M$2:M163)</f>
        <v>7.6859722222222322</v>
      </c>
      <c r="T163" s="3">
        <f>PlanMasine[[#This Row],[Datum SAS]]-1</f>
        <v>45809</v>
      </c>
      <c r="U163">
        <f>WEEKDAY(PlanMasine[[#This Row],[ZAVRŠETAK MAŠINSKE]],2)</f>
        <v>7</v>
      </c>
      <c r="V163" s="3">
        <f>IF(WEEKDAY(PlanMasine[[#This Row],[Datum SAS]]-1,2)=7,PlanMasine[[#This Row],[Datum SAS]]-3,PlanMasine[[#This Row],[Datum SAS]]-1)</f>
        <v>45807</v>
      </c>
      <c r="W163">
        <f>WEEKNUM(PlanMasine[[#This Row],[Column2]],1)</f>
        <v>22</v>
      </c>
    </row>
    <row r="164" spans="1:23" x14ac:dyDescent="0.35">
      <c r="A164">
        <v>1004129</v>
      </c>
      <c r="B164">
        <v>1</v>
      </c>
      <c r="C164">
        <v>1004154</v>
      </c>
      <c r="D164" t="s">
        <v>1802</v>
      </c>
      <c r="E164">
        <v>240</v>
      </c>
      <c r="F164">
        <v>12</v>
      </c>
      <c r="G164">
        <v>0</v>
      </c>
      <c r="H164">
        <v>0</v>
      </c>
      <c r="I164" t="s">
        <v>24</v>
      </c>
      <c r="J164" t="s">
        <v>597</v>
      </c>
      <c r="K164" t="s">
        <v>1881</v>
      </c>
      <c r="L164" s="3">
        <v>45820</v>
      </c>
      <c r="M164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1.3888888888888888E-2</v>
      </c>
      <c r="N164" s="3">
        <v>45810</v>
      </c>
      <c r="O164" s="5">
        <f>IFERROR((PlanMasine[[#This Row],[Norma]]/PlanMasine[[#This Row],[Q]])*(PlanMasine[[#This Row],[Q]]/SUMIF(C:C,PlanMasine[[#This Row],[RN]],B:B)*PlanMasine[[#This Row],[KPLQ]]),0)</f>
        <v>20</v>
      </c>
      <c r="P164">
        <v>220642</v>
      </c>
      <c r="Q164">
        <f>COUNTIF(PROMJENA!A:A,PlanMasine[[#This Row],[KPL]]&amp;"-"&amp;PlanMasine[[#This Row],[RN]])</f>
        <v>0</v>
      </c>
      <c r="R164">
        <f>IFERROR(INDEX(REDOSLIJED!A:A,MATCH(PlanMasine[[#This Row],[KPL]],REDOSLIJED!B:B,0)),MAX(REDOSLIJED!A:A)+1)</f>
        <v>45</v>
      </c>
      <c r="S164" s="9">
        <f>SUM($M$2:M164)</f>
        <v>7.6998611111111215</v>
      </c>
      <c r="T164" s="3">
        <f>PlanMasine[[#This Row],[Datum SAS]]-1</f>
        <v>45809</v>
      </c>
      <c r="U164">
        <f>WEEKDAY(PlanMasine[[#This Row],[ZAVRŠETAK MAŠINSKE]],2)</f>
        <v>7</v>
      </c>
      <c r="V164" s="3">
        <f>IF(WEEKDAY(PlanMasine[[#This Row],[Datum SAS]]-1,2)=7,PlanMasine[[#This Row],[Datum SAS]]-3,PlanMasine[[#This Row],[Datum SAS]]-1)</f>
        <v>45807</v>
      </c>
      <c r="W164">
        <f>WEEKNUM(PlanMasine[[#This Row],[Column2]],1)</f>
        <v>22</v>
      </c>
    </row>
    <row r="165" spans="1:23" x14ac:dyDescent="0.35">
      <c r="A165">
        <v>1004129</v>
      </c>
      <c r="B165">
        <v>1</v>
      </c>
      <c r="C165">
        <v>1004155</v>
      </c>
      <c r="D165" t="s">
        <v>1495</v>
      </c>
      <c r="E165">
        <v>360</v>
      </c>
      <c r="F165">
        <v>12</v>
      </c>
      <c r="G165">
        <v>0</v>
      </c>
      <c r="H165">
        <v>0</v>
      </c>
      <c r="I165" t="s">
        <v>24</v>
      </c>
      <c r="J165" t="s">
        <v>597</v>
      </c>
      <c r="K165" t="s">
        <v>1881</v>
      </c>
      <c r="L165" s="3">
        <v>45820</v>
      </c>
      <c r="M165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2.0833333333333332E-2</v>
      </c>
      <c r="N165" s="3">
        <v>45810</v>
      </c>
      <c r="O165" s="5">
        <f>IFERROR((PlanMasine[[#This Row],[Norma]]/PlanMasine[[#This Row],[Q]])*(PlanMasine[[#This Row],[Q]]/SUMIF(C:C,PlanMasine[[#This Row],[RN]],B:B)*PlanMasine[[#This Row],[KPLQ]]),0)</f>
        <v>30</v>
      </c>
      <c r="P165">
        <v>220643</v>
      </c>
      <c r="Q165">
        <f>COUNTIF(PROMJENA!A:A,PlanMasine[[#This Row],[KPL]]&amp;"-"&amp;PlanMasine[[#This Row],[RN]])</f>
        <v>0</v>
      </c>
      <c r="R165">
        <f>IFERROR(INDEX(REDOSLIJED!A:A,MATCH(PlanMasine[[#This Row],[KPL]],REDOSLIJED!B:B,0)),MAX(REDOSLIJED!A:A)+1)</f>
        <v>45</v>
      </c>
      <c r="S165" s="9">
        <f>SUM($M$2:M165)</f>
        <v>7.7206944444444545</v>
      </c>
      <c r="T165" s="3">
        <f>PlanMasine[[#This Row],[Datum SAS]]-1</f>
        <v>45809</v>
      </c>
      <c r="U165">
        <f>WEEKDAY(PlanMasine[[#This Row],[ZAVRŠETAK MAŠINSKE]],2)</f>
        <v>7</v>
      </c>
      <c r="V165" s="3">
        <f>IF(WEEKDAY(PlanMasine[[#This Row],[Datum SAS]]-1,2)=7,PlanMasine[[#This Row],[Datum SAS]]-3,PlanMasine[[#This Row],[Datum SAS]]-1)</f>
        <v>45807</v>
      </c>
      <c r="W165">
        <f>WEEKNUM(PlanMasine[[#This Row],[Column2]],1)</f>
        <v>22</v>
      </c>
    </row>
    <row r="166" spans="1:23" x14ac:dyDescent="0.35">
      <c r="A166">
        <v>1004130</v>
      </c>
      <c r="B166">
        <v>1</v>
      </c>
      <c r="C166">
        <v>1004155</v>
      </c>
      <c r="D166" t="s">
        <v>1495</v>
      </c>
      <c r="E166">
        <v>360</v>
      </c>
      <c r="F166">
        <v>12</v>
      </c>
      <c r="G166">
        <v>0</v>
      </c>
      <c r="H166">
        <v>0</v>
      </c>
      <c r="I166" t="s">
        <v>24</v>
      </c>
      <c r="J166" t="s">
        <v>597</v>
      </c>
      <c r="K166" t="s">
        <v>1881</v>
      </c>
      <c r="L166" s="3">
        <v>45820</v>
      </c>
      <c r="M166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2.0833333333333332E-2</v>
      </c>
      <c r="N166" s="3">
        <v>45810</v>
      </c>
      <c r="O166" s="5">
        <f>IFERROR((PlanMasine[[#This Row],[Norma]]/PlanMasine[[#This Row],[Q]])*(PlanMasine[[#This Row],[Q]]/SUMIF(C:C,PlanMasine[[#This Row],[RN]],B:B)*PlanMasine[[#This Row],[KPLQ]]),0)</f>
        <v>30</v>
      </c>
      <c r="P166">
        <v>220643</v>
      </c>
      <c r="Q166">
        <f>COUNTIF(PROMJENA!A:A,PlanMasine[[#This Row],[KPL]]&amp;"-"&amp;PlanMasine[[#This Row],[RN]])</f>
        <v>0</v>
      </c>
      <c r="R166">
        <f>IFERROR(INDEX(REDOSLIJED!A:A,MATCH(PlanMasine[[#This Row],[KPL]],REDOSLIJED!B:B,0)),MAX(REDOSLIJED!A:A)+1)</f>
        <v>45</v>
      </c>
      <c r="S166" s="9">
        <f>SUM($M$2:M166)</f>
        <v>7.7415277777777876</v>
      </c>
      <c r="T166" s="3">
        <f>PlanMasine[[#This Row],[Datum SAS]]-1</f>
        <v>45809</v>
      </c>
      <c r="U166">
        <f>WEEKDAY(PlanMasine[[#This Row],[ZAVRŠETAK MAŠINSKE]],2)</f>
        <v>7</v>
      </c>
      <c r="V166" s="3">
        <f>IF(WEEKDAY(PlanMasine[[#This Row],[Datum SAS]]-1,2)=7,PlanMasine[[#This Row],[Datum SAS]]-3,PlanMasine[[#This Row],[Datum SAS]]-1)</f>
        <v>45807</v>
      </c>
      <c r="W166">
        <f>WEEKNUM(PlanMasine[[#This Row],[Column2]],1)</f>
        <v>22</v>
      </c>
    </row>
    <row r="167" spans="1:23" x14ac:dyDescent="0.35">
      <c r="A167">
        <v>1004130</v>
      </c>
      <c r="B167">
        <v>1</v>
      </c>
      <c r="C167">
        <v>1004154</v>
      </c>
      <c r="D167" t="s">
        <v>1802</v>
      </c>
      <c r="E167">
        <v>240</v>
      </c>
      <c r="F167">
        <v>12</v>
      </c>
      <c r="G167">
        <v>0</v>
      </c>
      <c r="H167">
        <v>0</v>
      </c>
      <c r="I167" t="s">
        <v>24</v>
      </c>
      <c r="J167" t="s">
        <v>597</v>
      </c>
      <c r="K167" t="s">
        <v>1881</v>
      </c>
      <c r="L167" s="3">
        <v>45820</v>
      </c>
      <c r="M167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1.3888888888888888E-2</v>
      </c>
      <c r="N167" s="3">
        <v>45810</v>
      </c>
      <c r="O167" s="5">
        <f>IFERROR((PlanMasine[[#This Row],[Norma]]/PlanMasine[[#This Row],[Q]])*(PlanMasine[[#This Row],[Q]]/SUMIF(C:C,PlanMasine[[#This Row],[RN]],B:B)*PlanMasine[[#This Row],[KPLQ]]),0)</f>
        <v>20</v>
      </c>
      <c r="P167">
        <v>220642</v>
      </c>
      <c r="Q167">
        <f>COUNTIF(PROMJENA!A:A,PlanMasine[[#This Row],[KPL]]&amp;"-"&amp;PlanMasine[[#This Row],[RN]])</f>
        <v>0</v>
      </c>
      <c r="R167">
        <f>IFERROR(INDEX(REDOSLIJED!A:A,MATCH(PlanMasine[[#This Row],[KPL]],REDOSLIJED!B:B,0)),MAX(REDOSLIJED!A:A)+1)</f>
        <v>45</v>
      </c>
      <c r="S167" s="9">
        <f>SUM($M$2:M167)</f>
        <v>7.7554166666666768</v>
      </c>
      <c r="T167" s="3">
        <f>PlanMasine[[#This Row],[Datum SAS]]-1</f>
        <v>45809</v>
      </c>
      <c r="U167">
        <f>WEEKDAY(PlanMasine[[#This Row],[ZAVRŠETAK MAŠINSKE]],2)</f>
        <v>7</v>
      </c>
      <c r="V167" s="3">
        <f>IF(WEEKDAY(PlanMasine[[#This Row],[Datum SAS]]-1,2)=7,PlanMasine[[#This Row],[Datum SAS]]-3,PlanMasine[[#This Row],[Datum SAS]]-1)</f>
        <v>45807</v>
      </c>
      <c r="W167">
        <f>WEEKNUM(PlanMasine[[#This Row],[Column2]],1)</f>
        <v>22</v>
      </c>
    </row>
    <row r="168" spans="1:23" x14ac:dyDescent="0.35">
      <c r="A168">
        <v>1004131</v>
      </c>
      <c r="B168">
        <v>1</v>
      </c>
      <c r="C168">
        <v>1004155</v>
      </c>
      <c r="D168" t="s">
        <v>1495</v>
      </c>
      <c r="E168">
        <v>360</v>
      </c>
      <c r="F168">
        <v>12</v>
      </c>
      <c r="G168">
        <v>0</v>
      </c>
      <c r="H168">
        <v>0</v>
      </c>
      <c r="I168" t="s">
        <v>24</v>
      </c>
      <c r="J168" t="s">
        <v>597</v>
      </c>
      <c r="K168" t="s">
        <v>1881</v>
      </c>
      <c r="L168" s="3">
        <v>45820</v>
      </c>
      <c r="M168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2.0833333333333332E-2</v>
      </c>
      <c r="N168" s="3">
        <v>45810</v>
      </c>
      <c r="O168" s="5">
        <f>IFERROR((PlanMasine[[#This Row],[Norma]]/PlanMasine[[#This Row],[Q]])*(PlanMasine[[#This Row],[Q]]/SUMIF(C:C,PlanMasine[[#This Row],[RN]],B:B)*PlanMasine[[#This Row],[KPLQ]]),0)</f>
        <v>30</v>
      </c>
      <c r="P168">
        <v>220643</v>
      </c>
      <c r="Q168">
        <f>COUNTIF(PROMJENA!A:A,PlanMasine[[#This Row],[KPL]]&amp;"-"&amp;PlanMasine[[#This Row],[RN]])</f>
        <v>0</v>
      </c>
      <c r="R168">
        <f>IFERROR(INDEX(REDOSLIJED!A:A,MATCH(PlanMasine[[#This Row],[KPL]],REDOSLIJED!B:B,0)),MAX(REDOSLIJED!A:A)+1)</f>
        <v>45</v>
      </c>
      <c r="S168" s="9">
        <f>SUM($M$2:M168)</f>
        <v>7.7762500000000099</v>
      </c>
      <c r="T168" s="3">
        <f>PlanMasine[[#This Row],[Datum SAS]]-1</f>
        <v>45809</v>
      </c>
      <c r="U168">
        <f>WEEKDAY(PlanMasine[[#This Row],[ZAVRŠETAK MAŠINSKE]],2)</f>
        <v>7</v>
      </c>
      <c r="V168" s="3">
        <f>IF(WEEKDAY(PlanMasine[[#This Row],[Datum SAS]]-1,2)=7,PlanMasine[[#This Row],[Datum SAS]]-3,PlanMasine[[#This Row],[Datum SAS]]-1)</f>
        <v>45807</v>
      </c>
      <c r="W168">
        <f>WEEKNUM(PlanMasine[[#This Row],[Column2]],1)</f>
        <v>22</v>
      </c>
    </row>
    <row r="169" spans="1:23" x14ac:dyDescent="0.35">
      <c r="A169">
        <v>1004131</v>
      </c>
      <c r="B169">
        <v>1</v>
      </c>
      <c r="C169">
        <v>1004154</v>
      </c>
      <c r="D169" t="s">
        <v>1802</v>
      </c>
      <c r="E169">
        <v>240</v>
      </c>
      <c r="F169">
        <v>12</v>
      </c>
      <c r="G169">
        <v>0</v>
      </c>
      <c r="H169">
        <v>0</v>
      </c>
      <c r="I169" t="s">
        <v>24</v>
      </c>
      <c r="J169" t="s">
        <v>597</v>
      </c>
      <c r="K169" t="s">
        <v>1881</v>
      </c>
      <c r="L169" s="3">
        <v>45820</v>
      </c>
      <c r="M169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1.3888888888888888E-2</v>
      </c>
      <c r="N169" s="3">
        <v>45810</v>
      </c>
      <c r="O169" s="5">
        <f>IFERROR((PlanMasine[[#This Row],[Norma]]/PlanMasine[[#This Row],[Q]])*(PlanMasine[[#This Row],[Q]]/SUMIF(C:C,PlanMasine[[#This Row],[RN]],B:B)*PlanMasine[[#This Row],[KPLQ]]),0)</f>
        <v>20</v>
      </c>
      <c r="P169">
        <v>220642</v>
      </c>
      <c r="Q169">
        <f>COUNTIF(PROMJENA!A:A,PlanMasine[[#This Row],[KPL]]&amp;"-"&amp;PlanMasine[[#This Row],[RN]])</f>
        <v>0</v>
      </c>
      <c r="R169">
        <f>IFERROR(INDEX(REDOSLIJED!A:A,MATCH(PlanMasine[[#This Row],[KPL]],REDOSLIJED!B:B,0)),MAX(REDOSLIJED!A:A)+1)</f>
        <v>45</v>
      </c>
      <c r="S169" s="9">
        <f>SUM($M$2:M169)</f>
        <v>7.7901388888888992</v>
      </c>
      <c r="T169" s="3">
        <f>PlanMasine[[#This Row],[Datum SAS]]-1</f>
        <v>45809</v>
      </c>
      <c r="U169">
        <f>WEEKDAY(PlanMasine[[#This Row],[ZAVRŠETAK MAŠINSKE]],2)</f>
        <v>7</v>
      </c>
      <c r="V169" s="3">
        <f>IF(WEEKDAY(PlanMasine[[#This Row],[Datum SAS]]-1,2)=7,PlanMasine[[#This Row],[Datum SAS]]-3,PlanMasine[[#This Row],[Datum SAS]]-1)</f>
        <v>45807</v>
      </c>
      <c r="W169">
        <f>WEEKNUM(PlanMasine[[#This Row],[Column2]],1)</f>
        <v>22</v>
      </c>
    </row>
    <row r="170" spans="1:23" x14ac:dyDescent="0.35">
      <c r="A170">
        <v>1004132</v>
      </c>
      <c r="B170">
        <v>1</v>
      </c>
      <c r="C170">
        <v>1004155</v>
      </c>
      <c r="D170" t="s">
        <v>1495</v>
      </c>
      <c r="E170">
        <v>360</v>
      </c>
      <c r="F170">
        <v>12</v>
      </c>
      <c r="G170">
        <v>0</v>
      </c>
      <c r="H170">
        <v>0</v>
      </c>
      <c r="I170" t="s">
        <v>24</v>
      </c>
      <c r="J170" t="s">
        <v>597</v>
      </c>
      <c r="K170" t="s">
        <v>1881</v>
      </c>
      <c r="L170" s="3">
        <v>45820</v>
      </c>
      <c r="M170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2.0833333333333332E-2</v>
      </c>
      <c r="N170" s="3">
        <v>45810</v>
      </c>
      <c r="O170" s="5">
        <f>IFERROR((PlanMasine[[#This Row],[Norma]]/PlanMasine[[#This Row],[Q]])*(PlanMasine[[#This Row],[Q]]/SUMIF(C:C,PlanMasine[[#This Row],[RN]],B:B)*PlanMasine[[#This Row],[KPLQ]]),0)</f>
        <v>30</v>
      </c>
      <c r="P170">
        <v>220643</v>
      </c>
      <c r="Q170">
        <f>COUNTIF(PROMJENA!A:A,PlanMasine[[#This Row],[KPL]]&amp;"-"&amp;PlanMasine[[#This Row],[RN]])</f>
        <v>0</v>
      </c>
      <c r="R170">
        <f>IFERROR(INDEX(REDOSLIJED!A:A,MATCH(PlanMasine[[#This Row],[KPL]],REDOSLIJED!B:B,0)),MAX(REDOSLIJED!A:A)+1)</f>
        <v>45</v>
      </c>
      <c r="S170" s="9">
        <f>SUM($M$2:M170)</f>
        <v>7.8109722222222322</v>
      </c>
      <c r="T170" s="3">
        <f>PlanMasine[[#This Row],[Datum SAS]]-1</f>
        <v>45809</v>
      </c>
      <c r="U170">
        <f>WEEKDAY(PlanMasine[[#This Row],[ZAVRŠETAK MAŠINSKE]],2)</f>
        <v>7</v>
      </c>
      <c r="V170" s="3">
        <f>IF(WEEKDAY(PlanMasine[[#This Row],[Datum SAS]]-1,2)=7,PlanMasine[[#This Row],[Datum SAS]]-3,PlanMasine[[#This Row],[Datum SAS]]-1)</f>
        <v>45807</v>
      </c>
      <c r="W170">
        <f>WEEKNUM(PlanMasine[[#This Row],[Column2]],1)</f>
        <v>22</v>
      </c>
    </row>
    <row r="171" spans="1:23" x14ac:dyDescent="0.35">
      <c r="A171">
        <v>1004132</v>
      </c>
      <c r="B171">
        <v>1</v>
      </c>
      <c r="C171">
        <v>1004154</v>
      </c>
      <c r="D171" t="s">
        <v>1802</v>
      </c>
      <c r="E171">
        <v>240</v>
      </c>
      <c r="F171">
        <v>12</v>
      </c>
      <c r="G171">
        <v>0</v>
      </c>
      <c r="H171">
        <v>0</v>
      </c>
      <c r="I171" t="s">
        <v>24</v>
      </c>
      <c r="J171" t="s">
        <v>597</v>
      </c>
      <c r="K171" t="s">
        <v>1881</v>
      </c>
      <c r="L171" s="3">
        <v>45820</v>
      </c>
      <c r="M171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1.3888888888888888E-2</v>
      </c>
      <c r="N171" s="3">
        <v>45810</v>
      </c>
      <c r="O171" s="5">
        <f>IFERROR((PlanMasine[[#This Row],[Norma]]/PlanMasine[[#This Row],[Q]])*(PlanMasine[[#This Row],[Q]]/SUMIF(C:C,PlanMasine[[#This Row],[RN]],B:B)*PlanMasine[[#This Row],[KPLQ]]),0)</f>
        <v>20</v>
      </c>
      <c r="P171">
        <v>220642</v>
      </c>
      <c r="Q171">
        <f>COUNTIF(PROMJENA!A:A,PlanMasine[[#This Row],[KPL]]&amp;"-"&amp;PlanMasine[[#This Row],[RN]])</f>
        <v>0</v>
      </c>
      <c r="R171">
        <f>IFERROR(INDEX(REDOSLIJED!A:A,MATCH(PlanMasine[[#This Row],[KPL]],REDOSLIJED!B:B,0)),MAX(REDOSLIJED!A:A)+1)</f>
        <v>45</v>
      </c>
      <c r="S171" s="9">
        <f>SUM($M$2:M171)</f>
        <v>7.8248611111111215</v>
      </c>
      <c r="T171" s="3">
        <f>PlanMasine[[#This Row],[Datum SAS]]-1</f>
        <v>45809</v>
      </c>
      <c r="U171">
        <f>WEEKDAY(PlanMasine[[#This Row],[ZAVRŠETAK MAŠINSKE]],2)</f>
        <v>7</v>
      </c>
      <c r="V171" s="3">
        <f>IF(WEEKDAY(PlanMasine[[#This Row],[Datum SAS]]-1,2)=7,PlanMasine[[#This Row],[Datum SAS]]-3,PlanMasine[[#This Row],[Datum SAS]]-1)</f>
        <v>45807</v>
      </c>
      <c r="W171">
        <f>WEEKNUM(PlanMasine[[#This Row],[Column2]],1)</f>
        <v>22</v>
      </c>
    </row>
    <row r="172" spans="1:23" x14ac:dyDescent="0.35">
      <c r="A172">
        <v>1004133</v>
      </c>
      <c r="B172">
        <v>1</v>
      </c>
      <c r="C172">
        <v>1004154</v>
      </c>
      <c r="D172" t="s">
        <v>1802</v>
      </c>
      <c r="E172">
        <v>240</v>
      </c>
      <c r="F172">
        <v>12</v>
      </c>
      <c r="G172">
        <v>0</v>
      </c>
      <c r="H172">
        <v>0</v>
      </c>
      <c r="I172" t="s">
        <v>24</v>
      </c>
      <c r="J172" t="s">
        <v>597</v>
      </c>
      <c r="K172" t="s">
        <v>1881</v>
      </c>
      <c r="L172" s="3">
        <v>45820</v>
      </c>
      <c r="M172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1.3888888888888888E-2</v>
      </c>
      <c r="N172" s="3">
        <v>45810</v>
      </c>
      <c r="O172" s="5">
        <f>IFERROR((PlanMasine[[#This Row],[Norma]]/PlanMasine[[#This Row],[Q]])*(PlanMasine[[#This Row],[Q]]/SUMIF(C:C,PlanMasine[[#This Row],[RN]],B:B)*PlanMasine[[#This Row],[KPLQ]]),0)</f>
        <v>20</v>
      </c>
      <c r="P172">
        <v>220642</v>
      </c>
      <c r="Q172">
        <f>COUNTIF(PROMJENA!A:A,PlanMasine[[#This Row],[KPL]]&amp;"-"&amp;PlanMasine[[#This Row],[RN]])</f>
        <v>0</v>
      </c>
      <c r="R172">
        <f>IFERROR(INDEX(REDOSLIJED!A:A,MATCH(PlanMasine[[#This Row],[KPL]],REDOSLIJED!B:B,0)),MAX(REDOSLIJED!A:A)+1)</f>
        <v>45</v>
      </c>
      <c r="S172" s="9">
        <f>SUM($M$2:M172)</f>
        <v>7.8387500000000108</v>
      </c>
      <c r="T172" s="3">
        <f>PlanMasine[[#This Row],[Datum SAS]]-1</f>
        <v>45809</v>
      </c>
      <c r="U172">
        <f>WEEKDAY(PlanMasine[[#This Row],[ZAVRŠETAK MAŠINSKE]],2)</f>
        <v>7</v>
      </c>
      <c r="V172" s="3">
        <f>IF(WEEKDAY(PlanMasine[[#This Row],[Datum SAS]]-1,2)=7,PlanMasine[[#This Row],[Datum SAS]]-3,PlanMasine[[#This Row],[Datum SAS]]-1)</f>
        <v>45807</v>
      </c>
      <c r="W172">
        <f>WEEKNUM(PlanMasine[[#This Row],[Column2]],1)</f>
        <v>22</v>
      </c>
    </row>
    <row r="173" spans="1:23" x14ac:dyDescent="0.35">
      <c r="A173">
        <v>1004133</v>
      </c>
      <c r="B173">
        <v>1</v>
      </c>
      <c r="C173">
        <v>1004155</v>
      </c>
      <c r="D173" t="s">
        <v>1495</v>
      </c>
      <c r="E173">
        <v>360</v>
      </c>
      <c r="F173">
        <v>12</v>
      </c>
      <c r="G173">
        <v>0</v>
      </c>
      <c r="H173">
        <v>0</v>
      </c>
      <c r="I173" t="s">
        <v>24</v>
      </c>
      <c r="J173" t="s">
        <v>597</v>
      </c>
      <c r="K173" t="s">
        <v>1881</v>
      </c>
      <c r="L173" s="3">
        <v>45820</v>
      </c>
      <c r="M173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2.0833333333333332E-2</v>
      </c>
      <c r="N173" s="3">
        <v>45810</v>
      </c>
      <c r="O173" s="5">
        <f>IFERROR((PlanMasine[[#This Row],[Norma]]/PlanMasine[[#This Row],[Q]])*(PlanMasine[[#This Row],[Q]]/SUMIF(C:C,PlanMasine[[#This Row],[RN]],B:B)*PlanMasine[[#This Row],[KPLQ]]),0)</f>
        <v>30</v>
      </c>
      <c r="P173">
        <v>220643</v>
      </c>
      <c r="Q173">
        <f>COUNTIF(PROMJENA!A:A,PlanMasine[[#This Row],[KPL]]&amp;"-"&amp;PlanMasine[[#This Row],[RN]])</f>
        <v>0</v>
      </c>
      <c r="R173">
        <f>IFERROR(INDEX(REDOSLIJED!A:A,MATCH(PlanMasine[[#This Row],[KPL]],REDOSLIJED!B:B,0)),MAX(REDOSLIJED!A:A)+1)</f>
        <v>45</v>
      </c>
      <c r="S173" s="9">
        <f>SUM($M$2:M173)</f>
        <v>7.8595833333333438</v>
      </c>
      <c r="T173" s="3">
        <f>PlanMasine[[#This Row],[Datum SAS]]-1</f>
        <v>45809</v>
      </c>
      <c r="U173">
        <f>WEEKDAY(PlanMasine[[#This Row],[ZAVRŠETAK MAŠINSKE]],2)</f>
        <v>7</v>
      </c>
      <c r="V173" s="3">
        <f>IF(WEEKDAY(PlanMasine[[#This Row],[Datum SAS]]-1,2)=7,PlanMasine[[#This Row],[Datum SAS]]-3,PlanMasine[[#This Row],[Datum SAS]]-1)</f>
        <v>45807</v>
      </c>
      <c r="W173">
        <f>WEEKNUM(PlanMasine[[#This Row],[Column2]],1)</f>
        <v>22</v>
      </c>
    </row>
    <row r="174" spans="1:23" x14ac:dyDescent="0.35">
      <c r="A174">
        <v>1004134</v>
      </c>
      <c r="B174">
        <v>1</v>
      </c>
      <c r="C174">
        <v>1004154</v>
      </c>
      <c r="D174" t="s">
        <v>1802</v>
      </c>
      <c r="E174">
        <v>240</v>
      </c>
      <c r="F174">
        <v>12</v>
      </c>
      <c r="G174">
        <v>0</v>
      </c>
      <c r="H174">
        <v>0</v>
      </c>
      <c r="I174" t="s">
        <v>24</v>
      </c>
      <c r="J174" t="s">
        <v>597</v>
      </c>
      <c r="K174" t="s">
        <v>1881</v>
      </c>
      <c r="L174" s="3">
        <v>45820</v>
      </c>
      <c r="M174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1.3888888888888888E-2</v>
      </c>
      <c r="N174" s="3">
        <v>45810</v>
      </c>
      <c r="O174" s="5">
        <f>IFERROR((PlanMasine[[#This Row],[Norma]]/PlanMasine[[#This Row],[Q]])*(PlanMasine[[#This Row],[Q]]/SUMIF(C:C,PlanMasine[[#This Row],[RN]],B:B)*PlanMasine[[#This Row],[KPLQ]]),0)</f>
        <v>20</v>
      </c>
      <c r="P174">
        <v>220642</v>
      </c>
      <c r="Q174">
        <f>COUNTIF(PROMJENA!A:A,PlanMasine[[#This Row],[KPL]]&amp;"-"&amp;PlanMasine[[#This Row],[RN]])</f>
        <v>0</v>
      </c>
      <c r="R174">
        <f>IFERROR(INDEX(REDOSLIJED!A:A,MATCH(PlanMasine[[#This Row],[KPL]],REDOSLIJED!B:B,0)),MAX(REDOSLIJED!A:A)+1)</f>
        <v>45</v>
      </c>
      <c r="S174" s="9">
        <f>SUM($M$2:M174)</f>
        <v>7.8734722222222331</v>
      </c>
      <c r="T174" s="3">
        <f>PlanMasine[[#This Row],[Datum SAS]]-1</f>
        <v>45809</v>
      </c>
      <c r="U174">
        <f>WEEKDAY(PlanMasine[[#This Row],[ZAVRŠETAK MAŠINSKE]],2)</f>
        <v>7</v>
      </c>
      <c r="V174" s="3">
        <f>IF(WEEKDAY(PlanMasine[[#This Row],[Datum SAS]]-1,2)=7,PlanMasine[[#This Row],[Datum SAS]]-3,PlanMasine[[#This Row],[Datum SAS]]-1)</f>
        <v>45807</v>
      </c>
      <c r="W174">
        <f>WEEKNUM(PlanMasine[[#This Row],[Column2]],1)</f>
        <v>22</v>
      </c>
    </row>
    <row r="175" spans="1:23" x14ac:dyDescent="0.35">
      <c r="A175">
        <v>1004134</v>
      </c>
      <c r="B175">
        <v>1</v>
      </c>
      <c r="C175">
        <v>1004155</v>
      </c>
      <c r="D175" t="s">
        <v>1495</v>
      </c>
      <c r="E175">
        <v>360</v>
      </c>
      <c r="F175">
        <v>12</v>
      </c>
      <c r="G175">
        <v>0</v>
      </c>
      <c r="H175">
        <v>0</v>
      </c>
      <c r="I175" t="s">
        <v>24</v>
      </c>
      <c r="J175" t="s">
        <v>597</v>
      </c>
      <c r="K175" t="s">
        <v>1881</v>
      </c>
      <c r="L175" s="3">
        <v>45820</v>
      </c>
      <c r="M175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2.0833333333333332E-2</v>
      </c>
      <c r="N175" s="3">
        <v>45810</v>
      </c>
      <c r="O175" s="5">
        <f>IFERROR((PlanMasine[[#This Row],[Norma]]/PlanMasine[[#This Row],[Q]])*(PlanMasine[[#This Row],[Q]]/SUMIF(C:C,PlanMasine[[#This Row],[RN]],B:B)*PlanMasine[[#This Row],[KPLQ]]),0)</f>
        <v>30</v>
      </c>
      <c r="P175">
        <v>220643</v>
      </c>
      <c r="Q175">
        <f>COUNTIF(PROMJENA!A:A,PlanMasine[[#This Row],[KPL]]&amp;"-"&amp;PlanMasine[[#This Row],[RN]])</f>
        <v>0</v>
      </c>
      <c r="R175">
        <f>IFERROR(INDEX(REDOSLIJED!A:A,MATCH(PlanMasine[[#This Row],[KPL]],REDOSLIJED!B:B,0)),MAX(REDOSLIJED!A:A)+1)</f>
        <v>45</v>
      </c>
      <c r="S175" s="9">
        <f>SUM($M$2:M175)</f>
        <v>7.8943055555555661</v>
      </c>
      <c r="T175" s="3">
        <f>PlanMasine[[#This Row],[Datum SAS]]-1</f>
        <v>45809</v>
      </c>
      <c r="U175">
        <f>WEEKDAY(PlanMasine[[#This Row],[ZAVRŠETAK MAŠINSKE]],2)</f>
        <v>7</v>
      </c>
      <c r="V175" s="3">
        <f>IF(WEEKDAY(PlanMasine[[#This Row],[Datum SAS]]-1,2)=7,PlanMasine[[#This Row],[Datum SAS]]-3,PlanMasine[[#This Row],[Datum SAS]]-1)</f>
        <v>45807</v>
      </c>
      <c r="W175">
        <f>WEEKNUM(PlanMasine[[#This Row],[Column2]],1)</f>
        <v>22</v>
      </c>
    </row>
    <row r="176" spans="1:23" x14ac:dyDescent="0.35">
      <c r="A176">
        <v>1004135</v>
      </c>
      <c r="B176">
        <v>1</v>
      </c>
      <c r="C176">
        <v>1004154</v>
      </c>
      <c r="D176" t="s">
        <v>1802</v>
      </c>
      <c r="E176">
        <v>240</v>
      </c>
      <c r="F176">
        <v>12</v>
      </c>
      <c r="G176">
        <v>0</v>
      </c>
      <c r="H176">
        <v>0</v>
      </c>
      <c r="I176" t="s">
        <v>24</v>
      </c>
      <c r="J176" t="s">
        <v>597</v>
      </c>
      <c r="K176" t="s">
        <v>1881</v>
      </c>
      <c r="L176" s="3">
        <v>45820</v>
      </c>
      <c r="M176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1.3888888888888888E-2</v>
      </c>
      <c r="N176" s="3">
        <v>45810</v>
      </c>
      <c r="O176" s="5">
        <f>IFERROR((PlanMasine[[#This Row],[Norma]]/PlanMasine[[#This Row],[Q]])*(PlanMasine[[#This Row],[Q]]/SUMIF(C:C,PlanMasine[[#This Row],[RN]],B:B)*PlanMasine[[#This Row],[KPLQ]]),0)</f>
        <v>20</v>
      </c>
      <c r="P176">
        <v>220642</v>
      </c>
      <c r="Q176">
        <f>COUNTIF(PROMJENA!A:A,PlanMasine[[#This Row],[KPL]]&amp;"-"&amp;PlanMasine[[#This Row],[RN]])</f>
        <v>0</v>
      </c>
      <c r="R176">
        <f>IFERROR(INDEX(REDOSLIJED!A:A,MATCH(PlanMasine[[#This Row],[KPL]],REDOSLIJED!B:B,0)),MAX(REDOSLIJED!A:A)+1)</f>
        <v>45</v>
      </c>
      <c r="S176" s="9">
        <f>SUM($M$2:M176)</f>
        <v>7.9081944444444554</v>
      </c>
      <c r="T176" s="3">
        <f>PlanMasine[[#This Row],[Datum SAS]]-1</f>
        <v>45809</v>
      </c>
      <c r="U176">
        <f>WEEKDAY(PlanMasine[[#This Row],[ZAVRŠETAK MAŠINSKE]],2)</f>
        <v>7</v>
      </c>
      <c r="V176" s="3">
        <f>IF(WEEKDAY(PlanMasine[[#This Row],[Datum SAS]]-1,2)=7,PlanMasine[[#This Row],[Datum SAS]]-3,PlanMasine[[#This Row],[Datum SAS]]-1)</f>
        <v>45807</v>
      </c>
      <c r="W176">
        <f>WEEKNUM(PlanMasine[[#This Row],[Column2]],1)</f>
        <v>22</v>
      </c>
    </row>
    <row r="177" spans="1:23" x14ac:dyDescent="0.35">
      <c r="A177">
        <v>1004135</v>
      </c>
      <c r="B177">
        <v>1</v>
      </c>
      <c r="C177">
        <v>1004155</v>
      </c>
      <c r="D177" t="s">
        <v>1495</v>
      </c>
      <c r="E177">
        <v>360</v>
      </c>
      <c r="F177">
        <v>12</v>
      </c>
      <c r="G177">
        <v>0</v>
      </c>
      <c r="H177">
        <v>0</v>
      </c>
      <c r="I177" t="s">
        <v>24</v>
      </c>
      <c r="J177" t="s">
        <v>597</v>
      </c>
      <c r="K177" t="s">
        <v>1881</v>
      </c>
      <c r="L177" s="3">
        <v>45820</v>
      </c>
      <c r="M177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2.0833333333333332E-2</v>
      </c>
      <c r="N177" s="3">
        <v>45810</v>
      </c>
      <c r="O177" s="5">
        <f>IFERROR((PlanMasine[[#This Row],[Norma]]/PlanMasine[[#This Row],[Q]])*(PlanMasine[[#This Row],[Q]]/SUMIF(C:C,PlanMasine[[#This Row],[RN]],B:B)*PlanMasine[[#This Row],[KPLQ]]),0)</f>
        <v>30</v>
      </c>
      <c r="P177">
        <v>220643</v>
      </c>
      <c r="Q177">
        <f>COUNTIF(PROMJENA!A:A,PlanMasine[[#This Row],[KPL]]&amp;"-"&amp;PlanMasine[[#This Row],[RN]])</f>
        <v>0</v>
      </c>
      <c r="R177">
        <f>IFERROR(INDEX(REDOSLIJED!A:A,MATCH(PlanMasine[[#This Row],[KPL]],REDOSLIJED!B:B,0)),MAX(REDOSLIJED!A:A)+1)</f>
        <v>45</v>
      </c>
      <c r="S177" s="9">
        <f>SUM($M$2:M177)</f>
        <v>7.9290277777777884</v>
      </c>
      <c r="T177" s="3">
        <f>PlanMasine[[#This Row],[Datum SAS]]-1</f>
        <v>45809</v>
      </c>
      <c r="U177">
        <f>WEEKDAY(PlanMasine[[#This Row],[ZAVRŠETAK MAŠINSKE]],2)</f>
        <v>7</v>
      </c>
      <c r="V177" s="3">
        <f>IF(WEEKDAY(PlanMasine[[#This Row],[Datum SAS]]-1,2)=7,PlanMasine[[#This Row],[Datum SAS]]-3,PlanMasine[[#This Row],[Datum SAS]]-1)</f>
        <v>45807</v>
      </c>
      <c r="W177">
        <f>WEEKNUM(PlanMasine[[#This Row],[Column2]],1)</f>
        <v>22</v>
      </c>
    </row>
    <row r="178" spans="1:23" x14ac:dyDescent="0.35">
      <c r="A178">
        <v>1004136</v>
      </c>
      <c r="B178">
        <v>1</v>
      </c>
      <c r="C178">
        <v>1004154</v>
      </c>
      <c r="D178" t="s">
        <v>1802</v>
      </c>
      <c r="E178">
        <v>240</v>
      </c>
      <c r="F178">
        <v>12</v>
      </c>
      <c r="G178">
        <v>0</v>
      </c>
      <c r="H178">
        <v>0</v>
      </c>
      <c r="I178" t="s">
        <v>24</v>
      </c>
      <c r="J178" t="s">
        <v>597</v>
      </c>
      <c r="K178" t="s">
        <v>1881</v>
      </c>
      <c r="L178" s="3">
        <v>45820</v>
      </c>
      <c r="M178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1.3888888888888888E-2</v>
      </c>
      <c r="N178" s="3">
        <v>45810</v>
      </c>
      <c r="O178" s="5">
        <f>IFERROR((PlanMasine[[#This Row],[Norma]]/PlanMasine[[#This Row],[Q]])*(PlanMasine[[#This Row],[Q]]/SUMIF(C:C,PlanMasine[[#This Row],[RN]],B:B)*PlanMasine[[#This Row],[KPLQ]]),0)</f>
        <v>20</v>
      </c>
      <c r="P178">
        <v>220642</v>
      </c>
      <c r="Q178">
        <f>COUNTIF(PROMJENA!A:A,PlanMasine[[#This Row],[KPL]]&amp;"-"&amp;PlanMasine[[#This Row],[RN]])</f>
        <v>0</v>
      </c>
      <c r="R178">
        <f>IFERROR(INDEX(REDOSLIJED!A:A,MATCH(PlanMasine[[#This Row],[KPL]],REDOSLIJED!B:B,0)),MAX(REDOSLIJED!A:A)+1)</f>
        <v>45</v>
      </c>
      <c r="S178" s="9">
        <f>SUM($M$2:M178)</f>
        <v>7.9429166666666777</v>
      </c>
      <c r="T178" s="3">
        <f>PlanMasine[[#This Row],[Datum SAS]]-1</f>
        <v>45809</v>
      </c>
      <c r="U178">
        <f>WEEKDAY(PlanMasine[[#This Row],[ZAVRŠETAK MAŠINSKE]],2)</f>
        <v>7</v>
      </c>
      <c r="V178" s="3">
        <f>IF(WEEKDAY(PlanMasine[[#This Row],[Datum SAS]]-1,2)=7,PlanMasine[[#This Row],[Datum SAS]]-3,PlanMasine[[#This Row],[Datum SAS]]-1)</f>
        <v>45807</v>
      </c>
      <c r="W178">
        <f>WEEKNUM(PlanMasine[[#This Row],[Column2]],1)</f>
        <v>22</v>
      </c>
    </row>
    <row r="179" spans="1:23" x14ac:dyDescent="0.35">
      <c r="A179">
        <v>1004136</v>
      </c>
      <c r="B179">
        <v>1</v>
      </c>
      <c r="C179">
        <v>1004155</v>
      </c>
      <c r="D179" t="s">
        <v>1495</v>
      </c>
      <c r="E179">
        <v>360</v>
      </c>
      <c r="F179">
        <v>12</v>
      </c>
      <c r="G179">
        <v>0</v>
      </c>
      <c r="H179">
        <v>0</v>
      </c>
      <c r="I179" t="s">
        <v>24</v>
      </c>
      <c r="J179" t="s">
        <v>597</v>
      </c>
      <c r="K179" t="s">
        <v>1881</v>
      </c>
      <c r="L179" s="3">
        <v>45820</v>
      </c>
      <c r="M179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2.0833333333333332E-2</v>
      </c>
      <c r="N179" s="3">
        <v>45810</v>
      </c>
      <c r="O179" s="5">
        <f>IFERROR((PlanMasine[[#This Row],[Norma]]/PlanMasine[[#This Row],[Q]])*(PlanMasine[[#This Row],[Q]]/SUMIF(C:C,PlanMasine[[#This Row],[RN]],B:B)*PlanMasine[[#This Row],[KPLQ]]),0)</f>
        <v>30</v>
      </c>
      <c r="P179">
        <v>220643</v>
      </c>
      <c r="Q179">
        <f>COUNTIF(PROMJENA!A:A,PlanMasine[[#This Row],[KPL]]&amp;"-"&amp;PlanMasine[[#This Row],[RN]])</f>
        <v>0</v>
      </c>
      <c r="R179">
        <f>IFERROR(INDEX(REDOSLIJED!A:A,MATCH(PlanMasine[[#This Row],[KPL]],REDOSLIJED!B:B,0)),MAX(REDOSLIJED!A:A)+1)</f>
        <v>45</v>
      </c>
      <c r="S179" s="9">
        <f>SUM($M$2:M179)</f>
        <v>7.9637500000000108</v>
      </c>
      <c r="T179" s="3">
        <f>PlanMasine[[#This Row],[Datum SAS]]-1</f>
        <v>45809</v>
      </c>
      <c r="U179">
        <f>WEEKDAY(PlanMasine[[#This Row],[ZAVRŠETAK MAŠINSKE]],2)</f>
        <v>7</v>
      </c>
      <c r="V179" s="3">
        <f>IF(WEEKDAY(PlanMasine[[#This Row],[Datum SAS]]-1,2)=7,PlanMasine[[#This Row],[Datum SAS]]-3,PlanMasine[[#This Row],[Datum SAS]]-1)</f>
        <v>45807</v>
      </c>
      <c r="W179">
        <f>WEEKNUM(PlanMasine[[#This Row],[Column2]],1)</f>
        <v>22</v>
      </c>
    </row>
    <row r="180" spans="1:23" x14ac:dyDescent="0.35">
      <c r="A180">
        <v>1004137</v>
      </c>
      <c r="B180">
        <v>1</v>
      </c>
      <c r="C180">
        <v>1004154</v>
      </c>
      <c r="D180" t="s">
        <v>1802</v>
      </c>
      <c r="E180">
        <v>240</v>
      </c>
      <c r="F180">
        <v>12</v>
      </c>
      <c r="G180">
        <v>0</v>
      </c>
      <c r="H180">
        <v>0</v>
      </c>
      <c r="I180" t="s">
        <v>24</v>
      </c>
      <c r="J180" t="s">
        <v>597</v>
      </c>
      <c r="K180" t="s">
        <v>1881</v>
      </c>
      <c r="L180" s="3">
        <v>45820</v>
      </c>
      <c r="M180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1.3888888888888888E-2</v>
      </c>
      <c r="N180" s="3">
        <v>45810</v>
      </c>
      <c r="O180" s="5">
        <f>IFERROR((PlanMasine[[#This Row],[Norma]]/PlanMasine[[#This Row],[Q]])*(PlanMasine[[#This Row],[Q]]/SUMIF(C:C,PlanMasine[[#This Row],[RN]],B:B)*PlanMasine[[#This Row],[KPLQ]]),0)</f>
        <v>20</v>
      </c>
      <c r="P180">
        <v>220642</v>
      </c>
      <c r="Q180">
        <f>COUNTIF(PROMJENA!A:A,PlanMasine[[#This Row],[KPL]]&amp;"-"&amp;PlanMasine[[#This Row],[RN]])</f>
        <v>0</v>
      </c>
      <c r="R180">
        <f>IFERROR(INDEX(REDOSLIJED!A:A,MATCH(PlanMasine[[#This Row],[KPL]],REDOSLIJED!B:B,0)),MAX(REDOSLIJED!A:A)+1)</f>
        <v>45</v>
      </c>
      <c r="S180" s="9">
        <f>SUM($M$2:M180)</f>
        <v>7.9776388888889</v>
      </c>
      <c r="T180" s="3">
        <f>PlanMasine[[#This Row],[Datum SAS]]-1</f>
        <v>45809</v>
      </c>
      <c r="U180">
        <f>WEEKDAY(PlanMasine[[#This Row],[ZAVRŠETAK MAŠINSKE]],2)</f>
        <v>7</v>
      </c>
      <c r="V180" s="3">
        <f>IF(WEEKDAY(PlanMasine[[#This Row],[Datum SAS]]-1,2)=7,PlanMasine[[#This Row],[Datum SAS]]-3,PlanMasine[[#This Row],[Datum SAS]]-1)</f>
        <v>45807</v>
      </c>
      <c r="W180">
        <f>WEEKNUM(PlanMasine[[#This Row],[Column2]],1)</f>
        <v>22</v>
      </c>
    </row>
    <row r="181" spans="1:23" x14ac:dyDescent="0.35">
      <c r="A181">
        <v>1004137</v>
      </c>
      <c r="B181">
        <v>1</v>
      </c>
      <c r="C181">
        <v>1004155</v>
      </c>
      <c r="D181" t="s">
        <v>1495</v>
      </c>
      <c r="E181">
        <v>360</v>
      </c>
      <c r="F181">
        <v>12</v>
      </c>
      <c r="G181">
        <v>0</v>
      </c>
      <c r="H181">
        <v>0</v>
      </c>
      <c r="I181" t="s">
        <v>24</v>
      </c>
      <c r="J181" t="s">
        <v>597</v>
      </c>
      <c r="K181" t="s">
        <v>1881</v>
      </c>
      <c r="L181" s="3">
        <v>45820</v>
      </c>
      <c r="M181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2.0833333333333332E-2</v>
      </c>
      <c r="N181" s="3">
        <v>45810</v>
      </c>
      <c r="O181" s="5">
        <f>IFERROR((PlanMasine[[#This Row],[Norma]]/PlanMasine[[#This Row],[Q]])*(PlanMasine[[#This Row],[Q]]/SUMIF(C:C,PlanMasine[[#This Row],[RN]],B:B)*PlanMasine[[#This Row],[KPLQ]]),0)</f>
        <v>30</v>
      </c>
      <c r="P181">
        <v>220643</v>
      </c>
      <c r="Q181">
        <f>COUNTIF(PROMJENA!A:A,PlanMasine[[#This Row],[KPL]]&amp;"-"&amp;PlanMasine[[#This Row],[RN]])</f>
        <v>0</v>
      </c>
      <c r="R181">
        <f>IFERROR(INDEX(REDOSLIJED!A:A,MATCH(PlanMasine[[#This Row],[KPL]],REDOSLIJED!B:B,0)),MAX(REDOSLIJED!A:A)+1)</f>
        <v>45</v>
      </c>
      <c r="S181" s="9">
        <f>SUM($M$2:M181)</f>
        <v>7.9984722222222331</v>
      </c>
      <c r="T181" s="3">
        <f>PlanMasine[[#This Row],[Datum SAS]]-1</f>
        <v>45809</v>
      </c>
      <c r="U181">
        <f>WEEKDAY(PlanMasine[[#This Row],[ZAVRŠETAK MAŠINSKE]],2)</f>
        <v>7</v>
      </c>
      <c r="V181" s="3">
        <f>IF(WEEKDAY(PlanMasine[[#This Row],[Datum SAS]]-1,2)=7,PlanMasine[[#This Row],[Datum SAS]]-3,PlanMasine[[#This Row],[Datum SAS]]-1)</f>
        <v>45807</v>
      </c>
      <c r="W181">
        <f>WEEKNUM(PlanMasine[[#This Row],[Column2]],1)</f>
        <v>22</v>
      </c>
    </row>
    <row r="182" spans="1:23" x14ac:dyDescent="0.35">
      <c r="A182">
        <v>1014986</v>
      </c>
      <c r="B182">
        <v>1</v>
      </c>
      <c r="C182">
        <v>1014986</v>
      </c>
      <c r="D182" t="s">
        <v>1882</v>
      </c>
      <c r="E182">
        <v>75</v>
      </c>
      <c r="F182">
        <v>1</v>
      </c>
      <c r="G182">
        <v>0</v>
      </c>
      <c r="H182">
        <v>0</v>
      </c>
      <c r="I182" t="s">
        <v>24</v>
      </c>
      <c r="J182" t="s">
        <v>597</v>
      </c>
      <c r="K182" t="s">
        <v>1883</v>
      </c>
      <c r="L182" s="3">
        <v>45834</v>
      </c>
      <c r="M182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5.2083333333333336E-2</v>
      </c>
      <c r="N182" s="3">
        <v>45810</v>
      </c>
      <c r="O182" s="5">
        <f>IFERROR((PlanMasine[[#This Row],[Norma]]/PlanMasine[[#This Row],[Q]])*(PlanMasine[[#This Row],[Q]]/SUMIF(C:C,PlanMasine[[#This Row],[RN]],B:B)*PlanMasine[[#This Row],[KPLQ]]),0)</f>
        <v>75</v>
      </c>
      <c r="P182">
        <v>216056</v>
      </c>
      <c r="Q182">
        <f>COUNTIF(PROMJENA!A:A,PlanMasine[[#This Row],[KPL]]&amp;"-"&amp;PlanMasine[[#This Row],[RN]])</f>
        <v>0</v>
      </c>
      <c r="R182">
        <f>IFERROR(INDEX(REDOSLIJED!A:A,MATCH(PlanMasine[[#This Row],[KPL]],REDOSLIJED!B:B,0)),MAX(REDOSLIJED!A:A)+1)</f>
        <v>45</v>
      </c>
      <c r="S182" s="9">
        <f>SUM($M$2:M182)</f>
        <v>8.050555555555567</v>
      </c>
      <c r="T182" s="3">
        <f>PlanMasine[[#This Row],[Datum SAS]]-1</f>
        <v>45809</v>
      </c>
      <c r="U182">
        <f>WEEKDAY(PlanMasine[[#This Row],[ZAVRŠETAK MAŠINSKE]],2)</f>
        <v>7</v>
      </c>
      <c r="V182" s="3">
        <f>IF(WEEKDAY(PlanMasine[[#This Row],[Datum SAS]]-1,2)=7,PlanMasine[[#This Row],[Datum SAS]]-3,PlanMasine[[#This Row],[Datum SAS]]-1)</f>
        <v>45807</v>
      </c>
      <c r="W182">
        <f>WEEKNUM(PlanMasine[[#This Row],[Column2]],1)</f>
        <v>22</v>
      </c>
    </row>
    <row r="183" spans="1:23" x14ac:dyDescent="0.35">
      <c r="A183">
        <v>1014987</v>
      </c>
      <c r="B183">
        <v>1</v>
      </c>
      <c r="C183">
        <v>1014988</v>
      </c>
      <c r="D183" t="s">
        <v>1884</v>
      </c>
      <c r="E183">
        <v>10</v>
      </c>
      <c r="F183">
        <v>1</v>
      </c>
      <c r="G183">
        <v>0</v>
      </c>
      <c r="H183">
        <v>0</v>
      </c>
      <c r="I183" t="s">
        <v>24</v>
      </c>
      <c r="J183" t="s">
        <v>597</v>
      </c>
      <c r="K183" t="s">
        <v>1885</v>
      </c>
      <c r="L183" s="3">
        <v>45834</v>
      </c>
      <c r="M183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6.9444444444444441E-3</v>
      </c>
      <c r="N183" s="3">
        <v>45810</v>
      </c>
      <c r="O183" s="5">
        <f>IFERROR((PlanMasine[[#This Row],[Norma]]/PlanMasine[[#This Row],[Q]])*(PlanMasine[[#This Row],[Q]]/SUMIF(C:C,PlanMasine[[#This Row],[RN]],B:B)*PlanMasine[[#This Row],[KPLQ]]),0)</f>
        <v>10</v>
      </c>
      <c r="P183">
        <v>217587</v>
      </c>
      <c r="Q183">
        <f>COUNTIF(PROMJENA!A:A,PlanMasine[[#This Row],[KPL]]&amp;"-"&amp;PlanMasine[[#This Row],[RN]])</f>
        <v>0</v>
      </c>
      <c r="R183">
        <f>IFERROR(INDEX(REDOSLIJED!A:A,MATCH(PlanMasine[[#This Row],[KPL]],REDOSLIJED!B:B,0)),MAX(REDOSLIJED!A:A)+1)</f>
        <v>45</v>
      </c>
      <c r="S183" s="9">
        <f>SUM($M$2:M183)</f>
        <v>8.0575000000000117</v>
      </c>
      <c r="T183" s="3">
        <f>PlanMasine[[#This Row],[Datum SAS]]-1</f>
        <v>45809</v>
      </c>
      <c r="U183">
        <f>WEEKDAY(PlanMasine[[#This Row],[ZAVRŠETAK MAŠINSKE]],2)</f>
        <v>7</v>
      </c>
      <c r="V183" s="3">
        <f>IF(WEEKDAY(PlanMasine[[#This Row],[Datum SAS]]-1,2)=7,PlanMasine[[#This Row],[Datum SAS]]-3,PlanMasine[[#This Row],[Datum SAS]]-1)</f>
        <v>45807</v>
      </c>
      <c r="W183">
        <f>WEEKNUM(PlanMasine[[#This Row],[Column2]],1)</f>
        <v>22</v>
      </c>
    </row>
    <row r="184" spans="1:23" x14ac:dyDescent="0.35">
      <c r="A184">
        <v>1014987</v>
      </c>
      <c r="B184">
        <v>1</v>
      </c>
      <c r="C184">
        <v>1014989</v>
      </c>
      <c r="D184" t="s">
        <v>1627</v>
      </c>
      <c r="E184">
        <v>20</v>
      </c>
      <c r="F184">
        <v>1</v>
      </c>
      <c r="G184">
        <v>0</v>
      </c>
      <c r="H184">
        <v>0</v>
      </c>
      <c r="I184" t="s">
        <v>24</v>
      </c>
      <c r="J184" t="s">
        <v>597</v>
      </c>
      <c r="K184" t="s">
        <v>1885</v>
      </c>
      <c r="L184" s="3">
        <v>45834</v>
      </c>
      <c r="M184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1.3888888888888888E-2</v>
      </c>
      <c r="N184" s="3">
        <v>45810</v>
      </c>
      <c r="O184" s="5">
        <f>IFERROR((PlanMasine[[#This Row],[Norma]]/PlanMasine[[#This Row],[Q]])*(PlanMasine[[#This Row],[Q]]/SUMIF(C:C,PlanMasine[[#This Row],[RN]],B:B)*PlanMasine[[#This Row],[KPLQ]]),0)</f>
        <v>20</v>
      </c>
      <c r="P184">
        <v>217588</v>
      </c>
      <c r="Q184">
        <f>COUNTIF(PROMJENA!A:A,PlanMasine[[#This Row],[KPL]]&amp;"-"&amp;PlanMasine[[#This Row],[RN]])</f>
        <v>0</v>
      </c>
      <c r="R184">
        <f>IFERROR(INDEX(REDOSLIJED!A:A,MATCH(PlanMasine[[#This Row],[KPL]],REDOSLIJED!B:B,0)),MAX(REDOSLIJED!A:A)+1)</f>
        <v>45</v>
      </c>
      <c r="S184" s="9">
        <f>SUM($M$2:M184)</f>
        <v>8.0713888888889009</v>
      </c>
      <c r="T184" s="3">
        <f>PlanMasine[[#This Row],[Datum SAS]]-1</f>
        <v>45809</v>
      </c>
      <c r="U184">
        <f>WEEKDAY(PlanMasine[[#This Row],[ZAVRŠETAK MAŠINSKE]],2)</f>
        <v>7</v>
      </c>
      <c r="V184" s="3">
        <f>IF(WEEKDAY(PlanMasine[[#This Row],[Datum SAS]]-1,2)=7,PlanMasine[[#This Row],[Datum SAS]]-3,PlanMasine[[#This Row],[Datum SAS]]-1)</f>
        <v>45807</v>
      </c>
      <c r="W184">
        <f>WEEKNUM(PlanMasine[[#This Row],[Column2]],1)</f>
        <v>22</v>
      </c>
    </row>
    <row r="185" spans="1:23" x14ac:dyDescent="0.35">
      <c r="A185">
        <v>1014995</v>
      </c>
      <c r="B185">
        <v>1</v>
      </c>
      <c r="C185">
        <v>1014997</v>
      </c>
      <c r="D185" t="s">
        <v>1629</v>
      </c>
      <c r="E185">
        <v>10</v>
      </c>
      <c r="F185">
        <v>1</v>
      </c>
      <c r="G185">
        <v>0</v>
      </c>
      <c r="H185">
        <v>0</v>
      </c>
      <c r="I185" t="s">
        <v>24</v>
      </c>
      <c r="J185" t="s">
        <v>597</v>
      </c>
      <c r="K185" t="s">
        <v>1886</v>
      </c>
      <c r="L185" s="3">
        <v>45834</v>
      </c>
      <c r="M185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6.9444444444444441E-3</v>
      </c>
      <c r="N185" s="3">
        <v>45810</v>
      </c>
      <c r="O185" s="5">
        <f>IFERROR((PlanMasine[[#This Row],[Norma]]/PlanMasine[[#This Row],[Q]])*(PlanMasine[[#This Row],[Q]]/SUMIF(C:C,PlanMasine[[#This Row],[RN]],B:B)*PlanMasine[[#This Row],[KPLQ]]),0)</f>
        <v>10</v>
      </c>
      <c r="P185">
        <v>217657</v>
      </c>
      <c r="Q185">
        <f>COUNTIF(PROMJENA!A:A,PlanMasine[[#This Row],[KPL]]&amp;"-"&amp;PlanMasine[[#This Row],[RN]])</f>
        <v>0</v>
      </c>
      <c r="R185">
        <f>IFERROR(INDEX(REDOSLIJED!A:A,MATCH(PlanMasine[[#This Row],[KPL]],REDOSLIJED!B:B,0)),MAX(REDOSLIJED!A:A)+1)</f>
        <v>45</v>
      </c>
      <c r="S185" s="9">
        <f>SUM($M$2:M185)</f>
        <v>8.0783333333333456</v>
      </c>
      <c r="T185" s="3">
        <f>PlanMasine[[#This Row],[Datum SAS]]-1</f>
        <v>45809</v>
      </c>
      <c r="U185">
        <f>WEEKDAY(PlanMasine[[#This Row],[ZAVRŠETAK MAŠINSKE]],2)</f>
        <v>7</v>
      </c>
      <c r="V185" s="3">
        <f>IF(WEEKDAY(PlanMasine[[#This Row],[Datum SAS]]-1,2)=7,PlanMasine[[#This Row],[Datum SAS]]-3,PlanMasine[[#This Row],[Datum SAS]]-1)</f>
        <v>45807</v>
      </c>
      <c r="W185">
        <f>WEEKNUM(PlanMasine[[#This Row],[Column2]],1)</f>
        <v>22</v>
      </c>
    </row>
    <row r="186" spans="1:23" x14ac:dyDescent="0.35">
      <c r="A186">
        <v>1014995</v>
      </c>
      <c r="B186">
        <v>1</v>
      </c>
      <c r="C186">
        <v>1014996</v>
      </c>
      <c r="D186" t="s">
        <v>1628</v>
      </c>
      <c r="E186">
        <v>20</v>
      </c>
      <c r="F186">
        <v>1</v>
      </c>
      <c r="G186">
        <v>0</v>
      </c>
      <c r="H186">
        <v>0</v>
      </c>
      <c r="I186" t="s">
        <v>24</v>
      </c>
      <c r="J186" t="s">
        <v>597</v>
      </c>
      <c r="K186" t="s">
        <v>1886</v>
      </c>
      <c r="L186" s="3">
        <v>45834</v>
      </c>
      <c r="M186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1.3888888888888888E-2</v>
      </c>
      <c r="N186" s="3">
        <v>45810</v>
      </c>
      <c r="O186" s="5">
        <f>IFERROR((PlanMasine[[#This Row],[Norma]]/PlanMasine[[#This Row],[Q]])*(PlanMasine[[#This Row],[Q]]/SUMIF(C:C,PlanMasine[[#This Row],[RN]],B:B)*PlanMasine[[#This Row],[KPLQ]]),0)</f>
        <v>20</v>
      </c>
      <c r="P186">
        <v>217656</v>
      </c>
      <c r="Q186">
        <f>COUNTIF(PROMJENA!A:A,PlanMasine[[#This Row],[KPL]]&amp;"-"&amp;PlanMasine[[#This Row],[RN]])</f>
        <v>0</v>
      </c>
      <c r="R186">
        <f>IFERROR(INDEX(REDOSLIJED!A:A,MATCH(PlanMasine[[#This Row],[KPL]],REDOSLIJED!B:B,0)),MAX(REDOSLIJED!A:A)+1)</f>
        <v>45</v>
      </c>
      <c r="S186" s="9">
        <f>SUM($M$2:M186)</f>
        <v>8.0922222222222349</v>
      </c>
      <c r="T186" s="3">
        <f>PlanMasine[[#This Row],[Datum SAS]]-1</f>
        <v>45809</v>
      </c>
      <c r="U186">
        <f>WEEKDAY(PlanMasine[[#This Row],[ZAVRŠETAK MAŠINSKE]],2)</f>
        <v>7</v>
      </c>
      <c r="V186" s="3">
        <f>IF(WEEKDAY(PlanMasine[[#This Row],[Datum SAS]]-1,2)=7,PlanMasine[[#This Row],[Datum SAS]]-3,PlanMasine[[#This Row],[Datum SAS]]-1)</f>
        <v>45807</v>
      </c>
      <c r="W186">
        <f>WEEKNUM(PlanMasine[[#This Row],[Column2]],1)</f>
        <v>22</v>
      </c>
    </row>
    <row r="187" spans="1:23" x14ac:dyDescent="0.35">
      <c r="A187">
        <v>1017215</v>
      </c>
      <c r="B187">
        <v>1</v>
      </c>
      <c r="C187">
        <v>1017311</v>
      </c>
      <c r="D187" t="s">
        <v>453</v>
      </c>
      <c r="E187">
        <v>30</v>
      </c>
      <c r="F187">
        <v>1</v>
      </c>
      <c r="G187">
        <v>0</v>
      </c>
      <c r="H187">
        <v>0</v>
      </c>
      <c r="I187" t="s">
        <v>24</v>
      </c>
      <c r="J187" t="s">
        <v>597</v>
      </c>
      <c r="K187" t="s">
        <v>1887</v>
      </c>
      <c r="L187" s="3">
        <v>45828</v>
      </c>
      <c r="M187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2.0833333333333332E-2</v>
      </c>
      <c r="N187" s="3">
        <v>45810</v>
      </c>
      <c r="O187" s="5">
        <f>IFERROR((PlanMasine[[#This Row],[Norma]]/PlanMasine[[#This Row],[Q]])*(PlanMasine[[#This Row],[Q]]/SUMIF(C:C,PlanMasine[[#This Row],[RN]],B:B)*PlanMasine[[#This Row],[KPLQ]]),0)</f>
        <v>30</v>
      </c>
      <c r="P187">
        <v>175904</v>
      </c>
      <c r="Q187">
        <f>COUNTIF(PROMJENA!A:A,PlanMasine[[#This Row],[KPL]]&amp;"-"&amp;PlanMasine[[#This Row],[RN]])</f>
        <v>0</v>
      </c>
      <c r="R187">
        <f>IFERROR(INDEX(REDOSLIJED!A:A,MATCH(PlanMasine[[#This Row],[KPL]],REDOSLIJED!B:B,0)),MAX(REDOSLIJED!A:A)+1)</f>
        <v>45</v>
      </c>
      <c r="S187" s="9">
        <f>SUM($M$2:M187)</f>
        <v>8.1130555555555688</v>
      </c>
      <c r="T187" s="3">
        <f>PlanMasine[[#This Row],[Datum SAS]]-1</f>
        <v>45809</v>
      </c>
      <c r="U187">
        <f>WEEKDAY(PlanMasine[[#This Row],[ZAVRŠETAK MAŠINSKE]],2)</f>
        <v>7</v>
      </c>
      <c r="V187" s="3">
        <f>IF(WEEKDAY(PlanMasine[[#This Row],[Datum SAS]]-1,2)=7,PlanMasine[[#This Row],[Datum SAS]]-3,PlanMasine[[#This Row],[Datum SAS]]-1)</f>
        <v>45807</v>
      </c>
      <c r="W187">
        <f>WEEKNUM(PlanMasine[[#This Row],[Column2]],1)</f>
        <v>22</v>
      </c>
    </row>
    <row r="188" spans="1:23" x14ac:dyDescent="0.35">
      <c r="A188">
        <v>1017215</v>
      </c>
      <c r="B188">
        <v>1</v>
      </c>
      <c r="C188">
        <v>1017305</v>
      </c>
      <c r="D188" t="s">
        <v>1888</v>
      </c>
      <c r="E188">
        <v>25</v>
      </c>
      <c r="F188">
        <v>1</v>
      </c>
      <c r="G188">
        <v>0</v>
      </c>
      <c r="H188">
        <v>0</v>
      </c>
      <c r="I188" t="s">
        <v>24</v>
      </c>
      <c r="J188" t="s">
        <v>597</v>
      </c>
      <c r="K188" t="s">
        <v>1887</v>
      </c>
      <c r="L188" s="3">
        <v>45828</v>
      </c>
      <c r="M188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1.7361111111111112E-2</v>
      </c>
      <c r="N188" s="3">
        <v>45810</v>
      </c>
      <c r="O188" s="5">
        <f>IFERROR((PlanMasine[[#This Row],[Norma]]/PlanMasine[[#This Row],[Q]])*(PlanMasine[[#This Row],[Q]]/SUMIF(C:C,PlanMasine[[#This Row],[RN]],B:B)*PlanMasine[[#This Row],[KPLQ]]),0)</f>
        <v>25</v>
      </c>
      <c r="P188">
        <v>175898</v>
      </c>
      <c r="Q188">
        <f>COUNTIF(PROMJENA!A:A,PlanMasine[[#This Row],[KPL]]&amp;"-"&amp;PlanMasine[[#This Row],[RN]])</f>
        <v>0</v>
      </c>
      <c r="R188">
        <f>IFERROR(INDEX(REDOSLIJED!A:A,MATCH(PlanMasine[[#This Row],[KPL]],REDOSLIJED!B:B,0)),MAX(REDOSLIJED!A:A)+1)</f>
        <v>45</v>
      </c>
      <c r="S188" s="9">
        <f>SUM($M$2:M188)</f>
        <v>8.1304166666666795</v>
      </c>
      <c r="T188" s="3">
        <f>PlanMasine[[#This Row],[Datum SAS]]-1</f>
        <v>45809</v>
      </c>
      <c r="U188">
        <f>WEEKDAY(PlanMasine[[#This Row],[ZAVRŠETAK MAŠINSKE]],2)</f>
        <v>7</v>
      </c>
      <c r="V188" s="3">
        <f>IF(WEEKDAY(PlanMasine[[#This Row],[Datum SAS]]-1,2)=7,PlanMasine[[#This Row],[Datum SAS]]-3,PlanMasine[[#This Row],[Datum SAS]]-1)</f>
        <v>45807</v>
      </c>
      <c r="W188">
        <f>WEEKNUM(PlanMasine[[#This Row],[Column2]],1)</f>
        <v>22</v>
      </c>
    </row>
    <row r="189" spans="1:23" x14ac:dyDescent="0.35">
      <c r="A189">
        <v>1017567</v>
      </c>
      <c r="B189">
        <v>1</v>
      </c>
      <c r="C189">
        <v>1017638</v>
      </c>
      <c r="D189" t="s">
        <v>1832</v>
      </c>
      <c r="E189">
        <v>7</v>
      </c>
      <c r="F189">
        <v>1</v>
      </c>
      <c r="G189">
        <v>0</v>
      </c>
      <c r="H189">
        <v>0</v>
      </c>
      <c r="I189" t="s">
        <v>24</v>
      </c>
      <c r="J189" t="s">
        <v>597</v>
      </c>
      <c r="K189" t="s">
        <v>1889</v>
      </c>
      <c r="L189" s="3">
        <v>45825</v>
      </c>
      <c r="M189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4.8611111111111112E-3</v>
      </c>
      <c r="N189" s="3">
        <v>45810</v>
      </c>
      <c r="O189" s="5">
        <f>IFERROR((PlanMasine[[#This Row],[Norma]]/PlanMasine[[#This Row],[Q]])*(PlanMasine[[#This Row],[Q]]/SUMIF(C:C,PlanMasine[[#This Row],[RN]],B:B)*PlanMasine[[#This Row],[KPLQ]]),0)</f>
        <v>7</v>
      </c>
      <c r="P189">
        <v>179986</v>
      </c>
      <c r="Q189">
        <f>COUNTIF(PROMJENA!A:A,PlanMasine[[#This Row],[KPL]]&amp;"-"&amp;PlanMasine[[#This Row],[RN]])</f>
        <v>0</v>
      </c>
      <c r="R189">
        <f>IFERROR(INDEX(REDOSLIJED!A:A,MATCH(PlanMasine[[#This Row],[KPL]],REDOSLIJED!B:B,0)),MAX(REDOSLIJED!A:A)+1)</f>
        <v>45</v>
      </c>
      <c r="S189" s="9">
        <f>SUM($M$2:M189)</f>
        <v>8.1352777777777909</v>
      </c>
      <c r="T189" s="3">
        <f>PlanMasine[[#This Row],[Datum SAS]]-1</f>
        <v>45809</v>
      </c>
      <c r="U189">
        <f>WEEKDAY(PlanMasine[[#This Row],[ZAVRŠETAK MAŠINSKE]],2)</f>
        <v>7</v>
      </c>
      <c r="V189" s="3">
        <f>IF(WEEKDAY(PlanMasine[[#This Row],[Datum SAS]]-1,2)=7,PlanMasine[[#This Row],[Datum SAS]]-3,PlanMasine[[#This Row],[Datum SAS]]-1)</f>
        <v>45807</v>
      </c>
      <c r="W189">
        <f>WEEKNUM(PlanMasine[[#This Row],[Column2]],1)</f>
        <v>22</v>
      </c>
    </row>
    <row r="190" spans="1:23" x14ac:dyDescent="0.35">
      <c r="A190">
        <v>1017567</v>
      </c>
      <c r="B190">
        <v>1</v>
      </c>
      <c r="C190">
        <v>1017612</v>
      </c>
      <c r="D190" t="s">
        <v>1860</v>
      </c>
      <c r="E190">
        <v>60</v>
      </c>
      <c r="F190">
        <v>1</v>
      </c>
      <c r="G190">
        <v>0</v>
      </c>
      <c r="H190">
        <v>0</v>
      </c>
      <c r="I190" t="s">
        <v>24</v>
      </c>
      <c r="J190" t="s">
        <v>597</v>
      </c>
      <c r="K190" t="s">
        <v>1889</v>
      </c>
      <c r="L190" s="3">
        <v>45825</v>
      </c>
      <c r="M190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4.1666666666666664E-2</v>
      </c>
      <c r="N190" s="3">
        <v>45810</v>
      </c>
      <c r="O190" s="5">
        <f>IFERROR((PlanMasine[[#This Row],[Norma]]/PlanMasine[[#This Row],[Q]])*(PlanMasine[[#This Row],[Q]]/SUMIF(C:C,PlanMasine[[#This Row],[RN]],B:B)*PlanMasine[[#This Row],[KPLQ]]),0)</f>
        <v>60</v>
      </c>
      <c r="P190">
        <v>179960</v>
      </c>
      <c r="Q190">
        <f>COUNTIF(PROMJENA!A:A,PlanMasine[[#This Row],[KPL]]&amp;"-"&amp;PlanMasine[[#This Row],[RN]])</f>
        <v>0</v>
      </c>
      <c r="R190">
        <f>IFERROR(INDEX(REDOSLIJED!A:A,MATCH(PlanMasine[[#This Row],[KPL]],REDOSLIJED!B:B,0)),MAX(REDOSLIJED!A:A)+1)</f>
        <v>45</v>
      </c>
      <c r="S190" s="9">
        <f>SUM($M$2:M190)</f>
        <v>8.176944444444457</v>
      </c>
      <c r="T190" s="3">
        <f>PlanMasine[[#This Row],[Datum SAS]]-1</f>
        <v>45809</v>
      </c>
      <c r="U190">
        <f>WEEKDAY(PlanMasine[[#This Row],[ZAVRŠETAK MAŠINSKE]],2)</f>
        <v>7</v>
      </c>
      <c r="V190" s="3">
        <f>IF(WEEKDAY(PlanMasine[[#This Row],[Datum SAS]]-1,2)=7,PlanMasine[[#This Row],[Datum SAS]]-3,PlanMasine[[#This Row],[Datum SAS]]-1)</f>
        <v>45807</v>
      </c>
      <c r="W190">
        <f>WEEKNUM(PlanMasine[[#This Row],[Column2]],1)</f>
        <v>22</v>
      </c>
    </row>
    <row r="191" spans="1:23" x14ac:dyDescent="0.35">
      <c r="A191">
        <v>1017567</v>
      </c>
      <c r="B191">
        <v>1</v>
      </c>
      <c r="C191">
        <v>1017592</v>
      </c>
      <c r="D191" t="s">
        <v>1861</v>
      </c>
      <c r="E191">
        <v>60</v>
      </c>
      <c r="F191">
        <v>1</v>
      </c>
      <c r="G191">
        <v>0</v>
      </c>
      <c r="H191">
        <v>0</v>
      </c>
      <c r="I191" t="s">
        <v>24</v>
      </c>
      <c r="J191" t="s">
        <v>597</v>
      </c>
      <c r="K191" t="s">
        <v>1889</v>
      </c>
      <c r="L191" s="3">
        <v>45825</v>
      </c>
      <c r="M191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4.1666666666666664E-2</v>
      </c>
      <c r="N191" s="3">
        <v>45810</v>
      </c>
      <c r="O191" s="5">
        <f>IFERROR((PlanMasine[[#This Row],[Norma]]/PlanMasine[[#This Row],[Q]])*(PlanMasine[[#This Row],[Q]]/SUMIF(C:C,PlanMasine[[#This Row],[RN]],B:B)*PlanMasine[[#This Row],[KPLQ]]),0)</f>
        <v>60</v>
      </c>
      <c r="P191">
        <v>179940</v>
      </c>
      <c r="Q191">
        <f>COUNTIF(PROMJENA!A:A,PlanMasine[[#This Row],[KPL]]&amp;"-"&amp;PlanMasine[[#This Row],[RN]])</f>
        <v>0</v>
      </c>
      <c r="R191">
        <f>IFERROR(INDEX(REDOSLIJED!A:A,MATCH(PlanMasine[[#This Row],[KPL]],REDOSLIJED!B:B,0)),MAX(REDOSLIJED!A:A)+1)</f>
        <v>45</v>
      </c>
      <c r="S191" s="9">
        <f>SUM($M$2:M191)</f>
        <v>8.2186111111111231</v>
      </c>
      <c r="T191" s="3">
        <f>PlanMasine[[#This Row],[Datum SAS]]-1</f>
        <v>45809</v>
      </c>
      <c r="U191">
        <f>WEEKDAY(PlanMasine[[#This Row],[ZAVRŠETAK MAŠINSKE]],2)</f>
        <v>7</v>
      </c>
      <c r="V191" s="3">
        <f>IF(WEEKDAY(PlanMasine[[#This Row],[Datum SAS]]-1,2)=7,PlanMasine[[#This Row],[Datum SAS]]-3,PlanMasine[[#This Row],[Datum SAS]]-1)</f>
        <v>45807</v>
      </c>
      <c r="W191">
        <f>WEEKNUM(PlanMasine[[#This Row],[Column2]],1)</f>
        <v>22</v>
      </c>
    </row>
    <row r="192" spans="1:23" x14ac:dyDescent="0.35">
      <c r="A192">
        <v>1018116</v>
      </c>
      <c r="B192">
        <v>10</v>
      </c>
      <c r="C192">
        <v>1018120</v>
      </c>
      <c r="D192" t="s">
        <v>225</v>
      </c>
      <c r="E192">
        <v>250</v>
      </c>
      <c r="F192">
        <v>10</v>
      </c>
      <c r="G192">
        <v>0</v>
      </c>
      <c r="H192">
        <v>0</v>
      </c>
      <c r="I192" t="s">
        <v>24</v>
      </c>
      <c r="J192" t="s">
        <v>597</v>
      </c>
      <c r="K192" t="s">
        <v>1890</v>
      </c>
      <c r="L192" s="3">
        <v>45839</v>
      </c>
      <c r="M192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0.1736111111111111</v>
      </c>
      <c r="N192" s="3">
        <v>45810</v>
      </c>
      <c r="O192" s="5">
        <f>IFERROR((PlanMasine[[#This Row],[Norma]]/PlanMasine[[#This Row],[Q]])*(PlanMasine[[#This Row],[Q]]/SUMIF(C:C,PlanMasine[[#This Row],[RN]],B:B)*PlanMasine[[#This Row],[KPLQ]]),0)</f>
        <v>250</v>
      </c>
      <c r="P192">
        <v>138053</v>
      </c>
      <c r="Q192">
        <f>COUNTIF(PROMJENA!A:A,PlanMasine[[#This Row],[KPL]]&amp;"-"&amp;PlanMasine[[#This Row],[RN]])</f>
        <v>0</v>
      </c>
      <c r="R192">
        <f>IFERROR(INDEX(REDOSLIJED!A:A,MATCH(PlanMasine[[#This Row],[KPL]],REDOSLIJED!B:B,0)),MAX(REDOSLIJED!A:A)+1)</f>
        <v>45</v>
      </c>
      <c r="S192" s="9">
        <f>SUM($M$2:M192)</f>
        <v>8.3922222222222338</v>
      </c>
      <c r="T192" s="3">
        <f>PlanMasine[[#This Row],[Datum SAS]]-1</f>
        <v>45809</v>
      </c>
      <c r="U192">
        <f>WEEKDAY(PlanMasine[[#This Row],[ZAVRŠETAK MAŠINSKE]],2)</f>
        <v>7</v>
      </c>
      <c r="V192" s="3">
        <f>IF(WEEKDAY(PlanMasine[[#This Row],[Datum SAS]]-1,2)=7,PlanMasine[[#This Row],[Datum SAS]]-3,PlanMasine[[#This Row],[Datum SAS]]-1)</f>
        <v>45807</v>
      </c>
      <c r="W192">
        <f>WEEKNUM(PlanMasine[[#This Row],[Column2]],1)</f>
        <v>22</v>
      </c>
    </row>
    <row r="193" spans="1:23" x14ac:dyDescent="0.35">
      <c r="A193">
        <v>1018483</v>
      </c>
      <c r="B193">
        <v>1</v>
      </c>
      <c r="C193">
        <v>1018540</v>
      </c>
      <c r="D193" t="s">
        <v>1865</v>
      </c>
      <c r="E193">
        <v>15</v>
      </c>
      <c r="F193">
        <v>1</v>
      </c>
      <c r="G193">
        <v>0</v>
      </c>
      <c r="H193">
        <v>0</v>
      </c>
      <c r="I193" t="s">
        <v>24</v>
      </c>
      <c r="J193" t="s">
        <v>597</v>
      </c>
      <c r="K193" t="s">
        <v>1891</v>
      </c>
      <c r="L193" s="3">
        <v>45820</v>
      </c>
      <c r="M193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1.0416666666666666E-2</v>
      </c>
      <c r="N193" s="3">
        <v>45810</v>
      </c>
      <c r="O193" s="5">
        <f>IFERROR((PlanMasine[[#This Row],[Norma]]/PlanMasine[[#This Row],[Q]])*(PlanMasine[[#This Row],[Q]]/SUMIF(C:C,PlanMasine[[#This Row],[RN]],B:B)*PlanMasine[[#This Row],[KPLQ]]),0)</f>
        <v>15</v>
      </c>
      <c r="P193">
        <v>180182</v>
      </c>
      <c r="Q193">
        <f>COUNTIF(PROMJENA!A:A,PlanMasine[[#This Row],[KPL]]&amp;"-"&amp;PlanMasine[[#This Row],[RN]])</f>
        <v>0</v>
      </c>
      <c r="R193">
        <f>IFERROR(INDEX(REDOSLIJED!A:A,MATCH(PlanMasine[[#This Row],[KPL]],REDOSLIJED!B:B,0)),MAX(REDOSLIJED!A:A)+1)</f>
        <v>45</v>
      </c>
      <c r="S193" s="9">
        <f>SUM($M$2:M193)</f>
        <v>8.4026388888888999</v>
      </c>
      <c r="T193" s="3">
        <f>PlanMasine[[#This Row],[Datum SAS]]-1</f>
        <v>45809</v>
      </c>
      <c r="U193">
        <f>WEEKDAY(PlanMasine[[#This Row],[ZAVRŠETAK MAŠINSKE]],2)</f>
        <v>7</v>
      </c>
      <c r="V193" s="3">
        <f>IF(WEEKDAY(PlanMasine[[#This Row],[Datum SAS]]-1,2)=7,PlanMasine[[#This Row],[Datum SAS]]-3,PlanMasine[[#This Row],[Datum SAS]]-1)</f>
        <v>45807</v>
      </c>
      <c r="W193">
        <f>WEEKNUM(PlanMasine[[#This Row],[Column2]],1)</f>
        <v>22</v>
      </c>
    </row>
    <row r="194" spans="1:23" x14ac:dyDescent="0.35">
      <c r="A194">
        <v>1021655</v>
      </c>
      <c r="B194">
        <v>1</v>
      </c>
      <c r="C194">
        <v>1021700</v>
      </c>
      <c r="D194" t="s">
        <v>1860</v>
      </c>
      <c r="E194">
        <v>60</v>
      </c>
      <c r="F194">
        <v>1</v>
      </c>
      <c r="G194">
        <v>0</v>
      </c>
      <c r="H194">
        <v>0</v>
      </c>
      <c r="I194" t="s">
        <v>24</v>
      </c>
      <c r="J194" t="s">
        <v>597</v>
      </c>
      <c r="K194" t="s">
        <v>1892</v>
      </c>
      <c r="L194" s="3">
        <v>45825</v>
      </c>
      <c r="M194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4.1666666666666664E-2</v>
      </c>
      <c r="N194" s="3">
        <v>45810</v>
      </c>
      <c r="O194" s="5">
        <f>IFERROR((PlanMasine[[#This Row],[Norma]]/PlanMasine[[#This Row],[Q]])*(PlanMasine[[#This Row],[Q]]/SUMIF(C:C,PlanMasine[[#This Row],[RN]],B:B)*PlanMasine[[#This Row],[KPLQ]]),0)</f>
        <v>60</v>
      </c>
      <c r="P194">
        <v>179960</v>
      </c>
      <c r="Q194">
        <f>COUNTIF(PROMJENA!A:A,PlanMasine[[#This Row],[KPL]]&amp;"-"&amp;PlanMasine[[#This Row],[RN]])</f>
        <v>0</v>
      </c>
      <c r="R194">
        <f>IFERROR(INDEX(REDOSLIJED!A:A,MATCH(PlanMasine[[#This Row],[KPL]],REDOSLIJED!B:B,0)),MAX(REDOSLIJED!A:A)+1)</f>
        <v>45</v>
      </c>
      <c r="S194" s="9">
        <f>SUM($M$2:M194)</f>
        <v>8.4443055555555659</v>
      </c>
      <c r="T194" s="3">
        <f>PlanMasine[[#This Row],[Datum SAS]]-1</f>
        <v>45809</v>
      </c>
      <c r="U194">
        <f>WEEKDAY(PlanMasine[[#This Row],[ZAVRŠETAK MAŠINSKE]],2)</f>
        <v>7</v>
      </c>
      <c r="V194" s="3">
        <f>IF(WEEKDAY(PlanMasine[[#This Row],[Datum SAS]]-1,2)=7,PlanMasine[[#This Row],[Datum SAS]]-3,PlanMasine[[#This Row],[Datum SAS]]-1)</f>
        <v>45807</v>
      </c>
      <c r="W194">
        <f>WEEKNUM(PlanMasine[[#This Row],[Column2]],1)</f>
        <v>22</v>
      </c>
    </row>
    <row r="195" spans="1:23" x14ac:dyDescent="0.35">
      <c r="A195">
        <v>1021655</v>
      </c>
      <c r="B195">
        <v>1</v>
      </c>
      <c r="C195">
        <v>1021680</v>
      </c>
      <c r="D195" t="s">
        <v>1861</v>
      </c>
      <c r="E195">
        <v>60</v>
      </c>
      <c r="F195">
        <v>1</v>
      </c>
      <c r="G195">
        <v>0</v>
      </c>
      <c r="H195">
        <v>0</v>
      </c>
      <c r="I195" t="s">
        <v>24</v>
      </c>
      <c r="J195" t="s">
        <v>597</v>
      </c>
      <c r="K195" t="s">
        <v>1892</v>
      </c>
      <c r="L195" s="3">
        <v>45825</v>
      </c>
      <c r="M195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4.1666666666666664E-2</v>
      </c>
      <c r="N195" s="3">
        <v>45810</v>
      </c>
      <c r="O195" s="5">
        <f>IFERROR((PlanMasine[[#This Row],[Norma]]/PlanMasine[[#This Row],[Q]])*(PlanMasine[[#This Row],[Q]]/SUMIF(C:C,PlanMasine[[#This Row],[RN]],B:B)*PlanMasine[[#This Row],[KPLQ]]),0)</f>
        <v>60</v>
      </c>
      <c r="P195">
        <v>179940</v>
      </c>
      <c r="Q195">
        <f>COUNTIF(PROMJENA!A:A,PlanMasine[[#This Row],[KPL]]&amp;"-"&amp;PlanMasine[[#This Row],[RN]])</f>
        <v>0</v>
      </c>
      <c r="R195">
        <f>IFERROR(INDEX(REDOSLIJED!A:A,MATCH(PlanMasine[[#This Row],[KPL]],REDOSLIJED!B:B,0)),MAX(REDOSLIJED!A:A)+1)</f>
        <v>45</v>
      </c>
      <c r="S195" s="9">
        <f>SUM($M$2:M195)</f>
        <v>8.485972222222232</v>
      </c>
      <c r="T195" s="3">
        <f>PlanMasine[[#This Row],[Datum SAS]]-1</f>
        <v>45809</v>
      </c>
      <c r="U195">
        <f>WEEKDAY(PlanMasine[[#This Row],[ZAVRŠETAK MAŠINSKE]],2)</f>
        <v>7</v>
      </c>
      <c r="V195" s="3">
        <f>IF(WEEKDAY(PlanMasine[[#This Row],[Datum SAS]]-1,2)=7,PlanMasine[[#This Row],[Datum SAS]]-3,PlanMasine[[#This Row],[Datum SAS]]-1)</f>
        <v>45807</v>
      </c>
      <c r="W195">
        <f>WEEKNUM(PlanMasine[[#This Row],[Column2]],1)</f>
        <v>22</v>
      </c>
    </row>
    <row r="196" spans="1:23" x14ac:dyDescent="0.35">
      <c r="A196">
        <v>1021655</v>
      </c>
      <c r="B196">
        <v>1</v>
      </c>
      <c r="C196">
        <v>1021726</v>
      </c>
      <c r="D196" t="s">
        <v>1832</v>
      </c>
      <c r="E196">
        <v>7</v>
      </c>
      <c r="F196">
        <v>1</v>
      </c>
      <c r="G196">
        <v>0</v>
      </c>
      <c r="H196">
        <v>0</v>
      </c>
      <c r="I196" t="s">
        <v>24</v>
      </c>
      <c r="J196" t="s">
        <v>597</v>
      </c>
      <c r="K196" t="s">
        <v>1892</v>
      </c>
      <c r="L196" s="3">
        <v>45825</v>
      </c>
      <c r="M196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4.8611111111111112E-3</v>
      </c>
      <c r="N196" s="3">
        <v>45810</v>
      </c>
      <c r="O196" s="5">
        <f>IFERROR((PlanMasine[[#This Row],[Norma]]/PlanMasine[[#This Row],[Q]])*(PlanMasine[[#This Row],[Q]]/SUMIF(C:C,PlanMasine[[#This Row],[RN]],B:B)*PlanMasine[[#This Row],[KPLQ]]),0)</f>
        <v>7</v>
      </c>
      <c r="P196">
        <v>179986</v>
      </c>
      <c r="Q196">
        <f>COUNTIF(PROMJENA!A:A,PlanMasine[[#This Row],[KPL]]&amp;"-"&amp;PlanMasine[[#This Row],[RN]])</f>
        <v>0</v>
      </c>
      <c r="R196">
        <f>IFERROR(INDEX(REDOSLIJED!A:A,MATCH(PlanMasine[[#This Row],[KPL]],REDOSLIJED!B:B,0)),MAX(REDOSLIJED!A:A)+1)</f>
        <v>45</v>
      </c>
      <c r="S196" s="9">
        <f>SUM($M$2:M196)</f>
        <v>8.4908333333333434</v>
      </c>
      <c r="T196" s="3">
        <f>PlanMasine[[#This Row],[Datum SAS]]-1</f>
        <v>45809</v>
      </c>
      <c r="U196">
        <f>WEEKDAY(PlanMasine[[#This Row],[ZAVRŠETAK MAŠINSKE]],2)</f>
        <v>7</v>
      </c>
      <c r="V196" s="3">
        <f>IF(WEEKDAY(PlanMasine[[#This Row],[Datum SAS]]-1,2)=7,PlanMasine[[#This Row],[Datum SAS]]-3,PlanMasine[[#This Row],[Datum SAS]]-1)</f>
        <v>45807</v>
      </c>
      <c r="W196">
        <f>WEEKNUM(PlanMasine[[#This Row],[Column2]],1)</f>
        <v>22</v>
      </c>
    </row>
    <row r="197" spans="1:23" x14ac:dyDescent="0.35">
      <c r="A197">
        <v>1021769</v>
      </c>
      <c r="B197">
        <v>1</v>
      </c>
      <c r="C197">
        <v>1021762</v>
      </c>
      <c r="D197" t="s">
        <v>949</v>
      </c>
      <c r="E197">
        <v>10</v>
      </c>
      <c r="F197">
        <v>1</v>
      </c>
      <c r="G197">
        <v>0</v>
      </c>
      <c r="H197">
        <v>0</v>
      </c>
      <c r="I197" t="s">
        <v>24</v>
      </c>
      <c r="J197" t="s">
        <v>597</v>
      </c>
      <c r="K197" t="s">
        <v>1893</v>
      </c>
      <c r="L197" s="3">
        <v>45817</v>
      </c>
      <c r="M197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6.9444444444444441E-3</v>
      </c>
      <c r="N197" s="3">
        <v>45810</v>
      </c>
      <c r="O197" s="5">
        <f>IFERROR((PlanMasine[[#This Row],[Norma]]/PlanMasine[[#This Row],[Q]])*(PlanMasine[[#This Row],[Q]]/SUMIF(C:C,PlanMasine[[#This Row],[RN]],B:B)*PlanMasine[[#This Row],[KPLQ]]),0)</f>
        <v>10</v>
      </c>
      <c r="P197">
        <v>190462</v>
      </c>
      <c r="Q197">
        <f>COUNTIF(PROMJENA!A:A,PlanMasine[[#This Row],[KPL]]&amp;"-"&amp;PlanMasine[[#This Row],[RN]])</f>
        <v>0</v>
      </c>
      <c r="R197">
        <f>IFERROR(INDEX(REDOSLIJED!A:A,MATCH(PlanMasine[[#This Row],[KPL]],REDOSLIJED!B:B,0)),MAX(REDOSLIJED!A:A)+1)</f>
        <v>45</v>
      </c>
      <c r="S197" s="9">
        <f>SUM($M$2:M197)</f>
        <v>8.4977777777777881</v>
      </c>
      <c r="T197" s="3">
        <f>PlanMasine[[#This Row],[Datum SAS]]-1</f>
        <v>45809</v>
      </c>
      <c r="U197">
        <f>WEEKDAY(PlanMasine[[#This Row],[ZAVRŠETAK MAŠINSKE]],2)</f>
        <v>7</v>
      </c>
      <c r="V197" s="3">
        <f>IF(WEEKDAY(PlanMasine[[#This Row],[Datum SAS]]-1,2)=7,PlanMasine[[#This Row],[Datum SAS]]-3,PlanMasine[[#This Row],[Datum SAS]]-1)</f>
        <v>45807</v>
      </c>
      <c r="W197">
        <f>WEEKNUM(PlanMasine[[#This Row],[Column2]],1)</f>
        <v>22</v>
      </c>
    </row>
    <row r="198" spans="1:23" x14ac:dyDescent="0.35">
      <c r="A198">
        <v>1021769</v>
      </c>
      <c r="B198">
        <v>1</v>
      </c>
      <c r="C198">
        <v>1021753</v>
      </c>
      <c r="D198" t="s">
        <v>1052</v>
      </c>
      <c r="E198">
        <v>50</v>
      </c>
      <c r="F198">
        <v>1</v>
      </c>
      <c r="G198">
        <v>0</v>
      </c>
      <c r="H198">
        <v>0</v>
      </c>
      <c r="I198" t="s">
        <v>24</v>
      </c>
      <c r="J198" t="s">
        <v>597</v>
      </c>
      <c r="K198" t="s">
        <v>1893</v>
      </c>
      <c r="L198" s="3">
        <v>45817</v>
      </c>
      <c r="M198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3.4722222222222224E-2</v>
      </c>
      <c r="N198" s="3">
        <v>45810</v>
      </c>
      <c r="O198" s="5">
        <f>IFERROR((PlanMasine[[#This Row],[Norma]]/PlanMasine[[#This Row],[Q]])*(PlanMasine[[#This Row],[Q]]/SUMIF(C:C,PlanMasine[[#This Row],[RN]],B:B)*PlanMasine[[#This Row],[KPLQ]]),0)</f>
        <v>50</v>
      </c>
      <c r="P198">
        <v>190453</v>
      </c>
      <c r="Q198">
        <f>COUNTIF(PROMJENA!A:A,PlanMasine[[#This Row],[KPL]]&amp;"-"&amp;PlanMasine[[#This Row],[RN]])</f>
        <v>0</v>
      </c>
      <c r="R198">
        <f>IFERROR(INDEX(REDOSLIJED!A:A,MATCH(PlanMasine[[#This Row],[KPL]],REDOSLIJED!B:B,0)),MAX(REDOSLIJED!A:A)+1)</f>
        <v>45</v>
      </c>
      <c r="S198" s="9">
        <f>SUM($M$2:M198)</f>
        <v>8.5325000000000095</v>
      </c>
      <c r="T198" s="3">
        <f>PlanMasine[[#This Row],[Datum SAS]]-1</f>
        <v>45809</v>
      </c>
      <c r="U198">
        <f>WEEKDAY(PlanMasine[[#This Row],[ZAVRŠETAK MAŠINSKE]],2)</f>
        <v>7</v>
      </c>
      <c r="V198" s="3">
        <f>IF(WEEKDAY(PlanMasine[[#This Row],[Datum SAS]]-1,2)=7,PlanMasine[[#This Row],[Datum SAS]]-3,PlanMasine[[#This Row],[Datum SAS]]-1)</f>
        <v>45807</v>
      </c>
      <c r="W198">
        <f>WEEKNUM(PlanMasine[[#This Row],[Column2]],1)</f>
        <v>22</v>
      </c>
    </row>
    <row r="199" spans="1:23" x14ac:dyDescent="0.35">
      <c r="A199">
        <v>1022657</v>
      </c>
      <c r="B199">
        <v>1</v>
      </c>
      <c r="C199">
        <v>1022670</v>
      </c>
      <c r="D199" t="s">
        <v>1794</v>
      </c>
      <c r="E199">
        <v>60</v>
      </c>
      <c r="F199">
        <v>3</v>
      </c>
      <c r="G199">
        <v>0</v>
      </c>
      <c r="H199">
        <v>0</v>
      </c>
      <c r="I199" t="s">
        <v>24</v>
      </c>
      <c r="J199" t="s">
        <v>597</v>
      </c>
      <c r="K199" t="s">
        <v>1894</v>
      </c>
      <c r="L199" s="3">
        <v>45840</v>
      </c>
      <c r="M199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1.3888888888888888E-2</v>
      </c>
      <c r="N199" s="3">
        <v>45810</v>
      </c>
      <c r="O199" s="5">
        <f>IFERROR((PlanMasine[[#This Row],[Norma]]/PlanMasine[[#This Row],[Q]])*(PlanMasine[[#This Row],[Q]]/SUMIF(C:C,PlanMasine[[#This Row],[RN]],B:B)*PlanMasine[[#This Row],[KPLQ]]),0)</f>
        <v>20</v>
      </c>
      <c r="P199">
        <v>175594</v>
      </c>
      <c r="Q199">
        <f>COUNTIF(PROMJENA!A:A,PlanMasine[[#This Row],[KPL]]&amp;"-"&amp;PlanMasine[[#This Row],[RN]])</f>
        <v>0</v>
      </c>
      <c r="R199">
        <f>IFERROR(INDEX(REDOSLIJED!A:A,MATCH(PlanMasine[[#This Row],[KPL]],REDOSLIJED!B:B,0)),MAX(REDOSLIJED!A:A)+1)</f>
        <v>45</v>
      </c>
      <c r="S199" s="9">
        <f>SUM($M$2:M199)</f>
        <v>8.5463888888888988</v>
      </c>
      <c r="T199" s="3">
        <f>PlanMasine[[#This Row],[Datum SAS]]-1</f>
        <v>45809</v>
      </c>
      <c r="U199">
        <f>WEEKDAY(PlanMasine[[#This Row],[ZAVRŠETAK MAŠINSKE]],2)</f>
        <v>7</v>
      </c>
      <c r="V199" s="3">
        <f>IF(WEEKDAY(PlanMasine[[#This Row],[Datum SAS]]-1,2)=7,PlanMasine[[#This Row],[Datum SAS]]-3,PlanMasine[[#This Row],[Datum SAS]]-1)</f>
        <v>45807</v>
      </c>
      <c r="W199">
        <f>WEEKNUM(PlanMasine[[#This Row],[Column2]],1)</f>
        <v>22</v>
      </c>
    </row>
    <row r="200" spans="1:23" x14ac:dyDescent="0.35">
      <c r="A200">
        <v>1022657</v>
      </c>
      <c r="B200">
        <v>1</v>
      </c>
      <c r="C200">
        <v>1022710</v>
      </c>
      <c r="D200" t="s">
        <v>1798</v>
      </c>
      <c r="E200">
        <v>90</v>
      </c>
      <c r="F200">
        <v>3</v>
      </c>
      <c r="G200">
        <v>0</v>
      </c>
      <c r="H200">
        <v>0</v>
      </c>
      <c r="I200" t="s">
        <v>24</v>
      </c>
      <c r="J200" t="s">
        <v>597</v>
      </c>
      <c r="K200" t="s">
        <v>1894</v>
      </c>
      <c r="L200" s="3">
        <v>45840</v>
      </c>
      <c r="M200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2.0833333333333332E-2</v>
      </c>
      <c r="N200" s="3">
        <v>45810</v>
      </c>
      <c r="O200" s="5">
        <f>IFERROR((PlanMasine[[#This Row],[Norma]]/PlanMasine[[#This Row],[Q]])*(PlanMasine[[#This Row],[Q]]/SUMIF(C:C,PlanMasine[[#This Row],[RN]],B:B)*PlanMasine[[#This Row],[KPLQ]]),0)</f>
        <v>30</v>
      </c>
      <c r="P200">
        <v>175634</v>
      </c>
      <c r="Q200">
        <f>COUNTIF(PROMJENA!A:A,PlanMasine[[#This Row],[KPL]]&amp;"-"&amp;PlanMasine[[#This Row],[RN]])</f>
        <v>0</v>
      </c>
      <c r="R200">
        <f>IFERROR(INDEX(REDOSLIJED!A:A,MATCH(PlanMasine[[#This Row],[KPL]],REDOSLIJED!B:B,0)),MAX(REDOSLIJED!A:A)+1)</f>
        <v>45</v>
      </c>
      <c r="S200" s="9">
        <f>SUM($M$2:M200)</f>
        <v>8.5672222222222327</v>
      </c>
      <c r="T200" s="3">
        <f>PlanMasine[[#This Row],[Datum SAS]]-1</f>
        <v>45809</v>
      </c>
      <c r="U200">
        <f>WEEKDAY(PlanMasine[[#This Row],[ZAVRŠETAK MAŠINSKE]],2)</f>
        <v>7</v>
      </c>
      <c r="V200" s="3">
        <f>IF(WEEKDAY(PlanMasine[[#This Row],[Datum SAS]]-1,2)=7,PlanMasine[[#This Row],[Datum SAS]]-3,PlanMasine[[#This Row],[Datum SAS]]-1)</f>
        <v>45807</v>
      </c>
      <c r="W200">
        <f>WEEKNUM(PlanMasine[[#This Row],[Column2]],1)</f>
        <v>22</v>
      </c>
    </row>
    <row r="201" spans="1:23" x14ac:dyDescent="0.35">
      <c r="A201">
        <v>1022657</v>
      </c>
      <c r="B201">
        <v>1</v>
      </c>
      <c r="C201">
        <v>1022707</v>
      </c>
      <c r="D201" t="s">
        <v>1309</v>
      </c>
      <c r="E201">
        <v>45</v>
      </c>
      <c r="F201">
        <v>3</v>
      </c>
      <c r="G201">
        <v>0</v>
      </c>
      <c r="H201">
        <v>0</v>
      </c>
      <c r="I201" t="s">
        <v>24</v>
      </c>
      <c r="J201" t="s">
        <v>597</v>
      </c>
      <c r="K201" t="s">
        <v>1894</v>
      </c>
      <c r="L201" s="3">
        <v>45840</v>
      </c>
      <c r="M201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1.0416666666666666E-2</v>
      </c>
      <c r="N201" s="3">
        <v>45810</v>
      </c>
      <c r="O201" s="5">
        <f>IFERROR((PlanMasine[[#This Row],[Norma]]/PlanMasine[[#This Row],[Q]])*(PlanMasine[[#This Row],[Q]]/SUMIF(C:C,PlanMasine[[#This Row],[RN]],B:B)*PlanMasine[[#This Row],[KPLQ]]),0)</f>
        <v>15</v>
      </c>
      <c r="P201">
        <v>175631</v>
      </c>
      <c r="Q201">
        <f>COUNTIF(PROMJENA!A:A,PlanMasine[[#This Row],[KPL]]&amp;"-"&amp;PlanMasine[[#This Row],[RN]])</f>
        <v>0</v>
      </c>
      <c r="R201">
        <f>IFERROR(INDEX(REDOSLIJED!A:A,MATCH(PlanMasine[[#This Row],[KPL]],REDOSLIJED!B:B,0)),MAX(REDOSLIJED!A:A)+1)</f>
        <v>45</v>
      </c>
      <c r="S201" s="9">
        <f>SUM($M$2:M201)</f>
        <v>8.5776388888888988</v>
      </c>
      <c r="T201" s="3">
        <f>PlanMasine[[#This Row],[Datum SAS]]-1</f>
        <v>45809</v>
      </c>
      <c r="U201">
        <f>WEEKDAY(PlanMasine[[#This Row],[ZAVRŠETAK MAŠINSKE]],2)</f>
        <v>7</v>
      </c>
      <c r="V201" s="3">
        <f>IF(WEEKDAY(PlanMasine[[#This Row],[Datum SAS]]-1,2)=7,PlanMasine[[#This Row],[Datum SAS]]-3,PlanMasine[[#This Row],[Datum SAS]]-1)</f>
        <v>45807</v>
      </c>
      <c r="W201">
        <f>WEEKNUM(PlanMasine[[#This Row],[Column2]],1)</f>
        <v>22</v>
      </c>
    </row>
    <row r="202" spans="1:23" x14ac:dyDescent="0.35">
      <c r="A202">
        <v>1022657</v>
      </c>
      <c r="B202">
        <v>1</v>
      </c>
      <c r="C202">
        <v>1022703</v>
      </c>
      <c r="D202" t="s">
        <v>1796</v>
      </c>
      <c r="E202">
        <v>105</v>
      </c>
      <c r="F202">
        <v>3</v>
      </c>
      <c r="G202">
        <v>0</v>
      </c>
      <c r="H202">
        <v>0</v>
      </c>
      <c r="I202" t="s">
        <v>24</v>
      </c>
      <c r="J202" t="s">
        <v>597</v>
      </c>
      <c r="K202" t="s">
        <v>1894</v>
      </c>
      <c r="L202" s="3">
        <v>45840</v>
      </c>
      <c r="M202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2.4305555555555556E-2</v>
      </c>
      <c r="N202" s="3">
        <v>45810</v>
      </c>
      <c r="O202" s="5">
        <f>IFERROR((PlanMasine[[#This Row],[Norma]]/PlanMasine[[#This Row],[Q]])*(PlanMasine[[#This Row],[Q]]/SUMIF(C:C,PlanMasine[[#This Row],[RN]],B:B)*PlanMasine[[#This Row],[KPLQ]]),0)</f>
        <v>35</v>
      </c>
      <c r="P202">
        <v>175627</v>
      </c>
      <c r="Q202">
        <f>COUNTIF(PROMJENA!A:A,PlanMasine[[#This Row],[KPL]]&amp;"-"&amp;PlanMasine[[#This Row],[RN]])</f>
        <v>0</v>
      </c>
      <c r="R202">
        <f>IFERROR(INDEX(REDOSLIJED!A:A,MATCH(PlanMasine[[#This Row],[KPL]],REDOSLIJED!B:B,0)),MAX(REDOSLIJED!A:A)+1)</f>
        <v>45</v>
      </c>
      <c r="S202" s="9">
        <f>SUM($M$2:M202)</f>
        <v>8.6019444444444542</v>
      </c>
      <c r="T202" s="3">
        <f>PlanMasine[[#This Row],[Datum SAS]]-1</f>
        <v>45809</v>
      </c>
      <c r="U202">
        <f>WEEKDAY(PlanMasine[[#This Row],[ZAVRŠETAK MAŠINSKE]],2)</f>
        <v>7</v>
      </c>
      <c r="V202" s="3">
        <f>IF(WEEKDAY(PlanMasine[[#This Row],[Datum SAS]]-1,2)=7,PlanMasine[[#This Row],[Datum SAS]]-3,PlanMasine[[#This Row],[Datum SAS]]-1)</f>
        <v>45807</v>
      </c>
      <c r="W202">
        <f>WEEKNUM(PlanMasine[[#This Row],[Column2]],1)</f>
        <v>22</v>
      </c>
    </row>
    <row r="203" spans="1:23" x14ac:dyDescent="0.35">
      <c r="A203">
        <v>1022657</v>
      </c>
      <c r="B203">
        <v>1</v>
      </c>
      <c r="C203">
        <v>1022706</v>
      </c>
      <c r="D203" t="s">
        <v>1797</v>
      </c>
      <c r="E203">
        <v>270</v>
      </c>
      <c r="F203">
        <v>6</v>
      </c>
      <c r="G203">
        <v>0</v>
      </c>
      <c r="H203">
        <v>0</v>
      </c>
      <c r="I203" t="s">
        <v>24</v>
      </c>
      <c r="J203" t="s">
        <v>597</v>
      </c>
      <c r="K203" t="s">
        <v>1894</v>
      </c>
      <c r="L203" s="3">
        <v>45840</v>
      </c>
      <c r="M203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6.25E-2</v>
      </c>
      <c r="N203" s="3">
        <v>45810</v>
      </c>
      <c r="O203" s="5">
        <f>IFERROR((PlanMasine[[#This Row],[Norma]]/PlanMasine[[#This Row],[Q]])*(PlanMasine[[#This Row],[Q]]/SUMIF(C:C,PlanMasine[[#This Row],[RN]],B:B)*PlanMasine[[#This Row],[KPLQ]]),0)</f>
        <v>90</v>
      </c>
      <c r="P203">
        <v>175630</v>
      </c>
      <c r="Q203">
        <f>COUNTIF(PROMJENA!A:A,PlanMasine[[#This Row],[KPL]]&amp;"-"&amp;PlanMasine[[#This Row],[RN]])</f>
        <v>0</v>
      </c>
      <c r="R203">
        <f>IFERROR(INDEX(REDOSLIJED!A:A,MATCH(PlanMasine[[#This Row],[KPL]],REDOSLIJED!B:B,0)),MAX(REDOSLIJED!A:A)+1)</f>
        <v>45</v>
      </c>
      <c r="S203" s="9">
        <f>SUM($M$2:M203)</f>
        <v>8.6644444444444542</v>
      </c>
      <c r="T203" s="3">
        <f>PlanMasine[[#This Row],[Datum SAS]]-1</f>
        <v>45809</v>
      </c>
      <c r="U203">
        <f>WEEKDAY(PlanMasine[[#This Row],[ZAVRŠETAK MAŠINSKE]],2)</f>
        <v>7</v>
      </c>
      <c r="V203" s="3">
        <f>IF(WEEKDAY(PlanMasine[[#This Row],[Datum SAS]]-1,2)=7,PlanMasine[[#This Row],[Datum SAS]]-3,PlanMasine[[#This Row],[Datum SAS]]-1)</f>
        <v>45807</v>
      </c>
      <c r="W203">
        <f>WEEKNUM(PlanMasine[[#This Row],[Column2]],1)</f>
        <v>22</v>
      </c>
    </row>
    <row r="204" spans="1:23" x14ac:dyDescent="0.35">
      <c r="A204">
        <v>1022657</v>
      </c>
      <c r="B204">
        <v>1</v>
      </c>
      <c r="C204">
        <v>1022676</v>
      </c>
      <c r="D204" t="s">
        <v>1795</v>
      </c>
      <c r="E204">
        <v>75</v>
      </c>
      <c r="F204">
        <v>3</v>
      </c>
      <c r="G204">
        <v>0</v>
      </c>
      <c r="H204">
        <v>0</v>
      </c>
      <c r="I204" t="s">
        <v>24</v>
      </c>
      <c r="J204" t="s">
        <v>597</v>
      </c>
      <c r="K204" t="s">
        <v>1894</v>
      </c>
      <c r="L204" s="3">
        <v>45840</v>
      </c>
      <c r="M204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1.7361111111111112E-2</v>
      </c>
      <c r="N204" s="3">
        <v>45810</v>
      </c>
      <c r="O204" s="5">
        <f>IFERROR((PlanMasine[[#This Row],[Norma]]/PlanMasine[[#This Row],[Q]])*(PlanMasine[[#This Row],[Q]]/SUMIF(C:C,PlanMasine[[#This Row],[RN]],B:B)*PlanMasine[[#This Row],[KPLQ]]),0)</f>
        <v>25</v>
      </c>
      <c r="P204">
        <v>175600</v>
      </c>
      <c r="Q204">
        <f>COUNTIF(PROMJENA!A:A,PlanMasine[[#This Row],[KPL]]&amp;"-"&amp;PlanMasine[[#This Row],[RN]])</f>
        <v>0</v>
      </c>
      <c r="R204">
        <f>IFERROR(INDEX(REDOSLIJED!A:A,MATCH(PlanMasine[[#This Row],[KPL]],REDOSLIJED!B:B,0)),MAX(REDOSLIJED!A:A)+1)</f>
        <v>45</v>
      </c>
      <c r="S204" s="9">
        <f>SUM($M$2:M204)</f>
        <v>8.6818055555555649</v>
      </c>
      <c r="T204" s="3">
        <f>PlanMasine[[#This Row],[Datum SAS]]-1</f>
        <v>45809</v>
      </c>
      <c r="U204">
        <f>WEEKDAY(PlanMasine[[#This Row],[ZAVRŠETAK MAŠINSKE]],2)</f>
        <v>7</v>
      </c>
      <c r="V204" s="3">
        <f>IF(WEEKDAY(PlanMasine[[#This Row],[Datum SAS]]-1,2)=7,PlanMasine[[#This Row],[Datum SAS]]-3,PlanMasine[[#This Row],[Datum SAS]]-1)</f>
        <v>45807</v>
      </c>
      <c r="W204">
        <f>WEEKNUM(PlanMasine[[#This Row],[Column2]],1)</f>
        <v>22</v>
      </c>
    </row>
    <row r="205" spans="1:23" x14ac:dyDescent="0.35">
      <c r="A205">
        <v>1022658</v>
      </c>
      <c r="B205">
        <v>1</v>
      </c>
      <c r="C205">
        <v>1022676</v>
      </c>
      <c r="D205" t="s">
        <v>1795</v>
      </c>
      <c r="E205">
        <v>75</v>
      </c>
      <c r="F205">
        <v>3</v>
      </c>
      <c r="G205">
        <v>0</v>
      </c>
      <c r="H205">
        <v>0</v>
      </c>
      <c r="I205" t="s">
        <v>24</v>
      </c>
      <c r="J205" t="s">
        <v>597</v>
      </c>
      <c r="K205" t="s">
        <v>1894</v>
      </c>
      <c r="L205" s="3">
        <v>45840</v>
      </c>
      <c r="M205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1.7361111111111112E-2</v>
      </c>
      <c r="N205" s="3">
        <v>45810</v>
      </c>
      <c r="O205" s="5">
        <f>IFERROR((PlanMasine[[#This Row],[Norma]]/PlanMasine[[#This Row],[Q]])*(PlanMasine[[#This Row],[Q]]/SUMIF(C:C,PlanMasine[[#This Row],[RN]],B:B)*PlanMasine[[#This Row],[KPLQ]]),0)</f>
        <v>25</v>
      </c>
      <c r="P205">
        <v>175600</v>
      </c>
      <c r="Q205">
        <f>COUNTIF(PROMJENA!A:A,PlanMasine[[#This Row],[KPL]]&amp;"-"&amp;PlanMasine[[#This Row],[RN]])</f>
        <v>0</v>
      </c>
      <c r="R205">
        <f>IFERROR(INDEX(REDOSLIJED!A:A,MATCH(PlanMasine[[#This Row],[KPL]],REDOSLIJED!B:B,0)),MAX(REDOSLIJED!A:A)+1)</f>
        <v>45</v>
      </c>
      <c r="S205" s="9">
        <f>SUM($M$2:M205)</f>
        <v>8.6991666666666756</v>
      </c>
      <c r="T205" s="3">
        <f>PlanMasine[[#This Row],[Datum SAS]]-1</f>
        <v>45809</v>
      </c>
      <c r="U205">
        <f>WEEKDAY(PlanMasine[[#This Row],[ZAVRŠETAK MAŠINSKE]],2)</f>
        <v>7</v>
      </c>
      <c r="V205" s="3">
        <f>IF(WEEKDAY(PlanMasine[[#This Row],[Datum SAS]]-1,2)=7,PlanMasine[[#This Row],[Datum SAS]]-3,PlanMasine[[#This Row],[Datum SAS]]-1)</f>
        <v>45807</v>
      </c>
      <c r="W205">
        <f>WEEKNUM(PlanMasine[[#This Row],[Column2]],1)</f>
        <v>22</v>
      </c>
    </row>
    <row r="206" spans="1:23" x14ac:dyDescent="0.35">
      <c r="A206">
        <v>1022658</v>
      </c>
      <c r="B206">
        <v>1</v>
      </c>
      <c r="C206">
        <v>1022710</v>
      </c>
      <c r="D206" t="s">
        <v>1798</v>
      </c>
      <c r="E206">
        <v>90</v>
      </c>
      <c r="F206">
        <v>3</v>
      </c>
      <c r="G206">
        <v>0</v>
      </c>
      <c r="H206">
        <v>0</v>
      </c>
      <c r="I206" t="s">
        <v>24</v>
      </c>
      <c r="J206" t="s">
        <v>597</v>
      </c>
      <c r="K206" t="s">
        <v>1894</v>
      </c>
      <c r="L206" s="3">
        <v>45840</v>
      </c>
      <c r="M206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2.0833333333333332E-2</v>
      </c>
      <c r="N206" s="3">
        <v>45810</v>
      </c>
      <c r="O206" s="5">
        <f>IFERROR((PlanMasine[[#This Row],[Norma]]/PlanMasine[[#This Row],[Q]])*(PlanMasine[[#This Row],[Q]]/SUMIF(C:C,PlanMasine[[#This Row],[RN]],B:B)*PlanMasine[[#This Row],[KPLQ]]),0)</f>
        <v>30</v>
      </c>
      <c r="P206">
        <v>175634</v>
      </c>
      <c r="Q206">
        <f>COUNTIF(PROMJENA!A:A,PlanMasine[[#This Row],[KPL]]&amp;"-"&amp;PlanMasine[[#This Row],[RN]])</f>
        <v>0</v>
      </c>
      <c r="R206">
        <f>IFERROR(INDEX(REDOSLIJED!A:A,MATCH(PlanMasine[[#This Row],[KPL]],REDOSLIJED!B:B,0)),MAX(REDOSLIJED!A:A)+1)</f>
        <v>45</v>
      </c>
      <c r="S206" s="9">
        <f>SUM($M$2:M206)</f>
        <v>8.7200000000000095</v>
      </c>
      <c r="T206" s="3">
        <f>PlanMasine[[#This Row],[Datum SAS]]-1</f>
        <v>45809</v>
      </c>
      <c r="U206">
        <f>WEEKDAY(PlanMasine[[#This Row],[ZAVRŠETAK MAŠINSKE]],2)</f>
        <v>7</v>
      </c>
      <c r="V206" s="3">
        <f>IF(WEEKDAY(PlanMasine[[#This Row],[Datum SAS]]-1,2)=7,PlanMasine[[#This Row],[Datum SAS]]-3,PlanMasine[[#This Row],[Datum SAS]]-1)</f>
        <v>45807</v>
      </c>
      <c r="W206">
        <f>WEEKNUM(PlanMasine[[#This Row],[Column2]],1)</f>
        <v>22</v>
      </c>
    </row>
    <row r="207" spans="1:23" x14ac:dyDescent="0.35">
      <c r="A207">
        <v>1022658</v>
      </c>
      <c r="B207">
        <v>1</v>
      </c>
      <c r="C207">
        <v>1022706</v>
      </c>
      <c r="D207" t="s">
        <v>1797</v>
      </c>
      <c r="E207">
        <v>270</v>
      </c>
      <c r="F207">
        <v>6</v>
      </c>
      <c r="G207">
        <v>0</v>
      </c>
      <c r="H207">
        <v>0</v>
      </c>
      <c r="I207" t="s">
        <v>24</v>
      </c>
      <c r="J207" t="s">
        <v>597</v>
      </c>
      <c r="K207" t="s">
        <v>1894</v>
      </c>
      <c r="L207" s="3">
        <v>45840</v>
      </c>
      <c r="M207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6.25E-2</v>
      </c>
      <c r="N207" s="3">
        <v>45810</v>
      </c>
      <c r="O207" s="5">
        <f>IFERROR((PlanMasine[[#This Row],[Norma]]/PlanMasine[[#This Row],[Q]])*(PlanMasine[[#This Row],[Q]]/SUMIF(C:C,PlanMasine[[#This Row],[RN]],B:B)*PlanMasine[[#This Row],[KPLQ]]),0)</f>
        <v>90</v>
      </c>
      <c r="P207">
        <v>175630</v>
      </c>
      <c r="Q207">
        <f>COUNTIF(PROMJENA!A:A,PlanMasine[[#This Row],[KPL]]&amp;"-"&amp;PlanMasine[[#This Row],[RN]])</f>
        <v>0</v>
      </c>
      <c r="R207">
        <f>IFERROR(INDEX(REDOSLIJED!A:A,MATCH(PlanMasine[[#This Row],[KPL]],REDOSLIJED!B:B,0)),MAX(REDOSLIJED!A:A)+1)</f>
        <v>45</v>
      </c>
      <c r="S207" s="9">
        <f>SUM($M$2:M207)</f>
        <v>8.7825000000000095</v>
      </c>
      <c r="T207" s="3">
        <f>PlanMasine[[#This Row],[Datum SAS]]-1</f>
        <v>45809</v>
      </c>
      <c r="U207">
        <f>WEEKDAY(PlanMasine[[#This Row],[ZAVRŠETAK MAŠINSKE]],2)</f>
        <v>7</v>
      </c>
      <c r="V207" s="3">
        <f>IF(WEEKDAY(PlanMasine[[#This Row],[Datum SAS]]-1,2)=7,PlanMasine[[#This Row],[Datum SAS]]-3,PlanMasine[[#This Row],[Datum SAS]]-1)</f>
        <v>45807</v>
      </c>
      <c r="W207">
        <f>WEEKNUM(PlanMasine[[#This Row],[Column2]],1)</f>
        <v>22</v>
      </c>
    </row>
    <row r="208" spans="1:23" x14ac:dyDescent="0.35">
      <c r="A208">
        <v>1022658</v>
      </c>
      <c r="B208">
        <v>1</v>
      </c>
      <c r="C208">
        <v>1022703</v>
      </c>
      <c r="D208" t="s">
        <v>1796</v>
      </c>
      <c r="E208">
        <v>105</v>
      </c>
      <c r="F208">
        <v>3</v>
      </c>
      <c r="G208">
        <v>0</v>
      </c>
      <c r="H208">
        <v>0</v>
      </c>
      <c r="I208" t="s">
        <v>24</v>
      </c>
      <c r="J208" t="s">
        <v>597</v>
      </c>
      <c r="K208" t="s">
        <v>1894</v>
      </c>
      <c r="L208" s="3">
        <v>45840</v>
      </c>
      <c r="M208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2.4305555555555556E-2</v>
      </c>
      <c r="N208" s="3">
        <v>45810</v>
      </c>
      <c r="O208" s="5">
        <f>IFERROR((PlanMasine[[#This Row],[Norma]]/PlanMasine[[#This Row],[Q]])*(PlanMasine[[#This Row],[Q]]/SUMIF(C:C,PlanMasine[[#This Row],[RN]],B:B)*PlanMasine[[#This Row],[KPLQ]]),0)</f>
        <v>35</v>
      </c>
      <c r="P208">
        <v>175627</v>
      </c>
      <c r="Q208">
        <f>COUNTIF(PROMJENA!A:A,PlanMasine[[#This Row],[KPL]]&amp;"-"&amp;PlanMasine[[#This Row],[RN]])</f>
        <v>0</v>
      </c>
      <c r="R208">
        <f>IFERROR(INDEX(REDOSLIJED!A:A,MATCH(PlanMasine[[#This Row],[KPL]],REDOSLIJED!B:B,0)),MAX(REDOSLIJED!A:A)+1)</f>
        <v>45</v>
      </c>
      <c r="S208" s="9">
        <f>SUM($M$2:M208)</f>
        <v>8.8068055555555649</v>
      </c>
      <c r="T208" s="3">
        <f>PlanMasine[[#This Row],[Datum SAS]]-1</f>
        <v>45809</v>
      </c>
      <c r="U208">
        <f>WEEKDAY(PlanMasine[[#This Row],[ZAVRŠETAK MAŠINSKE]],2)</f>
        <v>7</v>
      </c>
      <c r="V208" s="3">
        <f>IF(WEEKDAY(PlanMasine[[#This Row],[Datum SAS]]-1,2)=7,PlanMasine[[#This Row],[Datum SAS]]-3,PlanMasine[[#This Row],[Datum SAS]]-1)</f>
        <v>45807</v>
      </c>
      <c r="W208">
        <f>WEEKNUM(PlanMasine[[#This Row],[Column2]],1)</f>
        <v>22</v>
      </c>
    </row>
    <row r="209" spans="1:23" x14ac:dyDescent="0.35">
      <c r="A209">
        <v>1022658</v>
      </c>
      <c r="B209">
        <v>1</v>
      </c>
      <c r="C209">
        <v>1022707</v>
      </c>
      <c r="D209" t="s">
        <v>1309</v>
      </c>
      <c r="E209">
        <v>45</v>
      </c>
      <c r="F209">
        <v>3</v>
      </c>
      <c r="G209">
        <v>0</v>
      </c>
      <c r="H209">
        <v>0</v>
      </c>
      <c r="I209" t="s">
        <v>24</v>
      </c>
      <c r="J209" t="s">
        <v>597</v>
      </c>
      <c r="K209" t="s">
        <v>1894</v>
      </c>
      <c r="L209" s="3">
        <v>45840</v>
      </c>
      <c r="M209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1.0416666666666666E-2</v>
      </c>
      <c r="N209" s="3">
        <v>45810</v>
      </c>
      <c r="O209" s="5">
        <f>IFERROR((PlanMasine[[#This Row],[Norma]]/PlanMasine[[#This Row],[Q]])*(PlanMasine[[#This Row],[Q]]/SUMIF(C:C,PlanMasine[[#This Row],[RN]],B:B)*PlanMasine[[#This Row],[KPLQ]]),0)</f>
        <v>15</v>
      </c>
      <c r="P209">
        <v>175631</v>
      </c>
      <c r="Q209">
        <f>COUNTIF(PROMJENA!A:A,PlanMasine[[#This Row],[KPL]]&amp;"-"&amp;PlanMasine[[#This Row],[RN]])</f>
        <v>0</v>
      </c>
      <c r="R209">
        <f>IFERROR(INDEX(REDOSLIJED!A:A,MATCH(PlanMasine[[#This Row],[KPL]],REDOSLIJED!B:B,0)),MAX(REDOSLIJED!A:A)+1)</f>
        <v>45</v>
      </c>
      <c r="S209" s="9">
        <f>SUM($M$2:M209)</f>
        <v>8.817222222222231</v>
      </c>
      <c r="T209" s="3">
        <f>PlanMasine[[#This Row],[Datum SAS]]-1</f>
        <v>45809</v>
      </c>
      <c r="U209">
        <f>WEEKDAY(PlanMasine[[#This Row],[ZAVRŠETAK MAŠINSKE]],2)</f>
        <v>7</v>
      </c>
      <c r="V209" s="3">
        <f>IF(WEEKDAY(PlanMasine[[#This Row],[Datum SAS]]-1,2)=7,PlanMasine[[#This Row],[Datum SAS]]-3,PlanMasine[[#This Row],[Datum SAS]]-1)</f>
        <v>45807</v>
      </c>
      <c r="W209">
        <f>WEEKNUM(PlanMasine[[#This Row],[Column2]],1)</f>
        <v>22</v>
      </c>
    </row>
    <row r="210" spans="1:23" x14ac:dyDescent="0.35">
      <c r="A210">
        <v>1022658</v>
      </c>
      <c r="B210">
        <v>1</v>
      </c>
      <c r="C210">
        <v>1022670</v>
      </c>
      <c r="D210" t="s">
        <v>1794</v>
      </c>
      <c r="E210">
        <v>60</v>
      </c>
      <c r="F210">
        <v>3</v>
      </c>
      <c r="G210">
        <v>0</v>
      </c>
      <c r="H210">
        <v>0</v>
      </c>
      <c r="I210" t="s">
        <v>24</v>
      </c>
      <c r="J210" t="s">
        <v>597</v>
      </c>
      <c r="K210" t="s">
        <v>1894</v>
      </c>
      <c r="L210" s="3">
        <v>45840</v>
      </c>
      <c r="M210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1.3888888888888888E-2</v>
      </c>
      <c r="N210" s="3">
        <v>45810</v>
      </c>
      <c r="O210" s="5">
        <f>IFERROR((PlanMasine[[#This Row],[Norma]]/PlanMasine[[#This Row],[Q]])*(PlanMasine[[#This Row],[Q]]/SUMIF(C:C,PlanMasine[[#This Row],[RN]],B:B)*PlanMasine[[#This Row],[KPLQ]]),0)</f>
        <v>20</v>
      </c>
      <c r="P210">
        <v>175594</v>
      </c>
      <c r="Q210">
        <f>COUNTIF(PROMJENA!A:A,PlanMasine[[#This Row],[KPL]]&amp;"-"&amp;PlanMasine[[#This Row],[RN]])</f>
        <v>0</v>
      </c>
      <c r="R210">
        <f>IFERROR(INDEX(REDOSLIJED!A:A,MATCH(PlanMasine[[#This Row],[KPL]],REDOSLIJED!B:B,0)),MAX(REDOSLIJED!A:A)+1)</f>
        <v>45</v>
      </c>
      <c r="S210" s="9">
        <f>SUM($M$2:M210)</f>
        <v>8.8311111111111202</v>
      </c>
      <c r="T210" s="3">
        <f>PlanMasine[[#This Row],[Datum SAS]]-1</f>
        <v>45809</v>
      </c>
      <c r="U210">
        <f>WEEKDAY(PlanMasine[[#This Row],[ZAVRŠETAK MAŠINSKE]],2)</f>
        <v>7</v>
      </c>
      <c r="V210" s="3">
        <f>IF(WEEKDAY(PlanMasine[[#This Row],[Datum SAS]]-1,2)=7,PlanMasine[[#This Row],[Datum SAS]]-3,PlanMasine[[#This Row],[Datum SAS]]-1)</f>
        <v>45807</v>
      </c>
      <c r="W210">
        <f>WEEKNUM(PlanMasine[[#This Row],[Column2]],1)</f>
        <v>22</v>
      </c>
    </row>
    <row r="211" spans="1:23" x14ac:dyDescent="0.35">
      <c r="A211">
        <v>1022659</v>
      </c>
      <c r="B211">
        <v>1</v>
      </c>
      <c r="C211">
        <v>1022710</v>
      </c>
      <c r="D211" t="s">
        <v>1798</v>
      </c>
      <c r="E211">
        <v>90</v>
      </c>
      <c r="F211">
        <v>3</v>
      </c>
      <c r="G211">
        <v>0</v>
      </c>
      <c r="H211">
        <v>0</v>
      </c>
      <c r="I211" t="s">
        <v>24</v>
      </c>
      <c r="J211" t="s">
        <v>597</v>
      </c>
      <c r="K211" t="s">
        <v>1894</v>
      </c>
      <c r="L211" s="3">
        <v>45840</v>
      </c>
      <c r="M211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2.0833333333333332E-2</v>
      </c>
      <c r="N211" s="3">
        <v>45810</v>
      </c>
      <c r="O211" s="5">
        <f>IFERROR((PlanMasine[[#This Row],[Norma]]/PlanMasine[[#This Row],[Q]])*(PlanMasine[[#This Row],[Q]]/SUMIF(C:C,PlanMasine[[#This Row],[RN]],B:B)*PlanMasine[[#This Row],[KPLQ]]),0)</f>
        <v>30</v>
      </c>
      <c r="P211">
        <v>175634</v>
      </c>
      <c r="Q211">
        <f>COUNTIF(PROMJENA!A:A,PlanMasine[[#This Row],[KPL]]&amp;"-"&amp;PlanMasine[[#This Row],[RN]])</f>
        <v>0</v>
      </c>
      <c r="R211">
        <f>IFERROR(INDEX(REDOSLIJED!A:A,MATCH(PlanMasine[[#This Row],[KPL]],REDOSLIJED!B:B,0)),MAX(REDOSLIJED!A:A)+1)</f>
        <v>45</v>
      </c>
      <c r="S211" s="9">
        <f>SUM($M$2:M211)</f>
        <v>8.8519444444444542</v>
      </c>
      <c r="T211" s="3">
        <f>PlanMasine[[#This Row],[Datum SAS]]-1</f>
        <v>45809</v>
      </c>
      <c r="U211">
        <f>WEEKDAY(PlanMasine[[#This Row],[ZAVRŠETAK MAŠINSKE]],2)</f>
        <v>7</v>
      </c>
      <c r="V211" s="3">
        <f>IF(WEEKDAY(PlanMasine[[#This Row],[Datum SAS]]-1,2)=7,PlanMasine[[#This Row],[Datum SAS]]-3,PlanMasine[[#This Row],[Datum SAS]]-1)</f>
        <v>45807</v>
      </c>
      <c r="W211">
        <f>WEEKNUM(PlanMasine[[#This Row],[Column2]],1)</f>
        <v>22</v>
      </c>
    </row>
    <row r="212" spans="1:23" x14ac:dyDescent="0.35">
      <c r="A212">
        <v>1022659</v>
      </c>
      <c r="B212">
        <v>1</v>
      </c>
      <c r="C212">
        <v>1022707</v>
      </c>
      <c r="D212" t="s">
        <v>1309</v>
      </c>
      <c r="E212">
        <v>45</v>
      </c>
      <c r="F212">
        <v>3</v>
      </c>
      <c r="G212">
        <v>0</v>
      </c>
      <c r="H212">
        <v>0</v>
      </c>
      <c r="I212" t="s">
        <v>24</v>
      </c>
      <c r="J212" t="s">
        <v>597</v>
      </c>
      <c r="K212" t="s">
        <v>1894</v>
      </c>
      <c r="L212" s="3">
        <v>45840</v>
      </c>
      <c r="M212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1.0416666666666666E-2</v>
      </c>
      <c r="N212" s="3">
        <v>45810</v>
      </c>
      <c r="O212" s="5">
        <f>IFERROR((PlanMasine[[#This Row],[Norma]]/PlanMasine[[#This Row],[Q]])*(PlanMasine[[#This Row],[Q]]/SUMIF(C:C,PlanMasine[[#This Row],[RN]],B:B)*PlanMasine[[#This Row],[KPLQ]]),0)</f>
        <v>15</v>
      </c>
      <c r="P212">
        <v>175631</v>
      </c>
      <c r="Q212">
        <f>COUNTIF(PROMJENA!A:A,PlanMasine[[#This Row],[KPL]]&amp;"-"&amp;PlanMasine[[#This Row],[RN]])</f>
        <v>0</v>
      </c>
      <c r="R212">
        <f>IFERROR(INDEX(REDOSLIJED!A:A,MATCH(PlanMasine[[#This Row],[KPL]],REDOSLIJED!B:B,0)),MAX(REDOSLIJED!A:A)+1)</f>
        <v>45</v>
      </c>
      <c r="S212" s="9">
        <f>SUM($M$2:M212)</f>
        <v>8.8623611111111202</v>
      </c>
      <c r="T212" s="3">
        <f>PlanMasine[[#This Row],[Datum SAS]]-1</f>
        <v>45809</v>
      </c>
      <c r="U212">
        <f>WEEKDAY(PlanMasine[[#This Row],[ZAVRŠETAK MAŠINSKE]],2)</f>
        <v>7</v>
      </c>
      <c r="V212" s="3">
        <f>IF(WEEKDAY(PlanMasine[[#This Row],[Datum SAS]]-1,2)=7,PlanMasine[[#This Row],[Datum SAS]]-3,PlanMasine[[#This Row],[Datum SAS]]-1)</f>
        <v>45807</v>
      </c>
      <c r="W212">
        <f>WEEKNUM(PlanMasine[[#This Row],[Column2]],1)</f>
        <v>22</v>
      </c>
    </row>
    <row r="213" spans="1:23" x14ac:dyDescent="0.35">
      <c r="A213">
        <v>1022659</v>
      </c>
      <c r="B213">
        <v>1</v>
      </c>
      <c r="C213">
        <v>1022706</v>
      </c>
      <c r="D213" t="s">
        <v>1797</v>
      </c>
      <c r="E213">
        <v>270</v>
      </c>
      <c r="F213">
        <v>6</v>
      </c>
      <c r="G213">
        <v>0</v>
      </c>
      <c r="H213">
        <v>0</v>
      </c>
      <c r="I213" t="s">
        <v>24</v>
      </c>
      <c r="J213" t="s">
        <v>597</v>
      </c>
      <c r="K213" t="s">
        <v>1894</v>
      </c>
      <c r="L213" s="3">
        <v>45840</v>
      </c>
      <c r="M213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6.25E-2</v>
      </c>
      <c r="N213" s="3">
        <v>45810</v>
      </c>
      <c r="O213" s="5">
        <f>IFERROR((PlanMasine[[#This Row],[Norma]]/PlanMasine[[#This Row],[Q]])*(PlanMasine[[#This Row],[Q]]/SUMIF(C:C,PlanMasine[[#This Row],[RN]],B:B)*PlanMasine[[#This Row],[KPLQ]]),0)</f>
        <v>90</v>
      </c>
      <c r="P213">
        <v>175630</v>
      </c>
      <c r="Q213">
        <f>COUNTIF(PROMJENA!A:A,PlanMasine[[#This Row],[KPL]]&amp;"-"&amp;PlanMasine[[#This Row],[RN]])</f>
        <v>0</v>
      </c>
      <c r="R213">
        <f>IFERROR(INDEX(REDOSLIJED!A:A,MATCH(PlanMasine[[#This Row],[KPL]],REDOSLIJED!B:B,0)),MAX(REDOSLIJED!A:A)+1)</f>
        <v>45</v>
      </c>
      <c r="S213" s="9">
        <f>SUM($M$2:M213)</f>
        <v>8.9248611111111202</v>
      </c>
      <c r="T213" s="3">
        <f>PlanMasine[[#This Row],[Datum SAS]]-1</f>
        <v>45809</v>
      </c>
      <c r="U213">
        <f>WEEKDAY(PlanMasine[[#This Row],[ZAVRŠETAK MAŠINSKE]],2)</f>
        <v>7</v>
      </c>
      <c r="V213" s="3">
        <f>IF(WEEKDAY(PlanMasine[[#This Row],[Datum SAS]]-1,2)=7,PlanMasine[[#This Row],[Datum SAS]]-3,PlanMasine[[#This Row],[Datum SAS]]-1)</f>
        <v>45807</v>
      </c>
      <c r="W213">
        <f>WEEKNUM(PlanMasine[[#This Row],[Column2]],1)</f>
        <v>22</v>
      </c>
    </row>
    <row r="214" spans="1:23" x14ac:dyDescent="0.35">
      <c r="A214">
        <v>1022659</v>
      </c>
      <c r="B214">
        <v>1</v>
      </c>
      <c r="C214">
        <v>1022703</v>
      </c>
      <c r="D214" t="s">
        <v>1796</v>
      </c>
      <c r="E214">
        <v>105</v>
      </c>
      <c r="F214">
        <v>3</v>
      </c>
      <c r="G214">
        <v>0</v>
      </c>
      <c r="H214">
        <v>0</v>
      </c>
      <c r="I214" t="s">
        <v>24</v>
      </c>
      <c r="J214" t="s">
        <v>597</v>
      </c>
      <c r="K214" t="s">
        <v>1894</v>
      </c>
      <c r="L214" s="3">
        <v>45840</v>
      </c>
      <c r="M214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2.4305555555555556E-2</v>
      </c>
      <c r="N214" s="3">
        <v>45810</v>
      </c>
      <c r="O214" s="5">
        <f>IFERROR((PlanMasine[[#This Row],[Norma]]/PlanMasine[[#This Row],[Q]])*(PlanMasine[[#This Row],[Q]]/SUMIF(C:C,PlanMasine[[#This Row],[RN]],B:B)*PlanMasine[[#This Row],[KPLQ]]),0)</f>
        <v>35</v>
      </c>
      <c r="P214">
        <v>175627</v>
      </c>
      <c r="Q214">
        <f>COUNTIF(PROMJENA!A:A,PlanMasine[[#This Row],[KPL]]&amp;"-"&amp;PlanMasine[[#This Row],[RN]])</f>
        <v>0</v>
      </c>
      <c r="R214">
        <f>IFERROR(INDEX(REDOSLIJED!A:A,MATCH(PlanMasine[[#This Row],[KPL]],REDOSLIJED!B:B,0)),MAX(REDOSLIJED!A:A)+1)</f>
        <v>45</v>
      </c>
      <c r="S214" s="9">
        <f>SUM($M$2:M214)</f>
        <v>8.9491666666666756</v>
      </c>
      <c r="T214" s="3">
        <f>PlanMasine[[#This Row],[Datum SAS]]-1</f>
        <v>45809</v>
      </c>
      <c r="U214">
        <f>WEEKDAY(PlanMasine[[#This Row],[ZAVRŠETAK MAŠINSKE]],2)</f>
        <v>7</v>
      </c>
      <c r="V214" s="3">
        <f>IF(WEEKDAY(PlanMasine[[#This Row],[Datum SAS]]-1,2)=7,PlanMasine[[#This Row],[Datum SAS]]-3,PlanMasine[[#This Row],[Datum SAS]]-1)</f>
        <v>45807</v>
      </c>
      <c r="W214">
        <f>WEEKNUM(PlanMasine[[#This Row],[Column2]],1)</f>
        <v>22</v>
      </c>
    </row>
    <row r="215" spans="1:23" x14ac:dyDescent="0.35">
      <c r="A215">
        <v>1022659</v>
      </c>
      <c r="B215">
        <v>1</v>
      </c>
      <c r="C215">
        <v>1022676</v>
      </c>
      <c r="D215" t="s">
        <v>1795</v>
      </c>
      <c r="E215">
        <v>75</v>
      </c>
      <c r="F215">
        <v>3</v>
      </c>
      <c r="G215">
        <v>0</v>
      </c>
      <c r="H215">
        <v>0</v>
      </c>
      <c r="I215" t="s">
        <v>24</v>
      </c>
      <c r="J215" t="s">
        <v>597</v>
      </c>
      <c r="K215" t="s">
        <v>1894</v>
      </c>
      <c r="L215" s="3">
        <v>45840</v>
      </c>
      <c r="M215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1.7361111111111112E-2</v>
      </c>
      <c r="N215" s="3">
        <v>45810</v>
      </c>
      <c r="O215" s="5">
        <f>IFERROR((PlanMasine[[#This Row],[Norma]]/PlanMasine[[#This Row],[Q]])*(PlanMasine[[#This Row],[Q]]/SUMIF(C:C,PlanMasine[[#This Row],[RN]],B:B)*PlanMasine[[#This Row],[KPLQ]]),0)</f>
        <v>25</v>
      </c>
      <c r="P215">
        <v>175600</v>
      </c>
      <c r="Q215">
        <f>COUNTIF(PROMJENA!A:A,PlanMasine[[#This Row],[KPL]]&amp;"-"&amp;PlanMasine[[#This Row],[RN]])</f>
        <v>0</v>
      </c>
      <c r="R215">
        <f>IFERROR(INDEX(REDOSLIJED!A:A,MATCH(PlanMasine[[#This Row],[KPL]],REDOSLIJED!B:B,0)),MAX(REDOSLIJED!A:A)+1)</f>
        <v>45</v>
      </c>
      <c r="S215" s="9">
        <f>SUM($M$2:M215)</f>
        <v>8.9665277777777863</v>
      </c>
      <c r="T215" s="3">
        <f>PlanMasine[[#This Row],[Datum SAS]]-1</f>
        <v>45809</v>
      </c>
      <c r="U215">
        <f>WEEKDAY(PlanMasine[[#This Row],[ZAVRŠETAK MAŠINSKE]],2)</f>
        <v>7</v>
      </c>
      <c r="V215" s="3">
        <f>IF(WEEKDAY(PlanMasine[[#This Row],[Datum SAS]]-1,2)=7,PlanMasine[[#This Row],[Datum SAS]]-3,PlanMasine[[#This Row],[Datum SAS]]-1)</f>
        <v>45807</v>
      </c>
      <c r="W215">
        <f>WEEKNUM(PlanMasine[[#This Row],[Column2]],1)</f>
        <v>22</v>
      </c>
    </row>
    <row r="216" spans="1:23" x14ac:dyDescent="0.35">
      <c r="A216">
        <v>1022659</v>
      </c>
      <c r="B216">
        <v>1</v>
      </c>
      <c r="C216">
        <v>1022670</v>
      </c>
      <c r="D216" t="s">
        <v>1794</v>
      </c>
      <c r="E216">
        <v>60</v>
      </c>
      <c r="F216">
        <v>3</v>
      </c>
      <c r="G216">
        <v>0</v>
      </c>
      <c r="H216">
        <v>0</v>
      </c>
      <c r="I216" t="s">
        <v>24</v>
      </c>
      <c r="J216" t="s">
        <v>597</v>
      </c>
      <c r="K216" t="s">
        <v>1894</v>
      </c>
      <c r="L216" s="3">
        <v>45840</v>
      </c>
      <c r="M216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1.3888888888888888E-2</v>
      </c>
      <c r="N216" s="3">
        <v>45810</v>
      </c>
      <c r="O216" s="5">
        <f>IFERROR((PlanMasine[[#This Row],[Norma]]/PlanMasine[[#This Row],[Q]])*(PlanMasine[[#This Row],[Q]]/SUMIF(C:C,PlanMasine[[#This Row],[RN]],B:B)*PlanMasine[[#This Row],[KPLQ]]),0)</f>
        <v>20</v>
      </c>
      <c r="P216">
        <v>175594</v>
      </c>
      <c r="Q216">
        <f>COUNTIF(PROMJENA!A:A,PlanMasine[[#This Row],[KPL]]&amp;"-"&amp;PlanMasine[[#This Row],[RN]])</f>
        <v>0</v>
      </c>
      <c r="R216">
        <f>IFERROR(INDEX(REDOSLIJED!A:A,MATCH(PlanMasine[[#This Row],[KPL]],REDOSLIJED!B:B,0)),MAX(REDOSLIJED!A:A)+1)</f>
        <v>45</v>
      </c>
      <c r="S216" s="9">
        <f>SUM($M$2:M216)</f>
        <v>8.9804166666666756</v>
      </c>
      <c r="T216" s="3">
        <f>PlanMasine[[#This Row],[Datum SAS]]-1</f>
        <v>45809</v>
      </c>
      <c r="U216">
        <f>WEEKDAY(PlanMasine[[#This Row],[ZAVRŠETAK MAŠINSKE]],2)</f>
        <v>7</v>
      </c>
      <c r="V216" s="3">
        <f>IF(WEEKDAY(PlanMasine[[#This Row],[Datum SAS]]-1,2)=7,PlanMasine[[#This Row],[Datum SAS]]-3,PlanMasine[[#This Row],[Datum SAS]]-1)</f>
        <v>45807</v>
      </c>
      <c r="W216">
        <f>WEEKNUM(PlanMasine[[#This Row],[Column2]],1)</f>
        <v>22</v>
      </c>
    </row>
    <row r="217" spans="1:23" x14ac:dyDescent="0.35">
      <c r="A217">
        <v>1024093</v>
      </c>
      <c r="B217">
        <v>1</v>
      </c>
      <c r="C217">
        <v>1024119</v>
      </c>
      <c r="D217" t="s">
        <v>1895</v>
      </c>
      <c r="E217">
        <v>15</v>
      </c>
      <c r="F217">
        <v>1</v>
      </c>
      <c r="G217">
        <v>0</v>
      </c>
      <c r="H217">
        <v>0</v>
      </c>
      <c r="I217" t="s">
        <v>24</v>
      </c>
      <c r="J217" t="s">
        <v>597</v>
      </c>
      <c r="K217" t="s">
        <v>1896</v>
      </c>
      <c r="L217" s="3">
        <v>45825</v>
      </c>
      <c r="M217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1.0416666666666666E-2</v>
      </c>
      <c r="N217" s="3">
        <v>45810</v>
      </c>
      <c r="O217" s="5">
        <f>IFERROR((PlanMasine[[#This Row],[Norma]]/PlanMasine[[#This Row],[Q]])*(PlanMasine[[#This Row],[Q]]/SUMIF(C:C,PlanMasine[[#This Row],[RN]],B:B)*PlanMasine[[#This Row],[KPLQ]]),0)</f>
        <v>15</v>
      </c>
      <c r="P217">
        <v>177508</v>
      </c>
      <c r="Q217">
        <f>COUNTIF(PROMJENA!A:A,PlanMasine[[#This Row],[KPL]]&amp;"-"&amp;PlanMasine[[#This Row],[RN]])</f>
        <v>0</v>
      </c>
      <c r="R217">
        <f>IFERROR(INDEX(REDOSLIJED!A:A,MATCH(PlanMasine[[#This Row],[KPL]],REDOSLIJED!B:B,0)),MAX(REDOSLIJED!A:A)+1)</f>
        <v>45</v>
      </c>
      <c r="S217" s="9">
        <f>SUM($M$2:M217)</f>
        <v>8.9908333333333417</v>
      </c>
      <c r="T217" s="3">
        <f>PlanMasine[[#This Row],[Datum SAS]]-1</f>
        <v>45809</v>
      </c>
      <c r="U217">
        <f>WEEKDAY(PlanMasine[[#This Row],[ZAVRŠETAK MAŠINSKE]],2)</f>
        <v>7</v>
      </c>
      <c r="V217" s="3">
        <f>IF(WEEKDAY(PlanMasine[[#This Row],[Datum SAS]]-1,2)=7,PlanMasine[[#This Row],[Datum SAS]]-3,PlanMasine[[#This Row],[Datum SAS]]-1)</f>
        <v>45807</v>
      </c>
      <c r="W217">
        <f>WEEKNUM(PlanMasine[[#This Row],[Column2]],1)</f>
        <v>22</v>
      </c>
    </row>
    <row r="218" spans="1:23" x14ac:dyDescent="0.35">
      <c r="A218">
        <v>1024093</v>
      </c>
      <c r="B218">
        <v>1</v>
      </c>
      <c r="C218">
        <v>1024120</v>
      </c>
      <c r="D218" t="s">
        <v>1897</v>
      </c>
      <c r="E218">
        <v>5</v>
      </c>
      <c r="F218">
        <v>1</v>
      </c>
      <c r="G218">
        <v>0</v>
      </c>
      <c r="H218">
        <v>0</v>
      </c>
      <c r="I218" t="s">
        <v>24</v>
      </c>
      <c r="J218" t="s">
        <v>597</v>
      </c>
      <c r="K218" t="s">
        <v>1896</v>
      </c>
      <c r="L218" s="3">
        <v>45825</v>
      </c>
      <c r="M218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3.472222222222222E-3</v>
      </c>
      <c r="N218" s="3">
        <v>45810</v>
      </c>
      <c r="O218" s="5">
        <f>IFERROR((PlanMasine[[#This Row],[Norma]]/PlanMasine[[#This Row],[Q]])*(PlanMasine[[#This Row],[Q]]/SUMIF(C:C,PlanMasine[[#This Row],[RN]],B:B)*PlanMasine[[#This Row],[KPLQ]]),0)</f>
        <v>5</v>
      </c>
      <c r="P218">
        <v>177509</v>
      </c>
      <c r="Q218">
        <f>COUNTIF(PROMJENA!A:A,PlanMasine[[#This Row],[KPL]]&amp;"-"&amp;PlanMasine[[#This Row],[RN]])</f>
        <v>0</v>
      </c>
      <c r="R218">
        <f>IFERROR(INDEX(REDOSLIJED!A:A,MATCH(PlanMasine[[#This Row],[KPL]],REDOSLIJED!B:B,0)),MAX(REDOSLIJED!A:A)+1)</f>
        <v>45</v>
      </c>
      <c r="S218" s="9">
        <f>SUM($M$2:M218)</f>
        <v>8.9943055555555631</v>
      </c>
      <c r="T218" s="3">
        <f>PlanMasine[[#This Row],[Datum SAS]]-1</f>
        <v>45809</v>
      </c>
      <c r="U218">
        <f>WEEKDAY(PlanMasine[[#This Row],[ZAVRŠETAK MAŠINSKE]],2)</f>
        <v>7</v>
      </c>
      <c r="V218" s="3">
        <f>IF(WEEKDAY(PlanMasine[[#This Row],[Datum SAS]]-1,2)=7,PlanMasine[[#This Row],[Datum SAS]]-3,PlanMasine[[#This Row],[Datum SAS]]-1)</f>
        <v>45807</v>
      </c>
      <c r="W218">
        <f>WEEKNUM(PlanMasine[[#This Row],[Column2]],1)</f>
        <v>22</v>
      </c>
    </row>
    <row r="219" spans="1:23" x14ac:dyDescent="0.35">
      <c r="A219">
        <v>1024093</v>
      </c>
      <c r="B219">
        <v>1</v>
      </c>
      <c r="C219">
        <v>1024117</v>
      </c>
      <c r="D219" t="s">
        <v>1898</v>
      </c>
      <c r="E219">
        <v>15</v>
      </c>
      <c r="F219">
        <v>1</v>
      </c>
      <c r="G219">
        <v>0</v>
      </c>
      <c r="H219">
        <v>0</v>
      </c>
      <c r="I219" t="s">
        <v>24</v>
      </c>
      <c r="J219" t="s">
        <v>597</v>
      </c>
      <c r="K219" t="s">
        <v>1896</v>
      </c>
      <c r="L219" s="3">
        <v>45825</v>
      </c>
      <c r="M219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1.0416666666666666E-2</v>
      </c>
      <c r="N219" s="3">
        <v>45810</v>
      </c>
      <c r="O219" s="5">
        <f>IFERROR((PlanMasine[[#This Row],[Norma]]/PlanMasine[[#This Row],[Q]])*(PlanMasine[[#This Row],[Q]]/SUMIF(C:C,PlanMasine[[#This Row],[RN]],B:B)*PlanMasine[[#This Row],[KPLQ]]),0)</f>
        <v>15</v>
      </c>
      <c r="P219">
        <v>177506</v>
      </c>
      <c r="Q219">
        <f>COUNTIF(PROMJENA!A:A,PlanMasine[[#This Row],[KPL]]&amp;"-"&amp;PlanMasine[[#This Row],[RN]])</f>
        <v>0</v>
      </c>
      <c r="R219">
        <f>IFERROR(INDEX(REDOSLIJED!A:A,MATCH(PlanMasine[[#This Row],[KPL]],REDOSLIJED!B:B,0)),MAX(REDOSLIJED!A:A)+1)</f>
        <v>45</v>
      </c>
      <c r="S219" s="9">
        <f>SUM($M$2:M219)</f>
        <v>9.0047222222222292</v>
      </c>
      <c r="T219" s="3">
        <f>PlanMasine[[#This Row],[Datum SAS]]-1</f>
        <v>45809</v>
      </c>
      <c r="U219">
        <f>WEEKDAY(PlanMasine[[#This Row],[ZAVRŠETAK MAŠINSKE]],2)</f>
        <v>7</v>
      </c>
      <c r="V219" s="3">
        <f>IF(WEEKDAY(PlanMasine[[#This Row],[Datum SAS]]-1,2)=7,PlanMasine[[#This Row],[Datum SAS]]-3,PlanMasine[[#This Row],[Datum SAS]]-1)</f>
        <v>45807</v>
      </c>
      <c r="W219">
        <f>WEEKNUM(PlanMasine[[#This Row],[Column2]],1)</f>
        <v>22</v>
      </c>
    </row>
    <row r="220" spans="1:23" x14ac:dyDescent="0.35">
      <c r="A220">
        <v>1024488</v>
      </c>
      <c r="B220">
        <v>1</v>
      </c>
      <c r="C220">
        <v>1024498</v>
      </c>
      <c r="D220" t="s">
        <v>1256</v>
      </c>
      <c r="E220">
        <v>60</v>
      </c>
      <c r="F220">
        <v>2</v>
      </c>
      <c r="G220">
        <v>0</v>
      </c>
      <c r="H220">
        <v>0</v>
      </c>
      <c r="I220" t="s">
        <v>24</v>
      </c>
      <c r="J220" t="s">
        <v>597</v>
      </c>
      <c r="K220" t="s">
        <v>1899</v>
      </c>
      <c r="L220" s="3">
        <v>45833</v>
      </c>
      <c r="M220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4.1666666666666664E-2</v>
      </c>
      <c r="N220" s="3">
        <v>45810</v>
      </c>
      <c r="O220" s="5">
        <f>IFERROR((PlanMasine[[#This Row],[Norma]]/PlanMasine[[#This Row],[Q]])*(PlanMasine[[#This Row],[Q]]/SUMIF(C:C,PlanMasine[[#This Row],[RN]],B:B)*PlanMasine[[#This Row],[KPLQ]]),0)</f>
        <v>60</v>
      </c>
      <c r="P220">
        <v>206485</v>
      </c>
      <c r="Q220">
        <f>COUNTIF(PROMJENA!A:A,PlanMasine[[#This Row],[KPL]]&amp;"-"&amp;PlanMasine[[#This Row],[RN]])</f>
        <v>0</v>
      </c>
      <c r="R220">
        <f>IFERROR(INDEX(REDOSLIJED!A:A,MATCH(PlanMasine[[#This Row],[KPL]],REDOSLIJED!B:B,0)),MAX(REDOSLIJED!A:A)+1)</f>
        <v>45</v>
      </c>
      <c r="S220" s="9">
        <f>SUM($M$2:M220)</f>
        <v>9.0463888888888953</v>
      </c>
      <c r="T220" s="3">
        <f>PlanMasine[[#This Row],[Datum SAS]]-1</f>
        <v>45809</v>
      </c>
      <c r="U220">
        <f>WEEKDAY(PlanMasine[[#This Row],[ZAVRŠETAK MAŠINSKE]],2)</f>
        <v>7</v>
      </c>
      <c r="V220" s="3">
        <f>IF(WEEKDAY(PlanMasine[[#This Row],[Datum SAS]]-1,2)=7,PlanMasine[[#This Row],[Datum SAS]]-3,PlanMasine[[#This Row],[Datum SAS]]-1)</f>
        <v>45807</v>
      </c>
      <c r="W220">
        <f>WEEKNUM(PlanMasine[[#This Row],[Column2]],1)</f>
        <v>22</v>
      </c>
    </row>
    <row r="221" spans="1:23" x14ac:dyDescent="0.35">
      <c r="A221">
        <v>1027156</v>
      </c>
      <c r="B221">
        <v>1</v>
      </c>
      <c r="C221">
        <v>1027142</v>
      </c>
      <c r="D221" t="s">
        <v>669</v>
      </c>
      <c r="E221">
        <v>180</v>
      </c>
      <c r="F221">
        <v>2</v>
      </c>
      <c r="G221">
        <v>0</v>
      </c>
      <c r="H221">
        <v>0</v>
      </c>
      <c r="I221" t="s">
        <v>24</v>
      </c>
      <c r="J221" t="s">
        <v>597</v>
      </c>
      <c r="K221" t="s">
        <v>1900</v>
      </c>
      <c r="L221" s="3">
        <v>45838</v>
      </c>
      <c r="M221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6.25E-2</v>
      </c>
      <c r="N221" s="3">
        <v>45810</v>
      </c>
      <c r="O221" s="5">
        <f>IFERROR((PlanMasine[[#This Row],[Norma]]/PlanMasine[[#This Row],[Q]])*(PlanMasine[[#This Row],[Q]]/SUMIF(C:C,PlanMasine[[#This Row],[RN]],B:B)*PlanMasine[[#This Row],[KPLQ]]),0)</f>
        <v>90</v>
      </c>
      <c r="P221">
        <v>166302</v>
      </c>
      <c r="Q221">
        <f>COUNTIF(PROMJENA!A:A,PlanMasine[[#This Row],[KPL]]&amp;"-"&amp;PlanMasine[[#This Row],[RN]])</f>
        <v>0</v>
      </c>
      <c r="R221">
        <f>IFERROR(INDEX(REDOSLIJED!A:A,MATCH(PlanMasine[[#This Row],[KPL]],REDOSLIJED!B:B,0)),MAX(REDOSLIJED!A:A)+1)</f>
        <v>45</v>
      </c>
      <c r="S221" s="9">
        <f>SUM($M$2:M221)</f>
        <v>9.1088888888888953</v>
      </c>
      <c r="T221" s="3">
        <f>PlanMasine[[#This Row],[Datum SAS]]-1</f>
        <v>45809</v>
      </c>
      <c r="U221">
        <f>WEEKDAY(PlanMasine[[#This Row],[ZAVRŠETAK MAŠINSKE]],2)</f>
        <v>7</v>
      </c>
      <c r="V221" s="3">
        <f>IF(WEEKDAY(PlanMasine[[#This Row],[Datum SAS]]-1,2)=7,PlanMasine[[#This Row],[Datum SAS]]-3,PlanMasine[[#This Row],[Datum SAS]]-1)</f>
        <v>45807</v>
      </c>
      <c r="W221">
        <f>WEEKNUM(PlanMasine[[#This Row],[Column2]],1)</f>
        <v>22</v>
      </c>
    </row>
    <row r="222" spans="1:23" x14ac:dyDescent="0.35">
      <c r="A222">
        <v>1027156</v>
      </c>
      <c r="B222">
        <v>1</v>
      </c>
      <c r="C222">
        <v>1027141</v>
      </c>
      <c r="D222" t="s">
        <v>1082</v>
      </c>
      <c r="E222">
        <v>150</v>
      </c>
      <c r="F222">
        <v>2</v>
      </c>
      <c r="G222">
        <v>0</v>
      </c>
      <c r="H222">
        <v>0</v>
      </c>
      <c r="I222" t="s">
        <v>24</v>
      </c>
      <c r="J222" t="s">
        <v>597</v>
      </c>
      <c r="K222" t="s">
        <v>1900</v>
      </c>
      <c r="L222" s="3">
        <v>45838</v>
      </c>
      <c r="M222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5.2083333333333336E-2</v>
      </c>
      <c r="N222" s="3">
        <v>45810</v>
      </c>
      <c r="O222" s="5">
        <f>IFERROR((PlanMasine[[#This Row],[Norma]]/PlanMasine[[#This Row],[Q]])*(PlanMasine[[#This Row],[Q]]/SUMIF(C:C,PlanMasine[[#This Row],[RN]],B:B)*PlanMasine[[#This Row],[KPLQ]]),0)</f>
        <v>75</v>
      </c>
      <c r="P222">
        <v>166301</v>
      </c>
      <c r="Q222">
        <f>COUNTIF(PROMJENA!A:A,PlanMasine[[#This Row],[KPL]]&amp;"-"&amp;PlanMasine[[#This Row],[RN]])</f>
        <v>0</v>
      </c>
      <c r="R222">
        <f>IFERROR(INDEX(REDOSLIJED!A:A,MATCH(PlanMasine[[#This Row],[KPL]],REDOSLIJED!B:B,0)),MAX(REDOSLIJED!A:A)+1)</f>
        <v>45</v>
      </c>
      <c r="S222" s="9">
        <f>SUM($M$2:M222)</f>
        <v>9.1609722222222292</v>
      </c>
      <c r="T222" s="3">
        <f>PlanMasine[[#This Row],[Datum SAS]]-1</f>
        <v>45809</v>
      </c>
      <c r="U222">
        <f>WEEKDAY(PlanMasine[[#This Row],[ZAVRŠETAK MAŠINSKE]],2)</f>
        <v>7</v>
      </c>
      <c r="V222" s="3">
        <f>IF(WEEKDAY(PlanMasine[[#This Row],[Datum SAS]]-1,2)=7,PlanMasine[[#This Row],[Datum SAS]]-3,PlanMasine[[#This Row],[Datum SAS]]-1)</f>
        <v>45807</v>
      </c>
      <c r="W222">
        <f>WEEKNUM(PlanMasine[[#This Row],[Column2]],1)</f>
        <v>22</v>
      </c>
    </row>
    <row r="223" spans="1:23" x14ac:dyDescent="0.35">
      <c r="A223">
        <v>1027156</v>
      </c>
      <c r="B223">
        <v>1</v>
      </c>
      <c r="C223">
        <v>1027143</v>
      </c>
      <c r="D223" t="s">
        <v>450</v>
      </c>
      <c r="E223">
        <v>720</v>
      </c>
      <c r="F223">
        <v>2</v>
      </c>
      <c r="G223">
        <v>0</v>
      </c>
      <c r="H223">
        <v>0</v>
      </c>
      <c r="I223" t="s">
        <v>24</v>
      </c>
      <c r="J223" t="s">
        <v>597</v>
      </c>
      <c r="K223" t="s">
        <v>1900</v>
      </c>
      <c r="L223" s="3">
        <v>45838</v>
      </c>
      <c r="M223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0.25</v>
      </c>
      <c r="N223" s="3">
        <v>45810</v>
      </c>
      <c r="O223" s="5">
        <f>IFERROR((PlanMasine[[#This Row],[Norma]]/PlanMasine[[#This Row],[Q]])*(PlanMasine[[#This Row],[Q]]/SUMIF(C:C,PlanMasine[[#This Row],[RN]],B:B)*PlanMasine[[#This Row],[KPLQ]]),0)</f>
        <v>360</v>
      </c>
      <c r="P223">
        <v>166303</v>
      </c>
      <c r="Q223">
        <f>COUNTIF(PROMJENA!A:A,PlanMasine[[#This Row],[KPL]]&amp;"-"&amp;PlanMasine[[#This Row],[RN]])</f>
        <v>0</v>
      </c>
      <c r="R223">
        <f>IFERROR(INDEX(REDOSLIJED!A:A,MATCH(PlanMasine[[#This Row],[KPL]],REDOSLIJED!B:B,0)),MAX(REDOSLIJED!A:A)+1)</f>
        <v>45</v>
      </c>
      <c r="S223" s="9">
        <f>SUM($M$2:M223)</f>
        <v>9.4109722222222292</v>
      </c>
      <c r="T223" s="3">
        <f>PlanMasine[[#This Row],[Datum SAS]]-1</f>
        <v>45809</v>
      </c>
      <c r="U223">
        <f>WEEKDAY(PlanMasine[[#This Row],[ZAVRŠETAK MAŠINSKE]],2)</f>
        <v>7</v>
      </c>
      <c r="V223" s="3">
        <f>IF(WEEKDAY(PlanMasine[[#This Row],[Datum SAS]]-1,2)=7,PlanMasine[[#This Row],[Datum SAS]]-3,PlanMasine[[#This Row],[Datum SAS]]-1)</f>
        <v>45807</v>
      </c>
      <c r="W223">
        <f>WEEKNUM(PlanMasine[[#This Row],[Column2]],1)</f>
        <v>22</v>
      </c>
    </row>
    <row r="224" spans="1:23" x14ac:dyDescent="0.35">
      <c r="A224">
        <v>1027157</v>
      </c>
      <c r="B224">
        <v>1</v>
      </c>
      <c r="C224">
        <v>1027141</v>
      </c>
      <c r="D224" t="s">
        <v>1082</v>
      </c>
      <c r="E224">
        <v>150</v>
      </c>
      <c r="F224">
        <v>2</v>
      </c>
      <c r="G224">
        <v>0</v>
      </c>
      <c r="H224">
        <v>0</v>
      </c>
      <c r="I224" t="s">
        <v>24</v>
      </c>
      <c r="J224" t="s">
        <v>597</v>
      </c>
      <c r="K224" t="s">
        <v>1900</v>
      </c>
      <c r="L224" s="3">
        <v>45838</v>
      </c>
      <c r="M224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5.2083333333333336E-2</v>
      </c>
      <c r="N224" s="3">
        <v>45810</v>
      </c>
      <c r="O224" s="5">
        <f>IFERROR((PlanMasine[[#This Row],[Norma]]/PlanMasine[[#This Row],[Q]])*(PlanMasine[[#This Row],[Q]]/SUMIF(C:C,PlanMasine[[#This Row],[RN]],B:B)*PlanMasine[[#This Row],[KPLQ]]),0)</f>
        <v>75</v>
      </c>
      <c r="P224">
        <v>166301</v>
      </c>
      <c r="Q224">
        <f>COUNTIF(PROMJENA!A:A,PlanMasine[[#This Row],[KPL]]&amp;"-"&amp;PlanMasine[[#This Row],[RN]])</f>
        <v>0</v>
      </c>
      <c r="R224">
        <f>IFERROR(INDEX(REDOSLIJED!A:A,MATCH(PlanMasine[[#This Row],[KPL]],REDOSLIJED!B:B,0)),MAX(REDOSLIJED!A:A)+1)</f>
        <v>45</v>
      </c>
      <c r="S224" s="9">
        <f>SUM($M$2:M224)</f>
        <v>9.4630555555555631</v>
      </c>
      <c r="T224" s="3">
        <f>PlanMasine[[#This Row],[Datum SAS]]-1</f>
        <v>45809</v>
      </c>
      <c r="U224">
        <f>WEEKDAY(PlanMasine[[#This Row],[ZAVRŠETAK MAŠINSKE]],2)</f>
        <v>7</v>
      </c>
      <c r="V224" s="3">
        <f>IF(WEEKDAY(PlanMasine[[#This Row],[Datum SAS]]-1,2)=7,PlanMasine[[#This Row],[Datum SAS]]-3,PlanMasine[[#This Row],[Datum SAS]]-1)</f>
        <v>45807</v>
      </c>
      <c r="W224">
        <f>WEEKNUM(PlanMasine[[#This Row],[Column2]],1)</f>
        <v>22</v>
      </c>
    </row>
    <row r="225" spans="1:23" x14ac:dyDescent="0.35">
      <c r="A225">
        <v>1027157</v>
      </c>
      <c r="B225">
        <v>1</v>
      </c>
      <c r="C225">
        <v>1027142</v>
      </c>
      <c r="D225" t="s">
        <v>669</v>
      </c>
      <c r="E225">
        <v>180</v>
      </c>
      <c r="F225">
        <v>2</v>
      </c>
      <c r="G225">
        <v>0</v>
      </c>
      <c r="H225">
        <v>0</v>
      </c>
      <c r="I225" t="s">
        <v>24</v>
      </c>
      <c r="J225" t="s">
        <v>597</v>
      </c>
      <c r="K225" t="s">
        <v>1900</v>
      </c>
      <c r="L225" s="3">
        <v>45838</v>
      </c>
      <c r="M225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6.25E-2</v>
      </c>
      <c r="N225" s="3">
        <v>45810</v>
      </c>
      <c r="O225" s="5">
        <f>IFERROR((PlanMasine[[#This Row],[Norma]]/PlanMasine[[#This Row],[Q]])*(PlanMasine[[#This Row],[Q]]/SUMIF(C:C,PlanMasine[[#This Row],[RN]],B:B)*PlanMasine[[#This Row],[KPLQ]]),0)</f>
        <v>90</v>
      </c>
      <c r="P225">
        <v>166302</v>
      </c>
      <c r="Q225">
        <f>COUNTIF(PROMJENA!A:A,PlanMasine[[#This Row],[KPL]]&amp;"-"&amp;PlanMasine[[#This Row],[RN]])</f>
        <v>0</v>
      </c>
      <c r="R225">
        <f>IFERROR(INDEX(REDOSLIJED!A:A,MATCH(PlanMasine[[#This Row],[KPL]],REDOSLIJED!B:B,0)),MAX(REDOSLIJED!A:A)+1)</f>
        <v>45</v>
      </c>
      <c r="S225" s="9">
        <f>SUM($M$2:M225)</f>
        <v>9.5255555555555631</v>
      </c>
      <c r="T225" s="3">
        <f>PlanMasine[[#This Row],[Datum SAS]]-1</f>
        <v>45809</v>
      </c>
      <c r="U225">
        <f>WEEKDAY(PlanMasine[[#This Row],[ZAVRŠETAK MAŠINSKE]],2)</f>
        <v>7</v>
      </c>
      <c r="V225" s="3">
        <f>IF(WEEKDAY(PlanMasine[[#This Row],[Datum SAS]]-1,2)=7,PlanMasine[[#This Row],[Datum SAS]]-3,PlanMasine[[#This Row],[Datum SAS]]-1)</f>
        <v>45807</v>
      </c>
      <c r="W225">
        <f>WEEKNUM(PlanMasine[[#This Row],[Column2]],1)</f>
        <v>22</v>
      </c>
    </row>
    <row r="226" spans="1:23" x14ac:dyDescent="0.35">
      <c r="A226">
        <v>1027157</v>
      </c>
      <c r="B226">
        <v>1</v>
      </c>
      <c r="C226">
        <v>1027143</v>
      </c>
      <c r="D226" t="s">
        <v>450</v>
      </c>
      <c r="E226">
        <v>720</v>
      </c>
      <c r="F226">
        <v>2</v>
      </c>
      <c r="G226">
        <v>0</v>
      </c>
      <c r="H226">
        <v>0</v>
      </c>
      <c r="I226" t="s">
        <v>24</v>
      </c>
      <c r="J226" t="s">
        <v>597</v>
      </c>
      <c r="K226" t="s">
        <v>1900</v>
      </c>
      <c r="L226" s="3">
        <v>45838</v>
      </c>
      <c r="M226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0.25</v>
      </c>
      <c r="N226" s="3">
        <v>45810</v>
      </c>
      <c r="O226" s="5">
        <f>IFERROR((PlanMasine[[#This Row],[Norma]]/PlanMasine[[#This Row],[Q]])*(PlanMasine[[#This Row],[Q]]/SUMIF(C:C,PlanMasine[[#This Row],[RN]],B:B)*PlanMasine[[#This Row],[KPLQ]]),0)</f>
        <v>360</v>
      </c>
      <c r="P226">
        <v>166303</v>
      </c>
      <c r="Q226">
        <f>COUNTIF(PROMJENA!A:A,PlanMasine[[#This Row],[KPL]]&amp;"-"&amp;PlanMasine[[#This Row],[RN]])</f>
        <v>0</v>
      </c>
      <c r="R226">
        <f>IFERROR(INDEX(REDOSLIJED!A:A,MATCH(PlanMasine[[#This Row],[KPL]],REDOSLIJED!B:B,0)),MAX(REDOSLIJED!A:A)+1)</f>
        <v>45</v>
      </c>
      <c r="S226" s="9">
        <f>SUM($M$2:M226)</f>
        <v>9.7755555555555631</v>
      </c>
      <c r="T226" s="3">
        <f>PlanMasine[[#This Row],[Datum SAS]]-1</f>
        <v>45809</v>
      </c>
      <c r="U226">
        <f>WEEKDAY(PlanMasine[[#This Row],[ZAVRŠETAK MAŠINSKE]],2)</f>
        <v>7</v>
      </c>
      <c r="V226" s="3">
        <f>IF(WEEKDAY(PlanMasine[[#This Row],[Datum SAS]]-1,2)=7,PlanMasine[[#This Row],[Datum SAS]]-3,PlanMasine[[#This Row],[Datum SAS]]-1)</f>
        <v>45807</v>
      </c>
      <c r="W226">
        <f>WEEKNUM(PlanMasine[[#This Row],[Column2]],1)</f>
        <v>22</v>
      </c>
    </row>
    <row r="227" spans="1:23" x14ac:dyDescent="0.35">
      <c r="A227">
        <v>1027372</v>
      </c>
      <c r="B227">
        <v>2</v>
      </c>
      <c r="C227">
        <v>1027377</v>
      </c>
      <c r="D227" t="s">
        <v>1791</v>
      </c>
      <c r="E227">
        <v>70</v>
      </c>
      <c r="F227">
        <v>2</v>
      </c>
      <c r="G227">
        <v>0</v>
      </c>
      <c r="H227">
        <v>0</v>
      </c>
      <c r="I227" t="s">
        <v>24</v>
      </c>
      <c r="J227" t="s">
        <v>597</v>
      </c>
      <c r="K227" t="s">
        <v>1901</v>
      </c>
      <c r="L227" s="3">
        <v>45835</v>
      </c>
      <c r="M227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4.8611111111111112E-2</v>
      </c>
      <c r="N227" s="3">
        <v>45810</v>
      </c>
      <c r="O227" s="5">
        <f>IFERROR((PlanMasine[[#This Row],[Norma]]/PlanMasine[[#This Row],[Q]])*(PlanMasine[[#This Row],[Q]]/SUMIF(C:C,PlanMasine[[#This Row],[RN]],B:B)*PlanMasine[[#This Row],[KPLQ]]),0)</f>
        <v>70</v>
      </c>
      <c r="P227">
        <v>159594</v>
      </c>
      <c r="Q227">
        <f>COUNTIF(PROMJENA!A:A,PlanMasine[[#This Row],[KPL]]&amp;"-"&amp;PlanMasine[[#This Row],[RN]])</f>
        <v>0</v>
      </c>
      <c r="R227">
        <f>IFERROR(INDEX(REDOSLIJED!A:A,MATCH(PlanMasine[[#This Row],[KPL]],REDOSLIJED!B:B,0)),MAX(REDOSLIJED!A:A)+1)</f>
        <v>45</v>
      </c>
      <c r="S227" s="9">
        <f>SUM($M$2:M227)</f>
        <v>9.8241666666666738</v>
      </c>
      <c r="T227" s="3">
        <f>PlanMasine[[#This Row],[Datum SAS]]-1</f>
        <v>45809</v>
      </c>
      <c r="U227">
        <f>WEEKDAY(PlanMasine[[#This Row],[ZAVRŠETAK MAŠINSKE]],2)</f>
        <v>7</v>
      </c>
      <c r="V227" s="3">
        <f>IF(WEEKDAY(PlanMasine[[#This Row],[Datum SAS]]-1,2)=7,PlanMasine[[#This Row],[Datum SAS]]-3,PlanMasine[[#This Row],[Datum SAS]]-1)</f>
        <v>45807</v>
      </c>
      <c r="W227">
        <f>WEEKNUM(PlanMasine[[#This Row],[Column2]],1)</f>
        <v>22</v>
      </c>
    </row>
    <row r="228" spans="1:23" x14ac:dyDescent="0.35">
      <c r="A228">
        <v>1027372</v>
      </c>
      <c r="B228">
        <v>2</v>
      </c>
      <c r="C228">
        <v>1027374</v>
      </c>
      <c r="D228" t="s">
        <v>1617</v>
      </c>
      <c r="E228">
        <v>40</v>
      </c>
      <c r="F228">
        <v>2</v>
      </c>
      <c r="G228">
        <v>0</v>
      </c>
      <c r="H228">
        <v>0</v>
      </c>
      <c r="I228" t="s">
        <v>24</v>
      </c>
      <c r="J228" t="s">
        <v>597</v>
      </c>
      <c r="K228" t="s">
        <v>1901</v>
      </c>
      <c r="L228" s="3">
        <v>45835</v>
      </c>
      <c r="M228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2.7777777777777776E-2</v>
      </c>
      <c r="N228" s="3">
        <v>45810</v>
      </c>
      <c r="O228" s="5">
        <f>IFERROR((PlanMasine[[#This Row],[Norma]]/PlanMasine[[#This Row],[Q]])*(PlanMasine[[#This Row],[Q]]/SUMIF(C:C,PlanMasine[[#This Row],[RN]],B:B)*PlanMasine[[#This Row],[KPLQ]]),0)</f>
        <v>40</v>
      </c>
      <c r="P228">
        <v>159591</v>
      </c>
      <c r="Q228">
        <f>COUNTIF(PROMJENA!A:A,PlanMasine[[#This Row],[KPL]]&amp;"-"&amp;PlanMasine[[#This Row],[RN]])</f>
        <v>0</v>
      </c>
      <c r="R228">
        <f>IFERROR(INDEX(REDOSLIJED!A:A,MATCH(PlanMasine[[#This Row],[KPL]],REDOSLIJED!B:B,0)),MAX(REDOSLIJED!A:A)+1)</f>
        <v>45</v>
      </c>
      <c r="S228" s="9">
        <f>SUM($M$2:M228)</f>
        <v>9.8519444444444524</v>
      </c>
      <c r="T228" s="3">
        <f>PlanMasine[[#This Row],[Datum SAS]]-1</f>
        <v>45809</v>
      </c>
      <c r="U228">
        <f>WEEKDAY(PlanMasine[[#This Row],[ZAVRŠETAK MAŠINSKE]],2)</f>
        <v>7</v>
      </c>
      <c r="V228" s="3">
        <f>IF(WEEKDAY(PlanMasine[[#This Row],[Datum SAS]]-1,2)=7,PlanMasine[[#This Row],[Datum SAS]]-3,PlanMasine[[#This Row],[Datum SAS]]-1)</f>
        <v>45807</v>
      </c>
      <c r="W228">
        <f>WEEKNUM(PlanMasine[[#This Row],[Column2]],1)</f>
        <v>22</v>
      </c>
    </row>
    <row r="229" spans="1:23" x14ac:dyDescent="0.35">
      <c r="A229">
        <v>1027372</v>
      </c>
      <c r="B229">
        <v>2</v>
      </c>
      <c r="C229">
        <v>1027375</v>
      </c>
      <c r="D229" t="s">
        <v>1793</v>
      </c>
      <c r="E229">
        <v>70</v>
      </c>
      <c r="F229">
        <v>2</v>
      </c>
      <c r="G229">
        <v>0</v>
      </c>
      <c r="H229">
        <v>0</v>
      </c>
      <c r="I229" t="s">
        <v>24</v>
      </c>
      <c r="J229" t="s">
        <v>597</v>
      </c>
      <c r="K229" t="s">
        <v>1901</v>
      </c>
      <c r="L229" s="3">
        <v>45835</v>
      </c>
      <c r="M229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4.8611111111111112E-2</v>
      </c>
      <c r="N229" s="3">
        <v>45810</v>
      </c>
      <c r="O229" s="5">
        <f>IFERROR((PlanMasine[[#This Row],[Norma]]/PlanMasine[[#This Row],[Q]])*(PlanMasine[[#This Row],[Q]]/SUMIF(C:C,PlanMasine[[#This Row],[RN]],B:B)*PlanMasine[[#This Row],[KPLQ]]),0)</f>
        <v>70</v>
      </c>
      <c r="P229">
        <v>159592</v>
      </c>
      <c r="Q229">
        <f>COUNTIF(PROMJENA!A:A,PlanMasine[[#This Row],[KPL]]&amp;"-"&amp;PlanMasine[[#This Row],[RN]])</f>
        <v>0</v>
      </c>
      <c r="R229">
        <f>IFERROR(INDEX(REDOSLIJED!A:A,MATCH(PlanMasine[[#This Row],[KPL]],REDOSLIJED!B:B,0)),MAX(REDOSLIJED!A:A)+1)</f>
        <v>45</v>
      </c>
      <c r="S229" s="9">
        <f>SUM($M$2:M229)</f>
        <v>9.9005555555555631</v>
      </c>
      <c r="T229" s="3">
        <f>PlanMasine[[#This Row],[Datum SAS]]-1</f>
        <v>45809</v>
      </c>
      <c r="U229">
        <f>WEEKDAY(PlanMasine[[#This Row],[ZAVRŠETAK MAŠINSKE]],2)</f>
        <v>7</v>
      </c>
      <c r="V229" s="3">
        <f>IF(WEEKDAY(PlanMasine[[#This Row],[Datum SAS]]-1,2)=7,PlanMasine[[#This Row],[Datum SAS]]-3,PlanMasine[[#This Row],[Datum SAS]]-1)</f>
        <v>45807</v>
      </c>
      <c r="W229">
        <f>WEEKNUM(PlanMasine[[#This Row],[Column2]],1)</f>
        <v>22</v>
      </c>
    </row>
    <row r="230" spans="1:23" x14ac:dyDescent="0.35">
      <c r="A230">
        <v>1027372</v>
      </c>
      <c r="B230">
        <v>2</v>
      </c>
      <c r="C230">
        <v>1027376</v>
      </c>
      <c r="D230" t="s">
        <v>1792</v>
      </c>
      <c r="E230">
        <v>90</v>
      </c>
      <c r="F230">
        <v>2</v>
      </c>
      <c r="G230">
        <v>0</v>
      </c>
      <c r="H230">
        <v>0</v>
      </c>
      <c r="I230" t="s">
        <v>24</v>
      </c>
      <c r="J230" t="s">
        <v>597</v>
      </c>
      <c r="K230" t="s">
        <v>1901</v>
      </c>
      <c r="L230" s="3">
        <v>45835</v>
      </c>
      <c r="M230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6.25E-2</v>
      </c>
      <c r="N230" s="3">
        <v>45810</v>
      </c>
      <c r="O230" s="5">
        <f>IFERROR((PlanMasine[[#This Row],[Norma]]/PlanMasine[[#This Row],[Q]])*(PlanMasine[[#This Row],[Q]]/SUMIF(C:C,PlanMasine[[#This Row],[RN]],B:B)*PlanMasine[[#This Row],[KPLQ]]),0)</f>
        <v>90</v>
      </c>
      <c r="P230">
        <v>159593</v>
      </c>
      <c r="Q230">
        <f>COUNTIF(PROMJENA!A:A,PlanMasine[[#This Row],[KPL]]&amp;"-"&amp;PlanMasine[[#This Row],[RN]])</f>
        <v>0</v>
      </c>
      <c r="R230">
        <f>IFERROR(INDEX(REDOSLIJED!A:A,MATCH(PlanMasine[[#This Row],[KPL]],REDOSLIJED!B:B,0)),MAX(REDOSLIJED!A:A)+1)</f>
        <v>45</v>
      </c>
      <c r="S230" s="9">
        <f>SUM($M$2:M230)</f>
        <v>9.9630555555555631</v>
      </c>
      <c r="T230" s="3">
        <f>PlanMasine[[#This Row],[Datum SAS]]-1</f>
        <v>45809</v>
      </c>
      <c r="U230">
        <f>WEEKDAY(PlanMasine[[#This Row],[ZAVRŠETAK MAŠINSKE]],2)</f>
        <v>7</v>
      </c>
      <c r="V230" s="3">
        <f>IF(WEEKDAY(PlanMasine[[#This Row],[Datum SAS]]-1,2)=7,PlanMasine[[#This Row],[Datum SAS]]-3,PlanMasine[[#This Row],[Datum SAS]]-1)</f>
        <v>45807</v>
      </c>
      <c r="W230">
        <f>WEEKNUM(PlanMasine[[#This Row],[Column2]],1)</f>
        <v>22</v>
      </c>
    </row>
    <row r="231" spans="1:23" x14ac:dyDescent="0.35">
      <c r="A231">
        <v>1027372</v>
      </c>
      <c r="B231">
        <v>2</v>
      </c>
      <c r="C231">
        <v>1027378</v>
      </c>
      <c r="D231" t="s">
        <v>1618</v>
      </c>
      <c r="E231">
        <v>50</v>
      </c>
      <c r="F231">
        <v>2</v>
      </c>
      <c r="G231">
        <v>0</v>
      </c>
      <c r="H231">
        <v>0</v>
      </c>
      <c r="I231" t="s">
        <v>24</v>
      </c>
      <c r="J231" t="s">
        <v>597</v>
      </c>
      <c r="K231" t="s">
        <v>1901</v>
      </c>
      <c r="L231" s="3">
        <v>45835</v>
      </c>
      <c r="M231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3.4722222222222224E-2</v>
      </c>
      <c r="N231" s="3">
        <v>45810</v>
      </c>
      <c r="O231" s="5">
        <f>IFERROR((PlanMasine[[#This Row],[Norma]]/PlanMasine[[#This Row],[Q]])*(PlanMasine[[#This Row],[Q]]/SUMIF(C:C,PlanMasine[[#This Row],[RN]],B:B)*PlanMasine[[#This Row],[KPLQ]]),0)</f>
        <v>50</v>
      </c>
      <c r="P231">
        <v>159595</v>
      </c>
      <c r="Q231">
        <f>COUNTIF(PROMJENA!A:A,PlanMasine[[#This Row],[KPL]]&amp;"-"&amp;PlanMasine[[#This Row],[RN]])</f>
        <v>0</v>
      </c>
      <c r="R231">
        <f>IFERROR(INDEX(REDOSLIJED!A:A,MATCH(PlanMasine[[#This Row],[KPL]],REDOSLIJED!B:B,0)),MAX(REDOSLIJED!A:A)+1)</f>
        <v>45</v>
      </c>
      <c r="S231" s="9">
        <f>SUM($M$2:M231)</f>
        <v>9.9977777777777845</v>
      </c>
      <c r="T231" s="3">
        <f>PlanMasine[[#This Row],[Datum SAS]]-1</f>
        <v>45809</v>
      </c>
      <c r="U231">
        <f>WEEKDAY(PlanMasine[[#This Row],[ZAVRŠETAK MAŠINSKE]],2)</f>
        <v>7</v>
      </c>
      <c r="V231" s="3">
        <f>IF(WEEKDAY(PlanMasine[[#This Row],[Datum SAS]]-1,2)=7,PlanMasine[[#This Row],[Datum SAS]]-3,PlanMasine[[#This Row],[Datum SAS]]-1)</f>
        <v>45807</v>
      </c>
      <c r="W231">
        <f>WEEKNUM(PlanMasine[[#This Row],[Column2]],1)</f>
        <v>22</v>
      </c>
    </row>
    <row r="232" spans="1:23" x14ac:dyDescent="0.35">
      <c r="A232">
        <v>1027372</v>
      </c>
      <c r="B232">
        <v>2</v>
      </c>
      <c r="C232">
        <v>1027380</v>
      </c>
      <c r="D232" t="s">
        <v>1312</v>
      </c>
      <c r="E232">
        <v>24</v>
      </c>
      <c r="F232">
        <v>2</v>
      </c>
      <c r="G232">
        <v>0</v>
      </c>
      <c r="H232">
        <v>0</v>
      </c>
      <c r="I232" t="s">
        <v>24</v>
      </c>
      <c r="J232" t="s">
        <v>597</v>
      </c>
      <c r="K232" t="s">
        <v>1901</v>
      </c>
      <c r="L232" s="3">
        <v>45835</v>
      </c>
      <c r="M232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1.6666666666666666E-2</v>
      </c>
      <c r="N232" s="3">
        <v>45810</v>
      </c>
      <c r="O232" s="5">
        <f>IFERROR((PlanMasine[[#This Row],[Norma]]/PlanMasine[[#This Row],[Q]])*(PlanMasine[[#This Row],[Q]]/SUMIF(C:C,PlanMasine[[#This Row],[RN]],B:B)*PlanMasine[[#This Row],[KPLQ]]),0)</f>
        <v>24</v>
      </c>
      <c r="P232">
        <v>159597</v>
      </c>
      <c r="Q232">
        <f>COUNTIF(PROMJENA!A:A,PlanMasine[[#This Row],[KPL]]&amp;"-"&amp;PlanMasine[[#This Row],[RN]])</f>
        <v>0</v>
      </c>
      <c r="R232">
        <f>IFERROR(INDEX(REDOSLIJED!A:A,MATCH(PlanMasine[[#This Row],[KPL]],REDOSLIJED!B:B,0)),MAX(REDOSLIJED!A:A)+1)</f>
        <v>45</v>
      </c>
      <c r="S232" s="9">
        <f>SUM($M$2:M232)</f>
        <v>10.014444444444452</v>
      </c>
      <c r="T232" s="3">
        <f>PlanMasine[[#This Row],[Datum SAS]]-1</f>
        <v>45809</v>
      </c>
      <c r="U232">
        <f>WEEKDAY(PlanMasine[[#This Row],[ZAVRŠETAK MAŠINSKE]],2)</f>
        <v>7</v>
      </c>
      <c r="V232" s="3">
        <f>IF(WEEKDAY(PlanMasine[[#This Row],[Datum SAS]]-1,2)=7,PlanMasine[[#This Row],[Datum SAS]]-3,PlanMasine[[#This Row],[Datum SAS]]-1)</f>
        <v>45807</v>
      </c>
      <c r="W232">
        <f>WEEKNUM(PlanMasine[[#This Row],[Column2]],1)</f>
        <v>22</v>
      </c>
    </row>
    <row r="233" spans="1:23" x14ac:dyDescent="0.35">
      <c r="A233">
        <v>1028203</v>
      </c>
      <c r="B233">
        <v>1</v>
      </c>
      <c r="C233">
        <v>1028231</v>
      </c>
      <c r="D233" t="s">
        <v>1902</v>
      </c>
      <c r="E233">
        <v>15</v>
      </c>
      <c r="F233">
        <v>1</v>
      </c>
      <c r="G233">
        <v>0</v>
      </c>
      <c r="H233">
        <v>0</v>
      </c>
      <c r="I233" t="s">
        <v>24</v>
      </c>
      <c r="J233" t="s">
        <v>597</v>
      </c>
      <c r="K233" t="s">
        <v>1903</v>
      </c>
      <c r="L233" s="3">
        <v>45834</v>
      </c>
      <c r="M233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1.0416666666666666E-2</v>
      </c>
      <c r="N233" s="3">
        <v>45810</v>
      </c>
      <c r="O233" s="5">
        <f>IFERROR((PlanMasine[[#This Row],[Norma]]/PlanMasine[[#This Row],[Q]])*(PlanMasine[[#This Row],[Q]]/SUMIF(C:C,PlanMasine[[#This Row],[RN]],B:B)*PlanMasine[[#This Row],[KPLQ]]),0)</f>
        <v>15</v>
      </c>
      <c r="P233">
        <v>226174</v>
      </c>
      <c r="Q233">
        <f>COUNTIF(PROMJENA!A:A,PlanMasine[[#This Row],[KPL]]&amp;"-"&amp;PlanMasine[[#This Row],[RN]])</f>
        <v>0</v>
      </c>
      <c r="R233">
        <f>IFERROR(INDEX(REDOSLIJED!A:A,MATCH(PlanMasine[[#This Row],[KPL]],REDOSLIJED!B:B,0)),MAX(REDOSLIJED!A:A)+1)</f>
        <v>45</v>
      </c>
      <c r="S233" s="9">
        <f>SUM($M$2:M233)</f>
        <v>10.024861111111118</v>
      </c>
      <c r="T233" s="3">
        <f>PlanMasine[[#This Row],[Datum SAS]]-1</f>
        <v>45809</v>
      </c>
      <c r="U233">
        <f>WEEKDAY(PlanMasine[[#This Row],[ZAVRŠETAK MAŠINSKE]],2)</f>
        <v>7</v>
      </c>
      <c r="V233" s="3">
        <f>IF(WEEKDAY(PlanMasine[[#This Row],[Datum SAS]]-1,2)=7,PlanMasine[[#This Row],[Datum SAS]]-3,PlanMasine[[#This Row],[Datum SAS]]-1)</f>
        <v>45807</v>
      </c>
      <c r="W233">
        <f>WEEKNUM(PlanMasine[[#This Row],[Column2]],1)</f>
        <v>22</v>
      </c>
    </row>
    <row r="234" spans="1:23" x14ac:dyDescent="0.35">
      <c r="A234">
        <v>1028203</v>
      </c>
      <c r="B234">
        <v>1</v>
      </c>
      <c r="C234">
        <v>1028205</v>
      </c>
      <c r="D234" t="s">
        <v>1904</v>
      </c>
      <c r="E234">
        <v>15</v>
      </c>
      <c r="F234">
        <v>1</v>
      </c>
      <c r="G234">
        <v>0</v>
      </c>
      <c r="H234">
        <v>0</v>
      </c>
      <c r="I234" t="s">
        <v>24</v>
      </c>
      <c r="J234" t="s">
        <v>597</v>
      </c>
      <c r="K234" t="s">
        <v>1903</v>
      </c>
      <c r="L234" s="3">
        <v>45834</v>
      </c>
      <c r="M234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1.0416666666666666E-2</v>
      </c>
      <c r="N234" s="3">
        <v>45810</v>
      </c>
      <c r="O234" s="5">
        <f>IFERROR((PlanMasine[[#This Row],[Norma]]/PlanMasine[[#This Row],[Q]])*(PlanMasine[[#This Row],[Q]]/SUMIF(C:C,PlanMasine[[#This Row],[RN]],B:B)*PlanMasine[[#This Row],[KPLQ]]),0)</f>
        <v>15</v>
      </c>
      <c r="P234">
        <v>226149</v>
      </c>
      <c r="Q234">
        <f>COUNTIF(PROMJENA!A:A,PlanMasine[[#This Row],[KPL]]&amp;"-"&amp;PlanMasine[[#This Row],[RN]])</f>
        <v>0</v>
      </c>
      <c r="R234">
        <f>IFERROR(INDEX(REDOSLIJED!A:A,MATCH(PlanMasine[[#This Row],[KPL]],REDOSLIJED!B:B,0)),MAX(REDOSLIJED!A:A)+1)</f>
        <v>45</v>
      </c>
      <c r="S234" s="9">
        <f>SUM($M$2:M234)</f>
        <v>10.035277777777784</v>
      </c>
      <c r="T234" s="3">
        <f>PlanMasine[[#This Row],[Datum SAS]]-1</f>
        <v>45809</v>
      </c>
      <c r="U234">
        <f>WEEKDAY(PlanMasine[[#This Row],[ZAVRŠETAK MAŠINSKE]],2)</f>
        <v>7</v>
      </c>
      <c r="V234" s="3">
        <f>IF(WEEKDAY(PlanMasine[[#This Row],[Datum SAS]]-1,2)=7,PlanMasine[[#This Row],[Datum SAS]]-3,PlanMasine[[#This Row],[Datum SAS]]-1)</f>
        <v>45807</v>
      </c>
      <c r="W234">
        <f>WEEKNUM(PlanMasine[[#This Row],[Column2]],1)</f>
        <v>22</v>
      </c>
    </row>
    <row r="235" spans="1:23" x14ac:dyDescent="0.35">
      <c r="A235">
        <v>1028203</v>
      </c>
      <c r="B235">
        <v>1</v>
      </c>
      <c r="C235">
        <v>1028204</v>
      </c>
      <c r="D235" t="s">
        <v>1905</v>
      </c>
      <c r="E235">
        <v>15</v>
      </c>
      <c r="F235">
        <v>1</v>
      </c>
      <c r="G235">
        <v>0</v>
      </c>
      <c r="H235">
        <v>0</v>
      </c>
      <c r="I235" t="s">
        <v>24</v>
      </c>
      <c r="J235" t="s">
        <v>597</v>
      </c>
      <c r="K235" t="s">
        <v>1903</v>
      </c>
      <c r="L235" s="3">
        <v>45834</v>
      </c>
      <c r="M235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1.0416666666666666E-2</v>
      </c>
      <c r="N235" s="3">
        <v>45810</v>
      </c>
      <c r="O235" s="5">
        <f>IFERROR((PlanMasine[[#This Row],[Norma]]/PlanMasine[[#This Row],[Q]])*(PlanMasine[[#This Row],[Q]]/SUMIF(C:C,PlanMasine[[#This Row],[RN]],B:B)*PlanMasine[[#This Row],[KPLQ]]),0)</f>
        <v>15</v>
      </c>
      <c r="P235">
        <v>226148</v>
      </c>
      <c r="Q235">
        <f>COUNTIF(PROMJENA!A:A,PlanMasine[[#This Row],[KPL]]&amp;"-"&amp;PlanMasine[[#This Row],[RN]])</f>
        <v>0</v>
      </c>
      <c r="R235">
        <f>IFERROR(INDEX(REDOSLIJED!A:A,MATCH(PlanMasine[[#This Row],[KPL]],REDOSLIJED!B:B,0)),MAX(REDOSLIJED!A:A)+1)</f>
        <v>45</v>
      </c>
      <c r="S235" s="9">
        <f>SUM($M$2:M235)</f>
        <v>10.04569444444445</v>
      </c>
      <c r="T235" s="3">
        <f>PlanMasine[[#This Row],[Datum SAS]]-1</f>
        <v>45809</v>
      </c>
      <c r="U235">
        <f>WEEKDAY(PlanMasine[[#This Row],[ZAVRŠETAK MAŠINSKE]],2)</f>
        <v>7</v>
      </c>
      <c r="V235" s="3">
        <f>IF(WEEKDAY(PlanMasine[[#This Row],[Datum SAS]]-1,2)=7,PlanMasine[[#This Row],[Datum SAS]]-3,PlanMasine[[#This Row],[Datum SAS]]-1)</f>
        <v>45807</v>
      </c>
      <c r="W235">
        <f>WEEKNUM(PlanMasine[[#This Row],[Column2]],1)</f>
        <v>22</v>
      </c>
    </row>
    <row r="236" spans="1:23" x14ac:dyDescent="0.35">
      <c r="A236">
        <v>1028669</v>
      </c>
      <c r="B236">
        <v>6</v>
      </c>
      <c r="C236">
        <v>1028671</v>
      </c>
      <c r="D236" t="s">
        <v>1906</v>
      </c>
      <c r="E236">
        <v>150</v>
      </c>
      <c r="F236">
        <v>6</v>
      </c>
      <c r="G236">
        <v>0</v>
      </c>
      <c r="H236">
        <v>0</v>
      </c>
      <c r="I236" t="s">
        <v>24</v>
      </c>
      <c r="J236" t="s">
        <v>597</v>
      </c>
      <c r="K236" t="s">
        <v>1907</v>
      </c>
      <c r="L236" s="3">
        <v>45838</v>
      </c>
      <c r="M236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0.10416666666666667</v>
      </c>
      <c r="N236" s="3">
        <v>45810</v>
      </c>
      <c r="O236" s="5">
        <f>IFERROR((PlanMasine[[#This Row],[Norma]]/PlanMasine[[#This Row],[Q]])*(PlanMasine[[#This Row],[Q]]/SUMIF(C:C,PlanMasine[[#This Row],[RN]],B:B)*PlanMasine[[#This Row],[KPLQ]]),0)</f>
        <v>150</v>
      </c>
      <c r="P236">
        <v>216452</v>
      </c>
      <c r="Q236">
        <f>COUNTIF(PROMJENA!A:A,PlanMasine[[#This Row],[KPL]]&amp;"-"&amp;PlanMasine[[#This Row],[RN]])</f>
        <v>0</v>
      </c>
      <c r="R236">
        <f>IFERROR(INDEX(REDOSLIJED!A:A,MATCH(PlanMasine[[#This Row],[KPL]],REDOSLIJED!B:B,0)),MAX(REDOSLIJED!A:A)+1)</f>
        <v>45</v>
      </c>
      <c r="S236" s="9">
        <f>SUM($M$2:M236)</f>
        <v>10.149861111111116</v>
      </c>
      <c r="T236" s="3">
        <f>PlanMasine[[#This Row],[Datum SAS]]-1</f>
        <v>45809</v>
      </c>
      <c r="U236">
        <f>WEEKDAY(PlanMasine[[#This Row],[ZAVRŠETAK MAŠINSKE]],2)</f>
        <v>7</v>
      </c>
      <c r="V236" s="3">
        <f>IF(WEEKDAY(PlanMasine[[#This Row],[Datum SAS]]-1,2)=7,PlanMasine[[#This Row],[Datum SAS]]-3,PlanMasine[[#This Row],[Datum SAS]]-1)</f>
        <v>45807</v>
      </c>
      <c r="W236">
        <f>WEEKNUM(PlanMasine[[#This Row],[Column2]],1)</f>
        <v>22</v>
      </c>
    </row>
    <row r="237" spans="1:23" x14ac:dyDescent="0.35">
      <c r="A237">
        <v>1029336</v>
      </c>
      <c r="B237">
        <v>1</v>
      </c>
      <c r="C237">
        <v>1029337</v>
      </c>
      <c r="D237" t="s">
        <v>1908</v>
      </c>
      <c r="E237">
        <v>60</v>
      </c>
      <c r="F237">
        <v>2</v>
      </c>
      <c r="G237">
        <v>0</v>
      </c>
      <c r="H237">
        <v>0</v>
      </c>
      <c r="I237" t="s">
        <v>24</v>
      </c>
      <c r="J237" t="s">
        <v>597</v>
      </c>
      <c r="K237" t="s">
        <v>1909</v>
      </c>
      <c r="L237" s="3">
        <v>45835</v>
      </c>
      <c r="M237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4.1666666666666664E-2</v>
      </c>
      <c r="N237" s="3">
        <v>45810</v>
      </c>
      <c r="O237" s="5">
        <f>IFERROR((PlanMasine[[#This Row],[Norma]]/PlanMasine[[#This Row],[Q]])*(PlanMasine[[#This Row],[Q]]/SUMIF(C:C,PlanMasine[[#This Row],[RN]],B:B)*PlanMasine[[#This Row],[KPLQ]]),0)</f>
        <v>60</v>
      </c>
      <c r="P237">
        <v>233224</v>
      </c>
      <c r="Q237">
        <f>COUNTIF(PROMJENA!A:A,PlanMasine[[#This Row],[KPL]]&amp;"-"&amp;PlanMasine[[#This Row],[RN]])</f>
        <v>0</v>
      </c>
      <c r="R237">
        <f>IFERROR(INDEX(REDOSLIJED!A:A,MATCH(PlanMasine[[#This Row],[KPL]],REDOSLIJED!B:B,0)),MAX(REDOSLIJED!A:A)+1)</f>
        <v>45</v>
      </c>
      <c r="S237" s="9">
        <f>SUM($M$2:M237)</f>
        <v>10.191527777777782</v>
      </c>
      <c r="T237" s="3">
        <f>PlanMasine[[#This Row],[Datum SAS]]-1</f>
        <v>45809</v>
      </c>
      <c r="U237">
        <f>WEEKDAY(PlanMasine[[#This Row],[ZAVRŠETAK MAŠINSKE]],2)</f>
        <v>7</v>
      </c>
      <c r="V237" s="3">
        <f>IF(WEEKDAY(PlanMasine[[#This Row],[Datum SAS]]-1,2)=7,PlanMasine[[#This Row],[Datum SAS]]-3,PlanMasine[[#This Row],[Datum SAS]]-1)</f>
        <v>45807</v>
      </c>
      <c r="W237">
        <f>WEEKNUM(PlanMasine[[#This Row],[Column2]],1)</f>
        <v>22</v>
      </c>
    </row>
    <row r="238" spans="1:23" x14ac:dyDescent="0.35">
      <c r="A238">
        <v>1029359</v>
      </c>
      <c r="B238">
        <v>1</v>
      </c>
      <c r="C238">
        <v>1029360</v>
      </c>
      <c r="D238" t="s">
        <v>1908</v>
      </c>
      <c r="E238">
        <v>60</v>
      </c>
      <c r="F238">
        <v>2</v>
      </c>
      <c r="G238">
        <v>0</v>
      </c>
      <c r="H238">
        <v>0</v>
      </c>
      <c r="I238" t="s">
        <v>24</v>
      </c>
      <c r="J238" t="s">
        <v>597</v>
      </c>
      <c r="K238" t="s">
        <v>1910</v>
      </c>
      <c r="L238" s="3">
        <v>45835</v>
      </c>
      <c r="M238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4.1666666666666664E-2</v>
      </c>
      <c r="N238" s="3">
        <v>45810</v>
      </c>
      <c r="O238" s="5">
        <f>IFERROR((PlanMasine[[#This Row],[Norma]]/PlanMasine[[#This Row],[Q]])*(PlanMasine[[#This Row],[Q]]/SUMIF(C:C,PlanMasine[[#This Row],[RN]],B:B)*PlanMasine[[#This Row],[KPLQ]]),0)</f>
        <v>60</v>
      </c>
      <c r="P238">
        <v>233224</v>
      </c>
      <c r="Q238">
        <f>COUNTIF(PROMJENA!A:A,PlanMasine[[#This Row],[KPL]]&amp;"-"&amp;PlanMasine[[#This Row],[RN]])</f>
        <v>0</v>
      </c>
      <c r="R238">
        <f>IFERROR(INDEX(REDOSLIJED!A:A,MATCH(PlanMasine[[#This Row],[KPL]],REDOSLIJED!B:B,0)),MAX(REDOSLIJED!A:A)+1)</f>
        <v>45</v>
      </c>
      <c r="S238" s="9">
        <f>SUM($M$2:M238)</f>
        <v>10.233194444444448</v>
      </c>
      <c r="T238" s="3">
        <f>PlanMasine[[#This Row],[Datum SAS]]-1</f>
        <v>45809</v>
      </c>
      <c r="U238">
        <f>WEEKDAY(PlanMasine[[#This Row],[ZAVRŠETAK MAŠINSKE]],2)</f>
        <v>7</v>
      </c>
      <c r="V238" s="3">
        <f>IF(WEEKDAY(PlanMasine[[#This Row],[Datum SAS]]-1,2)=7,PlanMasine[[#This Row],[Datum SAS]]-3,PlanMasine[[#This Row],[Datum SAS]]-1)</f>
        <v>45807</v>
      </c>
      <c r="W238">
        <f>WEEKNUM(PlanMasine[[#This Row],[Column2]],1)</f>
        <v>22</v>
      </c>
    </row>
    <row r="239" spans="1:23" x14ac:dyDescent="0.35">
      <c r="A239">
        <v>1029382</v>
      </c>
      <c r="B239">
        <v>1</v>
      </c>
      <c r="C239">
        <v>1029383</v>
      </c>
      <c r="D239" t="s">
        <v>1908</v>
      </c>
      <c r="E239">
        <v>60</v>
      </c>
      <c r="F239">
        <v>2</v>
      </c>
      <c r="G239">
        <v>0</v>
      </c>
      <c r="H239">
        <v>0</v>
      </c>
      <c r="I239" t="s">
        <v>24</v>
      </c>
      <c r="J239" t="s">
        <v>597</v>
      </c>
      <c r="K239" t="s">
        <v>1911</v>
      </c>
      <c r="L239" s="3">
        <v>45835</v>
      </c>
      <c r="M239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4.1666666666666664E-2</v>
      </c>
      <c r="N239" s="3">
        <v>45810</v>
      </c>
      <c r="O239" s="5">
        <f>IFERROR((PlanMasine[[#This Row],[Norma]]/PlanMasine[[#This Row],[Q]])*(PlanMasine[[#This Row],[Q]]/SUMIF(C:C,PlanMasine[[#This Row],[RN]],B:B)*PlanMasine[[#This Row],[KPLQ]]),0)</f>
        <v>60</v>
      </c>
      <c r="P239">
        <v>233224</v>
      </c>
      <c r="Q239">
        <f>COUNTIF(PROMJENA!A:A,PlanMasine[[#This Row],[KPL]]&amp;"-"&amp;PlanMasine[[#This Row],[RN]])</f>
        <v>0</v>
      </c>
      <c r="R239">
        <f>IFERROR(INDEX(REDOSLIJED!A:A,MATCH(PlanMasine[[#This Row],[KPL]],REDOSLIJED!B:B,0)),MAX(REDOSLIJED!A:A)+1)</f>
        <v>45</v>
      </c>
      <c r="S239" s="9">
        <f>SUM($M$2:M239)</f>
        <v>10.274861111111115</v>
      </c>
      <c r="T239" s="3">
        <f>PlanMasine[[#This Row],[Datum SAS]]-1</f>
        <v>45809</v>
      </c>
      <c r="U239">
        <f>WEEKDAY(PlanMasine[[#This Row],[ZAVRŠETAK MAŠINSKE]],2)</f>
        <v>7</v>
      </c>
      <c r="V239" s="3">
        <f>IF(WEEKDAY(PlanMasine[[#This Row],[Datum SAS]]-1,2)=7,PlanMasine[[#This Row],[Datum SAS]]-3,PlanMasine[[#This Row],[Datum SAS]]-1)</f>
        <v>45807</v>
      </c>
      <c r="W239">
        <f>WEEKNUM(PlanMasine[[#This Row],[Column2]],1)</f>
        <v>22</v>
      </c>
    </row>
    <row r="240" spans="1:23" x14ac:dyDescent="0.35">
      <c r="A240">
        <v>1029402</v>
      </c>
      <c r="B240">
        <v>1</v>
      </c>
      <c r="C240">
        <v>1029403</v>
      </c>
      <c r="D240" t="s">
        <v>1908</v>
      </c>
      <c r="E240">
        <v>60</v>
      </c>
      <c r="F240">
        <v>2</v>
      </c>
      <c r="G240">
        <v>0</v>
      </c>
      <c r="H240">
        <v>0</v>
      </c>
      <c r="I240" t="s">
        <v>24</v>
      </c>
      <c r="J240" t="s">
        <v>597</v>
      </c>
      <c r="K240" t="s">
        <v>1912</v>
      </c>
      <c r="L240" s="3">
        <v>45835</v>
      </c>
      <c r="M240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4.1666666666666664E-2</v>
      </c>
      <c r="N240" s="3">
        <v>45810</v>
      </c>
      <c r="O240" s="5">
        <f>IFERROR((PlanMasine[[#This Row],[Norma]]/PlanMasine[[#This Row],[Q]])*(PlanMasine[[#This Row],[Q]]/SUMIF(C:C,PlanMasine[[#This Row],[RN]],B:B)*PlanMasine[[#This Row],[KPLQ]]),0)</f>
        <v>60</v>
      </c>
      <c r="P240">
        <v>233224</v>
      </c>
      <c r="Q240">
        <f>COUNTIF(PROMJENA!A:A,PlanMasine[[#This Row],[KPL]]&amp;"-"&amp;PlanMasine[[#This Row],[RN]])</f>
        <v>0</v>
      </c>
      <c r="R240">
        <f>IFERROR(INDEX(REDOSLIJED!A:A,MATCH(PlanMasine[[#This Row],[KPL]],REDOSLIJED!B:B,0)),MAX(REDOSLIJED!A:A)+1)</f>
        <v>45</v>
      </c>
      <c r="S240" s="9">
        <f>SUM($M$2:M240)</f>
        <v>10.316527777777781</v>
      </c>
      <c r="T240" s="3">
        <f>PlanMasine[[#This Row],[Datum SAS]]-1</f>
        <v>45809</v>
      </c>
      <c r="U240">
        <f>WEEKDAY(PlanMasine[[#This Row],[ZAVRŠETAK MAŠINSKE]],2)</f>
        <v>7</v>
      </c>
      <c r="V240" s="3">
        <f>IF(WEEKDAY(PlanMasine[[#This Row],[Datum SAS]]-1,2)=7,PlanMasine[[#This Row],[Datum SAS]]-3,PlanMasine[[#This Row],[Datum SAS]]-1)</f>
        <v>45807</v>
      </c>
      <c r="W240">
        <f>WEEKNUM(PlanMasine[[#This Row],[Column2]],1)</f>
        <v>22</v>
      </c>
    </row>
    <row r="241" spans="1:23" x14ac:dyDescent="0.35">
      <c r="A241">
        <v>1003849</v>
      </c>
      <c r="B241">
        <v>1</v>
      </c>
      <c r="C241">
        <v>1003881</v>
      </c>
      <c r="D241" t="s">
        <v>1754</v>
      </c>
      <c r="E241">
        <v>120</v>
      </c>
      <c r="F241">
        <v>12</v>
      </c>
      <c r="G241">
        <v>0</v>
      </c>
      <c r="H241">
        <v>0</v>
      </c>
      <c r="I241" t="s">
        <v>24</v>
      </c>
      <c r="J241" t="s">
        <v>597</v>
      </c>
      <c r="K241" t="s">
        <v>1913</v>
      </c>
      <c r="L241" s="3">
        <v>45826</v>
      </c>
      <c r="M241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6.9444444444444441E-3</v>
      </c>
      <c r="N241" s="3">
        <v>45811</v>
      </c>
      <c r="O241" s="5">
        <f>IFERROR((PlanMasine[[#This Row],[Norma]]/PlanMasine[[#This Row],[Q]])*(PlanMasine[[#This Row],[Q]]/SUMIF(C:C,PlanMasine[[#This Row],[RN]],B:B)*PlanMasine[[#This Row],[KPLQ]]),0)</f>
        <v>10</v>
      </c>
      <c r="P241">
        <v>227549</v>
      </c>
      <c r="Q241">
        <f>COUNTIF(PROMJENA!A:A,PlanMasine[[#This Row],[KPL]]&amp;"-"&amp;PlanMasine[[#This Row],[RN]])</f>
        <v>0</v>
      </c>
      <c r="R241">
        <f>IFERROR(INDEX(REDOSLIJED!A:A,MATCH(PlanMasine[[#This Row],[KPL]],REDOSLIJED!B:B,0)),MAX(REDOSLIJED!A:A)+1)</f>
        <v>45</v>
      </c>
      <c r="S241" s="9">
        <f>SUM($M$2:M241)</f>
        <v>10.323472222222225</v>
      </c>
      <c r="T241" s="3">
        <f>PlanMasine[[#This Row],[Datum SAS]]-1</f>
        <v>45810</v>
      </c>
      <c r="U241">
        <f>WEEKDAY(PlanMasine[[#This Row],[ZAVRŠETAK MAŠINSKE]],2)</f>
        <v>1</v>
      </c>
      <c r="V241" s="3">
        <f>IF(WEEKDAY(PlanMasine[[#This Row],[Datum SAS]]-1,2)=7,PlanMasine[[#This Row],[Datum SAS]]-3,PlanMasine[[#This Row],[Datum SAS]]-1)</f>
        <v>45810</v>
      </c>
      <c r="W241">
        <f>WEEKNUM(PlanMasine[[#This Row],[Column2]],1)</f>
        <v>23</v>
      </c>
    </row>
    <row r="242" spans="1:23" x14ac:dyDescent="0.35">
      <c r="A242">
        <v>1003849</v>
      </c>
      <c r="B242">
        <v>1</v>
      </c>
      <c r="C242">
        <v>1003897</v>
      </c>
      <c r="D242" t="s">
        <v>1755</v>
      </c>
      <c r="E242">
        <v>660</v>
      </c>
      <c r="F242">
        <v>12</v>
      </c>
      <c r="G242">
        <v>0</v>
      </c>
      <c r="H242">
        <v>0</v>
      </c>
      <c r="I242" t="s">
        <v>24</v>
      </c>
      <c r="J242" t="s">
        <v>597</v>
      </c>
      <c r="K242" t="s">
        <v>1913</v>
      </c>
      <c r="L242" s="3">
        <v>45826</v>
      </c>
      <c r="M242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3.8194444444444441E-2</v>
      </c>
      <c r="N242" s="3">
        <v>45811</v>
      </c>
      <c r="O242" s="5">
        <f>IFERROR((PlanMasine[[#This Row],[Norma]]/PlanMasine[[#This Row],[Q]])*(PlanMasine[[#This Row],[Q]]/SUMIF(C:C,PlanMasine[[#This Row],[RN]],B:B)*PlanMasine[[#This Row],[KPLQ]]),0)</f>
        <v>55</v>
      </c>
      <c r="P242">
        <v>227566</v>
      </c>
      <c r="Q242">
        <f>COUNTIF(PROMJENA!A:A,PlanMasine[[#This Row],[KPL]]&amp;"-"&amp;PlanMasine[[#This Row],[RN]])</f>
        <v>0</v>
      </c>
      <c r="R242">
        <f>IFERROR(INDEX(REDOSLIJED!A:A,MATCH(PlanMasine[[#This Row],[KPL]],REDOSLIJED!B:B,0)),MAX(REDOSLIJED!A:A)+1)</f>
        <v>45</v>
      </c>
      <c r="S242" s="9">
        <f>SUM($M$2:M242)</f>
        <v>10.36166666666667</v>
      </c>
      <c r="T242" s="3">
        <f>PlanMasine[[#This Row],[Datum SAS]]-1</f>
        <v>45810</v>
      </c>
      <c r="U242">
        <f>WEEKDAY(PlanMasine[[#This Row],[ZAVRŠETAK MAŠINSKE]],2)</f>
        <v>1</v>
      </c>
      <c r="V242" s="3">
        <f>IF(WEEKDAY(PlanMasine[[#This Row],[Datum SAS]]-1,2)=7,PlanMasine[[#This Row],[Datum SAS]]-3,PlanMasine[[#This Row],[Datum SAS]]-1)</f>
        <v>45810</v>
      </c>
      <c r="W242">
        <f>WEEKNUM(PlanMasine[[#This Row],[Column2]],1)</f>
        <v>23</v>
      </c>
    </row>
    <row r="243" spans="1:23" x14ac:dyDescent="0.35">
      <c r="A243">
        <v>1003850</v>
      </c>
      <c r="B243">
        <v>1</v>
      </c>
      <c r="C243">
        <v>1003897</v>
      </c>
      <c r="D243" t="s">
        <v>1755</v>
      </c>
      <c r="E243">
        <v>660</v>
      </c>
      <c r="F243">
        <v>12</v>
      </c>
      <c r="G243">
        <v>0</v>
      </c>
      <c r="H243">
        <v>0</v>
      </c>
      <c r="I243" t="s">
        <v>24</v>
      </c>
      <c r="J243" t="s">
        <v>597</v>
      </c>
      <c r="K243" t="s">
        <v>1913</v>
      </c>
      <c r="L243" s="3">
        <v>45826</v>
      </c>
      <c r="M243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3.8194444444444441E-2</v>
      </c>
      <c r="N243" s="3">
        <v>45811</v>
      </c>
      <c r="O243" s="5">
        <f>IFERROR((PlanMasine[[#This Row],[Norma]]/PlanMasine[[#This Row],[Q]])*(PlanMasine[[#This Row],[Q]]/SUMIF(C:C,PlanMasine[[#This Row],[RN]],B:B)*PlanMasine[[#This Row],[KPLQ]]),0)</f>
        <v>55</v>
      </c>
      <c r="P243">
        <v>227566</v>
      </c>
      <c r="Q243">
        <f>COUNTIF(PROMJENA!A:A,PlanMasine[[#This Row],[KPL]]&amp;"-"&amp;PlanMasine[[#This Row],[RN]])</f>
        <v>0</v>
      </c>
      <c r="R243">
        <f>IFERROR(INDEX(REDOSLIJED!A:A,MATCH(PlanMasine[[#This Row],[KPL]],REDOSLIJED!B:B,0)),MAX(REDOSLIJED!A:A)+1)</f>
        <v>45</v>
      </c>
      <c r="S243" s="9">
        <f>SUM($M$2:M243)</f>
        <v>10.399861111111115</v>
      </c>
      <c r="T243" s="3">
        <f>PlanMasine[[#This Row],[Datum SAS]]-1</f>
        <v>45810</v>
      </c>
      <c r="U243">
        <f>WEEKDAY(PlanMasine[[#This Row],[ZAVRŠETAK MAŠINSKE]],2)</f>
        <v>1</v>
      </c>
      <c r="V243" s="3">
        <f>IF(WEEKDAY(PlanMasine[[#This Row],[Datum SAS]]-1,2)=7,PlanMasine[[#This Row],[Datum SAS]]-3,PlanMasine[[#This Row],[Datum SAS]]-1)</f>
        <v>45810</v>
      </c>
      <c r="W243">
        <f>WEEKNUM(PlanMasine[[#This Row],[Column2]],1)</f>
        <v>23</v>
      </c>
    </row>
    <row r="244" spans="1:23" x14ac:dyDescent="0.35">
      <c r="A244">
        <v>1003850</v>
      </c>
      <c r="B244">
        <v>1</v>
      </c>
      <c r="C244">
        <v>1003881</v>
      </c>
      <c r="D244" t="s">
        <v>1754</v>
      </c>
      <c r="E244">
        <v>120</v>
      </c>
      <c r="F244">
        <v>12</v>
      </c>
      <c r="G244">
        <v>0</v>
      </c>
      <c r="H244">
        <v>0</v>
      </c>
      <c r="I244" t="s">
        <v>24</v>
      </c>
      <c r="J244" t="s">
        <v>597</v>
      </c>
      <c r="K244" t="s">
        <v>1913</v>
      </c>
      <c r="L244" s="3">
        <v>45826</v>
      </c>
      <c r="M244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6.9444444444444441E-3</v>
      </c>
      <c r="N244" s="3">
        <v>45811</v>
      </c>
      <c r="O244" s="5">
        <f>IFERROR((PlanMasine[[#This Row],[Norma]]/PlanMasine[[#This Row],[Q]])*(PlanMasine[[#This Row],[Q]]/SUMIF(C:C,PlanMasine[[#This Row],[RN]],B:B)*PlanMasine[[#This Row],[KPLQ]]),0)</f>
        <v>10</v>
      </c>
      <c r="P244">
        <v>227549</v>
      </c>
      <c r="Q244">
        <f>COUNTIF(PROMJENA!A:A,PlanMasine[[#This Row],[KPL]]&amp;"-"&amp;PlanMasine[[#This Row],[RN]])</f>
        <v>0</v>
      </c>
      <c r="R244">
        <f>IFERROR(INDEX(REDOSLIJED!A:A,MATCH(PlanMasine[[#This Row],[KPL]],REDOSLIJED!B:B,0)),MAX(REDOSLIJED!A:A)+1)</f>
        <v>45</v>
      </c>
      <c r="S244" s="9">
        <f>SUM($M$2:M244)</f>
        <v>10.406805555555559</v>
      </c>
      <c r="T244" s="3">
        <f>PlanMasine[[#This Row],[Datum SAS]]-1</f>
        <v>45810</v>
      </c>
      <c r="U244">
        <f>WEEKDAY(PlanMasine[[#This Row],[ZAVRŠETAK MAŠINSKE]],2)</f>
        <v>1</v>
      </c>
      <c r="V244" s="3">
        <f>IF(WEEKDAY(PlanMasine[[#This Row],[Datum SAS]]-1,2)=7,PlanMasine[[#This Row],[Datum SAS]]-3,PlanMasine[[#This Row],[Datum SAS]]-1)</f>
        <v>45810</v>
      </c>
      <c r="W244">
        <f>WEEKNUM(PlanMasine[[#This Row],[Column2]],1)</f>
        <v>23</v>
      </c>
    </row>
    <row r="245" spans="1:23" x14ac:dyDescent="0.35">
      <c r="A245">
        <v>1003851</v>
      </c>
      <c r="B245">
        <v>1</v>
      </c>
      <c r="C245">
        <v>1003881</v>
      </c>
      <c r="D245" t="s">
        <v>1754</v>
      </c>
      <c r="E245">
        <v>120</v>
      </c>
      <c r="F245">
        <v>12</v>
      </c>
      <c r="G245">
        <v>0</v>
      </c>
      <c r="H245">
        <v>0</v>
      </c>
      <c r="I245" t="s">
        <v>24</v>
      </c>
      <c r="J245" t="s">
        <v>597</v>
      </c>
      <c r="K245" t="s">
        <v>1913</v>
      </c>
      <c r="L245" s="3">
        <v>45826</v>
      </c>
      <c r="M245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6.9444444444444441E-3</v>
      </c>
      <c r="N245" s="3">
        <v>45811</v>
      </c>
      <c r="O245" s="5">
        <f>IFERROR((PlanMasine[[#This Row],[Norma]]/PlanMasine[[#This Row],[Q]])*(PlanMasine[[#This Row],[Q]]/SUMIF(C:C,PlanMasine[[#This Row],[RN]],B:B)*PlanMasine[[#This Row],[KPLQ]]),0)</f>
        <v>10</v>
      </c>
      <c r="P245">
        <v>227549</v>
      </c>
      <c r="Q245">
        <f>COUNTIF(PROMJENA!A:A,PlanMasine[[#This Row],[KPL]]&amp;"-"&amp;PlanMasine[[#This Row],[RN]])</f>
        <v>0</v>
      </c>
      <c r="R245">
        <f>IFERROR(INDEX(REDOSLIJED!A:A,MATCH(PlanMasine[[#This Row],[KPL]],REDOSLIJED!B:B,0)),MAX(REDOSLIJED!A:A)+1)</f>
        <v>45</v>
      </c>
      <c r="S245" s="9">
        <f>SUM($M$2:M245)</f>
        <v>10.413750000000004</v>
      </c>
      <c r="T245" s="3">
        <f>PlanMasine[[#This Row],[Datum SAS]]-1</f>
        <v>45810</v>
      </c>
      <c r="U245">
        <f>WEEKDAY(PlanMasine[[#This Row],[ZAVRŠETAK MAŠINSKE]],2)</f>
        <v>1</v>
      </c>
      <c r="V245" s="3">
        <f>IF(WEEKDAY(PlanMasine[[#This Row],[Datum SAS]]-1,2)=7,PlanMasine[[#This Row],[Datum SAS]]-3,PlanMasine[[#This Row],[Datum SAS]]-1)</f>
        <v>45810</v>
      </c>
      <c r="W245">
        <f>WEEKNUM(PlanMasine[[#This Row],[Column2]],1)</f>
        <v>23</v>
      </c>
    </row>
    <row r="246" spans="1:23" x14ac:dyDescent="0.35">
      <c r="A246">
        <v>1003851</v>
      </c>
      <c r="B246">
        <v>1</v>
      </c>
      <c r="C246">
        <v>1003897</v>
      </c>
      <c r="D246" t="s">
        <v>1755</v>
      </c>
      <c r="E246">
        <v>660</v>
      </c>
      <c r="F246">
        <v>12</v>
      </c>
      <c r="G246">
        <v>0</v>
      </c>
      <c r="H246">
        <v>0</v>
      </c>
      <c r="I246" t="s">
        <v>24</v>
      </c>
      <c r="J246" t="s">
        <v>597</v>
      </c>
      <c r="K246" t="s">
        <v>1913</v>
      </c>
      <c r="L246" s="3">
        <v>45826</v>
      </c>
      <c r="M246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3.8194444444444441E-2</v>
      </c>
      <c r="N246" s="3">
        <v>45811</v>
      </c>
      <c r="O246" s="5">
        <f>IFERROR((PlanMasine[[#This Row],[Norma]]/PlanMasine[[#This Row],[Q]])*(PlanMasine[[#This Row],[Q]]/SUMIF(C:C,PlanMasine[[#This Row],[RN]],B:B)*PlanMasine[[#This Row],[KPLQ]]),0)</f>
        <v>55</v>
      </c>
      <c r="P246">
        <v>227566</v>
      </c>
      <c r="Q246">
        <f>COUNTIF(PROMJENA!A:A,PlanMasine[[#This Row],[KPL]]&amp;"-"&amp;PlanMasine[[#This Row],[RN]])</f>
        <v>0</v>
      </c>
      <c r="R246">
        <f>IFERROR(INDEX(REDOSLIJED!A:A,MATCH(PlanMasine[[#This Row],[KPL]],REDOSLIJED!B:B,0)),MAX(REDOSLIJED!A:A)+1)</f>
        <v>45</v>
      </c>
      <c r="S246" s="9">
        <f>SUM($M$2:M246)</f>
        <v>10.451944444444448</v>
      </c>
      <c r="T246" s="3">
        <f>PlanMasine[[#This Row],[Datum SAS]]-1</f>
        <v>45810</v>
      </c>
      <c r="U246">
        <f>WEEKDAY(PlanMasine[[#This Row],[ZAVRŠETAK MAŠINSKE]],2)</f>
        <v>1</v>
      </c>
      <c r="V246" s="3">
        <f>IF(WEEKDAY(PlanMasine[[#This Row],[Datum SAS]]-1,2)=7,PlanMasine[[#This Row],[Datum SAS]]-3,PlanMasine[[#This Row],[Datum SAS]]-1)</f>
        <v>45810</v>
      </c>
      <c r="W246">
        <f>WEEKNUM(PlanMasine[[#This Row],[Column2]],1)</f>
        <v>23</v>
      </c>
    </row>
    <row r="247" spans="1:23" x14ac:dyDescent="0.35">
      <c r="A247">
        <v>1003852</v>
      </c>
      <c r="B247">
        <v>1</v>
      </c>
      <c r="C247">
        <v>1003881</v>
      </c>
      <c r="D247" t="s">
        <v>1754</v>
      </c>
      <c r="E247">
        <v>120</v>
      </c>
      <c r="F247">
        <v>12</v>
      </c>
      <c r="G247">
        <v>0</v>
      </c>
      <c r="H247">
        <v>0</v>
      </c>
      <c r="I247" t="s">
        <v>24</v>
      </c>
      <c r="J247" t="s">
        <v>597</v>
      </c>
      <c r="K247" t="s">
        <v>1913</v>
      </c>
      <c r="L247" s="3">
        <v>45826</v>
      </c>
      <c r="M247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6.9444444444444441E-3</v>
      </c>
      <c r="N247" s="3">
        <v>45811</v>
      </c>
      <c r="O247" s="5">
        <f>IFERROR((PlanMasine[[#This Row],[Norma]]/PlanMasine[[#This Row],[Q]])*(PlanMasine[[#This Row],[Q]]/SUMIF(C:C,PlanMasine[[#This Row],[RN]],B:B)*PlanMasine[[#This Row],[KPLQ]]),0)</f>
        <v>10</v>
      </c>
      <c r="P247">
        <v>227549</v>
      </c>
      <c r="Q247">
        <f>COUNTIF(PROMJENA!A:A,PlanMasine[[#This Row],[KPL]]&amp;"-"&amp;PlanMasine[[#This Row],[RN]])</f>
        <v>0</v>
      </c>
      <c r="R247">
        <f>IFERROR(INDEX(REDOSLIJED!A:A,MATCH(PlanMasine[[#This Row],[KPL]],REDOSLIJED!B:B,0)),MAX(REDOSLIJED!A:A)+1)</f>
        <v>45</v>
      </c>
      <c r="S247" s="9">
        <f>SUM($M$2:M247)</f>
        <v>10.458888888888893</v>
      </c>
      <c r="T247" s="3">
        <f>PlanMasine[[#This Row],[Datum SAS]]-1</f>
        <v>45810</v>
      </c>
      <c r="U247">
        <f>WEEKDAY(PlanMasine[[#This Row],[ZAVRŠETAK MAŠINSKE]],2)</f>
        <v>1</v>
      </c>
      <c r="V247" s="3">
        <f>IF(WEEKDAY(PlanMasine[[#This Row],[Datum SAS]]-1,2)=7,PlanMasine[[#This Row],[Datum SAS]]-3,PlanMasine[[#This Row],[Datum SAS]]-1)</f>
        <v>45810</v>
      </c>
      <c r="W247">
        <f>WEEKNUM(PlanMasine[[#This Row],[Column2]],1)</f>
        <v>23</v>
      </c>
    </row>
    <row r="248" spans="1:23" x14ac:dyDescent="0.35">
      <c r="A248">
        <v>1003852</v>
      </c>
      <c r="B248">
        <v>1</v>
      </c>
      <c r="C248">
        <v>1003897</v>
      </c>
      <c r="D248" t="s">
        <v>1755</v>
      </c>
      <c r="E248">
        <v>660</v>
      </c>
      <c r="F248">
        <v>12</v>
      </c>
      <c r="G248">
        <v>0</v>
      </c>
      <c r="H248">
        <v>0</v>
      </c>
      <c r="I248" t="s">
        <v>24</v>
      </c>
      <c r="J248" t="s">
        <v>597</v>
      </c>
      <c r="K248" t="s">
        <v>1913</v>
      </c>
      <c r="L248" s="3">
        <v>45826</v>
      </c>
      <c r="M248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3.8194444444444441E-2</v>
      </c>
      <c r="N248" s="3">
        <v>45811</v>
      </c>
      <c r="O248" s="5">
        <f>IFERROR((PlanMasine[[#This Row],[Norma]]/PlanMasine[[#This Row],[Q]])*(PlanMasine[[#This Row],[Q]]/SUMIF(C:C,PlanMasine[[#This Row],[RN]],B:B)*PlanMasine[[#This Row],[KPLQ]]),0)</f>
        <v>55</v>
      </c>
      <c r="P248">
        <v>227566</v>
      </c>
      <c r="Q248">
        <f>COUNTIF(PROMJENA!A:A,PlanMasine[[#This Row],[KPL]]&amp;"-"&amp;PlanMasine[[#This Row],[RN]])</f>
        <v>0</v>
      </c>
      <c r="R248">
        <f>IFERROR(INDEX(REDOSLIJED!A:A,MATCH(PlanMasine[[#This Row],[KPL]],REDOSLIJED!B:B,0)),MAX(REDOSLIJED!A:A)+1)</f>
        <v>45</v>
      </c>
      <c r="S248" s="9">
        <f>SUM($M$2:M248)</f>
        <v>10.497083333333338</v>
      </c>
      <c r="T248" s="3">
        <f>PlanMasine[[#This Row],[Datum SAS]]-1</f>
        <v>45810</v>
      </c>
      <c r="U248">
        <f>WEEKDAY(PlanMasine[[#This Row],[ZAVRŠETAK MAŠINSKE]],2)</f>
        <v>1</v>
      </c>
      <c r="V248" s="3">
        <f>IF(WEEKDAY(PlanMasine[[#This Row],[Datum SAS]]-1,2)=7,PlanMasine[[#This Row],[Datum SAS]]-3,PlanMasine[[#This Row],[Datum SAS]]-1)</f>
        <v>45810</v>
      </c>
      <c r="W248">
        <f>WEEKNUM(PlanMasine[[#This Row],[Column2]],1)</f>
        <v>23</v>
      </c>
    </row>
    <row r="249" spans="1:23" x14ac:dyDescent="0.35">
      <c r="A249">
        <v>1003853</v>
      </c>
      <c r="B249">
        <v>1</v>
      </c>
      <c r="C249">
        <v>1003897</v>
      </c>
      <c r="D249" t="s">
        <v>1755</v>
      </c>
      <c r="E249">
        <v>660</v>
      </c>
      <c r="F249">
        <v>12</v>
      </c>
      <c r="G249">
        <v>0</v>
      </c>
      <c r="H249">
        <v>0</v>
      </c>
      <c r="I249" t="s">
        <v>24</v>
      </c>
      <c r="J249" t="s">
        <v>597</v>
      </c>
      <c r="K249" t="s">
        <v>1913</v>
      </c>
      <c r="L249" s="3">
        <v>45826</v>
      </c>
      <c r="M249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3.8194444444444441E-2</v>
      </c>
      <c r="N249" s="3">
        <v>45811</v>
      </c>
      <c r="O249" s="5">
        <f>IFERROR((PlanMasine[[#This Row],[Norma]]/PlanMasine[[#This Row],[Q]])*(PlanMasine[[#This Row],[Q]]/SUMIF(C:C,PlanMasine[[#This Row],[RN]],B:B)*PlanMasine[[#This Row],[KPLQ]]),0)</f>
        <v>55</v>
      </c>
      <c r="P249">
        <v>227566</v>
      </c>
      <c r="Q249">
        <f>COUNTIF(PROMJENA!A:A,PlanMasine[[#This Row],[KPL]]&amp;"-"&amp;PlanMasine[[#This Row],[RN]])</f>
        <v>0</v>
      </c>
      <c r="R249">
        <f>IFERROR(INDEX(REDOSLIJED!A:A,MATCH(PlanMasine[[#This Row],[KPL]],REDOSLIJED!B:B,0)),MAX(REDOSLIJED!A:A)+1)</f>
        <v>45</v>
      </c>
      <c r="S249" s="9">
        <f>SUM($M$2:M249)</f>
        <v>10.535277777777782</v>
      </c>
      <c r="T249" s="3">
        <f>PlanMasine[[#This Row],[Datum SAS]]-1</f>
        <v>45810</v>
      </c>
      <c r="U249">
        <f>WEEKDAY(PlanMasine[[#This Row],[ZAVRŠETAK MAŠINSKE]],2)</f>
        <v>1</v>
      </c>
      <c r="V249" s="3">
        <f>IF(WEEKDAY(PlanMasine[[#This Row],[Datum SAS]]-1,2)=7,PlanMasine[[#This Row],[Datum SAS]]-3,PlanMasine[[#This Row],[Datum SAS]]-1)</f>
        <v>45810</v>
      </c>
      <c r="W249">
        <f>WEEKNUM(PlanMasine[[#This Row],[Column2]],1)</f>
        <v>23</v>
      </c>
    </row>
    <row r="250" spans="1:23" x14ac:dyDescent="0.35">
      <c r="A250">
        <v>1003853</v>
      </c>
      <c r="B250">
        <v>1</v>
      </c>
      <c r="C250">
        <v>1003881</v>
      </c>
      <c r="D250" t="s">
        <v>1754</v>
      </c>
      <c r="E250">
        <v>120</v>
      </c>
      <c r="F250">
        <v>12</v>
      </c>
      <c r="G250">
        <v>0</v>
      </c>
      <c r="H250">
        <v>0</v>
      </c>
      <c r="I250" t="s">
        <v>24</v>
      </c>
      <c r="J250" t="s">
        <v>597</v>
      </c>
      <c r="K250" t="s">
        <v>1913</v>
      </c>
      <c r="L250" s="3">
        <v>45826</v>
      </c>
      <c r="M250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6.9444444444444441E-3</v>
      </c>
      <c r="N250" s="3">
        <v>45811</v>
      </c>
      <c r="O250" s="5">
        <f>IFERROR((PlanMasine[[#This Row],[Norma]]/PlanMasine[[#This Row],[Q]])*(PlanMasine[[#This Row],[Q]]/SUMIF(C:C,PlanMasine[[#This Row],[RN]],B:B)*PlanMasine[[#This Row],[KPLQ]]),0)</f>
        <v>10</v>
      </c>
      <c r="P250">
        <v>227549</v>
      </c>
      <c r="Q250">
        <f>COUNTIF(PROMJENA!A:A,PlanMasine[[#This Row],[KPL]]&amp;"-"&amp;PlanMasine[[#This Row],[RN]])</f>
        <v>0</v>
      </c>
      <c r="R250">
        <f>IFERROR(INDEX(REDOSLIJED!A:A,MATCH(PlanMasine[[#This Row],[KPL]],REDOSLIJED!B:B,0)),MAX(REDOSLIJED!A:A)+1)</f>
        <v>45</v>
      </c>
      <c r="S250" s="9">
        <f>SUM($M$2:M250)</f>
        <v>10.542222222222227</v>
      </c>
      <c r="T250" s="3">
        <f>PlanMasine[[#This Row],[Datum SAS]]-1</f>
        <v>45810</v>
      </c>
      <c r="U250">
        <f>WEEKDAY(PlanMasine[[#This Row],[ZAVRŠETAK MAŠINSKE]],2)</f>
        <v>1</v>
      </c>
      <c r="V250" s="3">
        <f>IF(WEEKDAY(PlanMasine[[#This Row],[Datum SAS]]-1,2)=7,PlanMasine[[#This Row],[Datum SAS]]-3,PlanMasine[[#This Row],[Datum SAS]]-1)</f>
        <v>45810</v>
      </c>
      <c r="W250">
        <f>WEEKNUM(PlanMasine[[#This Row],[Column2]],1)</f>
        <v>23</v>
      </c>
    </row>
    <row r="251" spans="1:23" x14ac:dyDescent="0.35">
      <c r="A251">
        <v>1003854</v>
      </c>
      <c r="B251">
        <v>1</v>
      </c>
      <c r="C251">
        <v>1003881</v>
      </c>
      <c r="D251" t="s">
        <v>1754</v>
      </c>
      <c r="E251">
        <v>120</v>
      </c>
      <c r="F251">
        <v>12</v>
      </c>
      <c r="G251">
        <v>0</v>
      </c>
      <c r="H251">
        <v>0</v>
      </c>
      <c r="I251" t="s">
        <v>24</v>
      </c>
      <c r="J251" t="s">
        <v>597</v>
      </c>
      <c r="K251" t="s">
        <v>1913</v>
      </c>
      <c r="L251" s="3">
        <v>45826</v>
      </c>
      <c r="M251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6.9444444444444441E-3</v>
      </c>
      <c r="N251" s="3">
        <v>45811</v>
      </c>
      <c r="O251" s="5">
        <f>IFERROR((PlanMasine[[#This Row],[Norma]]/PlanMasine[[#This Row],[Q]])*(PlanMasine[[#This Row],[Q]]/SUMIF(C:C,PlanMasine[[#This Row],[RN]],B:B)*PlanMasine[[#This Row],[KPLQ]]),0)</f>
        <v>10</v>
      </c>
      <c r="P251">
        <v>227549</v>
      </c>
      <c r="Q251">
        <f>COUNTIF(PROMJENA!A:A,PlanMasine[[#This Row],[KPL]]&amp;"-"&amp;PlanMasine[[#This Row],[RN]])</f>
        <v>0</v>
      </c>
      <c r="R251">
        <f>IFERROR(INDEX(REDOSLIJED!A:A,MATCH(PlanMasine[[#This Row],[KPL]],REDOSLIJED!B:B,0)),MAX(REDOSLIJED!A:A)+1)</f>
        <v>45</v>
      </c>
      <c r="S251" s="9">
        <f>SUM($M$2:M251)</f>
        <v>10.549166666666672</v>
      </c>
      <c r="T251" s="3">
        <f>PlanMasine[[#This Row],[Datum SAS]]-1</f>
        <v>45810</v>
      </c>
      <c r="U251">
        <f>WEEKDAY(PlanMasine[[#This Row],[ZAVRŠETAK MAŠINSKE]],2)</f>
        <v>1</v>
      </c>
      <c r="V251" s="3">
        <f>IF(WEEKDAY(PlanMasine[[#This Row],[Datum SAS]]-1,2)=7,PlanMasine[[#This Row],[Datum SAS]]-3,PlanMasine[[#This Row],[Datum SAS]]-1)</f>
        <v>45810</v>
      </c>
      <c r="W251">
        <f>WEEKNUM(PlanMasine[[#This Row],[Column2]],1)</f>
        <v>23</v>
      </c>
    </row>
    <row r="252" spans="1:23" x14ac:dyDescent="0.35">
      <c r="A252">
        <v>1003854</v>
      </c>
      <c r="B252">
        <v>1</v>
      </c>
      <c r="C252">
        <v>1003897</v>
      </c>
      <c r="D252" t="s">
        <v>1755</v>
      </c>
      <c r="E252">
        <v>660</v>
      </c>
      <c r="F252">
        <v>12</v>
      </c>
      <c r="G252">
        <v>0</v>
      </c>
      <c r="H252">
        <v>0</v>
      </c>
      <c r="I252" t="s">
        <v>24</v>
      </c>
      <c r="J252" t="s">
        <v>597</v>
      </c>
      <c r="K252" t="s">
        <v>1913</v>
      </c>
      <c r="L252" s="3">
        <v>45826</v>
      </c>
      <c r="M252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3.8194444444444441E-2</v>
      </c>
      <c r="N252" s="3">
        <v>45811</v>
      </c>
      <c r="O252" s="5">
        <f>IFERROR((PlanMasine[[#This Row],[Norma]]/PlanMasine[[#This Row],[Q]])*(PlanMasine[[#This Row],[Q]]/SUMIF(C:C,PlanMasine[[#This Row],[RN]],B:B)*PlanMasine[[#This Row],[KPLQ]]),0)</f>
        <v>55</v>
      </c>
      <c r="P252">
        <v>227566</v>
      </c>
      <c r="Q252">
        <f>COUNTIF(PROMJENA!A:A,PlanMasine[[#This Row],[KPL]]&amp;"-"&amp;PlanMasine[[#This Row],[RN]])</f>
        <v>0</v>
      </c>
      <c r="R252">
        <f>IFERROR(INDEX(REDOSLIJED!A:A,MATCH(PlanMasine[[#This Row],[KPL]],REDOSLIJED!B:B,0)),MAX(REDOSLIJED!A:A)+1)</f>
        <v>45</v>
      </c>
      <c r="S252" s="9">
        <f>SUM($M$2:M252)</f>
        <v>10.587361111111116</v>
      </c>
      <c r="T252" s="3">
        <f>PlanMasine[[#This Row],[Datum SAS]]-1</f>
        <v>45810</v>
      </c>
      <c r="U252">
        <f>WEEKDAY(PlanMasine[[#This Row],[ZAVRŠETAK MAŠINSKE]],2)</f>
        <v>1</v>
      </c>
      <c r="V252" s="3">
        <f>IF(WEEKDAY(PlanMasine[[#This Row],[Datum SAS]]-1,2)=7,PlanMasine[[#This Row],[Datum SAS]]-3,PlanMasine[[#This Row],[Datum SAS]]-1)</f>
        <v>45810</v>
      </c>
      <c r="W252">
        <f>WEEKNUM(PlanMasine[[#This Row],[Column2]],1)</f>
        <v>23</v>
      </c>
    </row>
    <row r="253" spans="1:23" x14ac:dyDescent="0.35">
      <c r="A253">
        <v>1003855</v>
      </c>
      <c r="B253">
        <v>1</v>
      </c>
      <c r="C253">
        <v>1003881</v>
      </c>
      <c r="D253" t="s">
        <v>1754</v>
      </c>
      <c r="E253">
        <v>120</v>
      </c>
      <c r="F253">
        <v>12</v>
      </c>
      <c r="G253">
        <v>0</v>
      </c>
      <c r="H253">
        <v>0</v>
      </c>
      <c r="I253" t="s">
        <v>24</v>
      </c>
      <c r="J253" t="s">
        <v>597</v>
      </c>
      <c r="K253" t="s">
        <v>1913</v>
      </c>
      <c r="L253" s="3">
        <v>45826</v>
      </c>
      <c r="M253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6.9444444444444441E-3</v>
      </c>
      <c r="N253" s="3">
        <v>45811</v>
      </c>
      <c r="O253" s="5">
        <f>IFERROR((PlanMasine[[#This Row],[Norma]]/PlanMasine[[#This Row],[Q]])*(PlanMasine[[#This Row],[Q]]/SUMIF(C:C,PlanMasine[[#This Row],[RN]],B:B)*PlanMasine[[#This Row],[KPLQ]]),0)</f>
        <v>10</v>
      </c>
      <c r="P253">
        <v>227549</v>
      </c>
      <c r="Q253">
        <f>COUNTIF(PROMJENA!A:A,PlanMasine[[#This Row],[KPL]]&amp;"-"&amp;PlanMasine[[#This Row],[RN]])</f>
        <v>0</v>
      </c>
      <c r="R253">
        <f>IFERROR(INDEX(REDOSLIJED!A:A,MATCH(PlanMasine[[#This Row],[KPL]],REDOSLIJED!B:B,0)),MAX(REDOSLIJED!A:A)+1)</f>
        <v>45</v>
      </c>
      <c r="S253" s="9">
        <f>SUM($M$2:M253)</f>
        <v>10.594305555555561</v>
      </c>
      <c r="T253" s="3">
        <f>PlanMasine[[#This Row],[Datum SAS]]-1</f>
        <v>45810</v>
      </c>
      <c r="U253">
        <f>WEEKDAY(PlanMasine[[#This Row],[ZAVRŠETAK MAŠINSKE]],2)</f>
        <v>1</v>
      </c>
      <c r="V253" s="3">
        <f>IF(WEEKDAY(PlanMasine[[#This Row],[Datum SAS]]-1,2)=7,PlanMasine[[#This Row],[Datum SAS]]-3,PlanMasine[[#This Row],[Datum SAS]]-1)</f>
        <v>45810</v>
      </c>
      <c r="W253">
        <f>WEEKNUM(PlanMasine[[#This Row],[Column2]],1)</f>
        <v>23</v>
      </c>
    </row>
    <row r="254" spans="1:23" x14ac:dyDescent="0.35">
      <c r="A254">
        <v>1003855</v>
      </c>
      <c r="B254">
        <v>1</v>
      </c>
      <c r="C254">
        <v>1003897</v>
      </c>
      <c r="D254" t="s">
        <v>1755</v>
      </c>
      <c r="E254">
        <v>660</v>
      </c>
      <c r="F254">
        <v>12</v>
      </c>
      <c r="G254">
        <v>0</v>
      </c>
      <c r="H254">
        <v>0</v>
      </c>
      <c r="I254" t="s">
        <v>24</v>
      </c>
      <c r="J254" t="s">
        <v>597</v>
      </c>
      <c r="K254" t="s">
        <v>1913</v>
      </c>
      <c r="L254" s="3">
        <v>45826</v>
      </c>
      <c r="M254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3.8194444444444441E-2</v>
      </c>
      <c r="N254" s="3">
        <v>45811</v>
      </c>
      <c r="O254" s="5">
        <f>IFERROR((PlanMasine[[#This Row],[Norma]]/PlanMasine[[#This Row],[Q]])*(PlanMasine[[#This Row],[Q]]/SUMIF(C:C,PlanMasine[[#This Row],[RN]],B:B)*PlanMasine[[#This Row],[KPLQ]]),0)</f>
        <v>55</v>
      </c>
      <c r="P254">
        <v>227566</v>
      </c>
      <c r="Q254">
        <f>COUNTIF(PROMJENA!A:A,PlanMasine[[#This Row],[KPL]]&amp;"-"&amp;PlanMasine[[#This Row],[RN]])</f>
        <v>0</v>
      </c>
      <c r="R254">
        <f>IFERROR(INDEX(REDOSLIJED!A:A,MATCH(PlanMasine[[#This Row],[KPL]],REDOSLIJED!B:B,0)),MAX(REDOSLIJED!A:A)+1)</f>
        <v>45</v>
      </c>
      <c r="S254" s="9">
        <f>SUM($M$2:M254)</f>
        <v>10.632500000000006</v>
      </c>
      <c r="T254" s="3">
        <f>PlanMasine[[#This Row],[Datum SAS]]-1</f>
        <v>45810</v>
      </c>
      <c r="U254">
        <f>WEEKDAY(PlanMasine[[#This Row],[ZAVRŠETAK MAŠINSKE]],2)</f>
        <v>1</v>
      </c>
      <c r="V254" s="3">
        <f>IF(WEEKDAY(PlanMasine[[#This Row],[Datum SAS]]-1,2)=7,PlanMasine[[#This Row],[Datum SAS]]-3,PlanMasine[[#This Row],[Datum SAS]]-1)</f>
        <v>45810</v>
      </c>
      <c r="W254">
        <f>WEEKNUM(PlanMasine[[#This Row],[Column2]],1)</f>
        <v>23</v>
      </c>
    </row>
    <row r="255" spans="1:23" x14ac:dyDescent="0.35">
      <c r="A255">
        <v>1003856</v>
      </c>
      <c r="B255">
        <v>1</v>
      </c>
      <c r="C255">
        <v>1003881</v>
      </c>
      <c r="D255" t="s">
        <v>1754</v>
      </c>
      <c r="E255">
        <v>120</v>
      </c>
      <c r="F255">
        <v>12</v>
      </c>
      <c r="G255">
        <v>0</v>
      </c>
      <c r="H255">
        <v>0</v>
      </c>
      <c r="I255" t="s">
        <v>24</v>
      </c>
      <c r="J255" t="s">
        <v>597</v>
      </c>
      <c r="K255" t="s">
        <v>1913</v>
      </c>
      <c r="L255" s="3">
        <v>45826</v>
      </c>
      <c r="M255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6.9444444444444441E-3</v>
      </c>
      <c r="N255" s="3">
        <v>45811</v>
      </c>
      <c r="O255" s="5">
        <f>IFERROR((PlanMasine[[#This Row],[Norma]]/PlanMasine[[#This Row],[Q]])*(PlanMasine[[#This Row],[Q]]/SUMIF(C:C,PlanMasine[[#This Row],[RN]],B:B)*PlanMasine[[#This Row],[KPLQ]]),0)</f>
        <v>10</v>
      </c>
      <c r="P255">
        <v>227549</v>
      </c>
      <c r="Q255">
        <f>COUNTIF(PROMJENA!A:A,PlanMasine[[#This Row],[KPL]]&amp;"-"&amp;PlanMasine[[#This Row],[RN]])</f>
        <v>0</v>
      </c>
      <c r="R255">
        <f>IFERROR(INDEX(REDOSLIJED!A:A,MATCH(PlanMasine[[#This Row],[KPL]],REDOSLIJED!B:B,0)),MAX(REDOSLIJED!A:A)+1)</f>
        <v>45</v>
      </c>
      <c r="S255" s="9">
        <f>SUM($M$2:M255)</f>
        <v>10.63944444444445</v>
      </c>
      <c r="T255" s="3">
        <f>PlanMasine[[#This Row],[Datum SAS]]-1</f>
        <v>45810</v>
      </c>
      <c r="U255">
        <f>WEEKDAY(PlanMasine[[#This Row],[ZAVRŠETAK MAŠINSKE]],2)</f>
        <v>1</v>
      </c>
      <c r="V255" s="3">
        <f>IF(WEEKDAY(PlanMasine[[#This Row],[Datum SAS]]-1,2)=7,PlanMasine[[#This Row],[Datum SAS]]-3,PlanMasine[[#This Row],[Datum SAS]]-1)</f>
        <v>45810</v>
      </c>
      <c r="W255">
        <f>WEEKNUM(PlanMasine[[#This Row],[Column2]],1)</f>
        <v>23</v>
      </c>
    </row>
    <row r="256" spans="1:23" x14ac:dyDescent="0.35">
      <c r="A256">
        <v>1003856</v>
      </c>
      <c r="B256">
        <v>1</v>
      </c>
      <c r="C256">
        <v>1003897</v>
      </c>
      <c r="D256" t="s">
        <v>1755</v>
      </c>
      <c r="E256">
        <v>660</v>
      </c>
      <c r="F256">
        <v>12</v>
      </c>
      <c r="G256">
        <v>0</v>
      </c>
      <c r="H256">
        <v>0</v>
      </c>
      <c r="I256" t="s">
        <v>24</v>
      </c>
      <c r="J256" t="s">
        <v>597</v>
      </c>
      <c r="K256" t="s">
        <v>1913</v>
      </c>
      <c r="L256" s="3">
        <v>45826</v>
      </c>
      <c r="M256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3.8194444444444441E-2</v>
      </c>
      <c r="N256" s="3">
        <v>45811</v>
      </c>
      <c r="O256" s="5">
        <f>IFERROR((PlanMasine[[#This Row],[Norma]]/PlanMasine[[#This Row],[Q]])*(PlanMasine[[#This Row],[Q]]/SUMIF(C:C,PlanMasine[[#This Row],[RN]],B:B)*PlanMasine[[#This Row],[KPLQ]]),0)</f>
        <v>55</v>
      </c>
      <c r="P256">
        <v>227566</v>
      </c>
      <c r="Q256">
        <f>COUNTIF(PROMJENA!A:A,PlanMasine[[#This Row],[KPL]]&amp;"-"&amp;PlanMasine[[#This Row],[RN]])</f>
        <v>0</v>
      </c>
      <c r="R256">
        <f>IFERROR(INDEX(REDOSLIJED!A:A,MATCH(PlanMasine[[#This Row],[KPL]],REDOSLIJED!B:B,0)),MAX(REDOSLIJED!A:A)+1)</f>
        <v>45</v>
      </c>
      <c r="S256" s="9">
        <f>SUM($M$2:M256)</f>
        <v>10.677638888888895</v>
      </c>
      <c r="T256" s="3">
        <f>PlanMasine[[#This Row],[Datum SAS]]-1</f>
        <v>45810</v>
      </c>
      <c r="U256">
        <f>WEEKDAY(PlanMasine[[#This Row],[ZAVRŠETAK MAŠINSKE]],2)</f>
        <v>1</v>
      </c>
      <c r="V256" s="3">
        <f>IF(WEEKDAY(PlanMasine[[#This Row],[Datum SAS]]-1,2)=7,PlanMasine[[#This Row],[Datum SAS]]-3,PlanMasine[[#This Row],[Datum SAS]]-1)</f>
        <v>45810</v>
      </c>
      <c r="W256">
        <f>WEEKNUM(PlanMasine[[#This Row],[Column2]],1)</f>
        <v>23</v>
      </c>
    </row>
    <row r="257" spans="1:23" x14ac:dyDescent="0.35">
      <c r="A257">
        <v>1003857</v>
      </c>
      <c r="B257">
        <v>1</v>
      </c>
      <c r="C257">
        <v>1003897</v>
      </c>
      <c r="D257" t="s">
        <v>1755</v>
      </c>
      <c r="E257">
        <v>660</v>
      </c>
      <c r="F257">
        <v>12</v>
      </c>
      <c r="G257">
        <v>0</v>
      </c>
      <c r="H257">
        <v>0</v>
      </c>
      <c r="I257" t="s">
        <v>24</v>
      </c>
      <c r="J257" t="s">
        <v>597</v>
      </c>
      <c r="K257" t="s">
        <v>1913</v>
      </c>
      <c r="L257" s="3">
        <v>45826</v>
      </c>
      <c r="M257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3.8194444444444441E-2</v>
      </c>
      <c r="N257" s="3">
        <v>45811</v>
      </c>
      <c r="O257" s="5">
        <f>IFERROR((PlanMasine[[#This Row],[Norma]]/PlanMasine[[#This Row],[Q]])*(PlanMasine[[#This Row],[Q]]/SUMIF(C:C,PlanMasine[[#This Row],[RN]],B:B)*PlanMasine[[#This Row],[KPLQ]]),0)</f>
        <v>55</v>
      </c>
      <c r="P257">
        <v>227566</v>
      </c>
      <c r="Q257">
        <f>COUNTIF(PROMJENA!A:A,PlanMasine[[#This Row],[KPL]]&amp;"-"&amp;PlanMasine[[#This Row],[RN]])</f>
        <v>0</v>
      </c>
      <c r="R257">
        <f>IFERROR(INDEX(REDOSLIJED!A:A,MATCH(PlanMasine[[#This Row],[KPL]],REDOSLIJED!B:B,0)),MAX(REDOSLIJED!A:A)+1)</f>
        <v>45</v>
      </c>
      <c r="S257" s="9">
        <f>SUM($M$2:M257)</f>
        <v>10.71583333333334</v>
      </c>
      <c r="T257" s="3">
        <f>PlanMasine[[#This Row],[Datum SAS]]-1</f>
        <v>45810</v>
      </c>
      <c r="U257">
        <f>WEEKDAY(PlanMasine[[#This Row],[ZAVRŠETAK MAŠINSKE]],2)</f>
        <v>1</v>
      </c>
      <c r="V257" s="3">
        <f>IF(WEEKDAY(PlanMasine[[#This Row],[Datum SAS]]-1,2)=7,PlanMasine[[#This Row],[Datum SAS]]-3,PlanMasine[[#This Row],[Datum SAS]]-1)</f>
        <v>45810</v>
      </c>
      <c r="W257">
        <f>WEEKNUM(PlanMasine[[#This Row],[Column2]],1)</f>
        <v>23</v>
      </c>
    </row>
    <row r="258" spans="1:23" x14ac:dyDescent="0.35">
      <c r="A258">
        <v>1003857</v>
      </c>
      <c r="B258">
        <v>1</v>
      </c>
      <c r="C258">
        <v>1003881</v>
      </c>
      <c r="D258" t="s">
        <v>1754</v>
      </c>
      <c r="E258">
        <v>120</v>
      </c>
      <c r="F258">
        <v>12</v>
      </c>
      <c r="G258">
        <v>0</v>
      </c>
      <c r="H258">
        <v>0</v>
      </c>
      <c r="I258" t="s">
        <v>24</v>
      </c>
      <c r="J258" t="s">
        <v>597</v>
      </c>
      <c r="K258" t="s">
        <v>1913</v>
      </c>
      <c r="L258" s="3">
        <v>45826</v>
      </c>
      <c r="M258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6.9444444444444441E-3</v>
      </c>
      <c r="N258" s="3">
        <v>45811</v>
      </c>
      <c r="O258" s="5">
        <f>IFERROR((PlanMasine[[#This Row],[Norma]]/PlanMasine[[#This Row],[Q]])*(PlanMasine[[#This Row],[Q]]/SUMIF(C:C,PlanMasine[[#This Row],[RN]],B:B)*PlanMasine[[#This Row],[KPLQ]]),0)</f>
        <v>10</v>
      </c>
      <c r="P258">
        <v>227549</v>
      </c>
      <c r="Q258">
        <f>COUNTIF(PROMJENA!A:A,PlanMasine[[#This Row],[KPL]]&amp;"-"&amp;PlanMasine[[#This Row],[RN]])</f>
        <v>0</v>
      </c>
      <c r="R258">
        <f>IFERROR(INDEX(REDOSLIJED!A:A,MATCH(PlanMasine[[#This Row],[KPL]],REDOSLIJED!B:B,0)),MAX(REDOSLIJED!A:A)+1)</f>
        <v>45</v>
      </c>
      <c r="S258" s="9">
        <f>SUM($M$2:M258)</f>
        <v>10.722777777777784</v>
      </c>
      <c r="T258" s="3">
        <f>PlanMasine[[#This Row],[Datum SAS]]-1</f>
        <v>45810</v>
      </c>
      <c r="U258">
        <f>WEEKDAY(PlanMasine[[#This Row],[ZAVRŠETAK MAŠINSKE]],2)</f>
        <v>1</v>
      </c>
      <c r="V258" s="3">
        <f>IF(WEEKDAY(PlanMasine[[#This Row],[Datum SAS]]-1,2)=7,PlanMasine[[#This Row],[Datum SAS]]-3,PlanMasine[[#This Row],[Datum SAS]]-1)</f>
        <v>45810</v>
      </c>
      <c r="W258">
        <f>WEEKNUM(PlanMasine[[#This Row],[Column2]],1)</f>
        <v>23</v>
      </c>
    </row>
    <row r="259" spans="1:23" x14ac:dyDescent="0.35">
      <c r="A259">
        <v>1003858</v>
      </c>
      <c r="B259">
        <v>1</v>
      </c>
      <c r="C259">
        <v>1003881</v>
      </c>
      <c r="D259" t="s">
        <v>1754</v>
      </c>
      <c r="E259">
        <v>120</v>
      </c>
      <c r="F259">
        <v>12</v>
      </c>
      <c r="G259">
        <v>0</v>
      </c>
      <c r="H259">
        <v>0</v>
      </c>
      <c r="I259" t="s">
        <v>24</v>
      </c>
      <c r="J259" t="s">
        <v>597</v>
      </c>
      <c r="K259" t="s">
        <v>1913</v>
      </c>
      <c r="L259" s="3">
        <v>45826</v>
      </c>
      <c r="M259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6.9444444444444441E-3</v>
      </c>
      <c r="N259" s="3">
        <v>45811</v>
      </c>
      <c r="O259" s="5">
        <f>IFERROR((PlanMasine[[#This Row],[Norma]]/PlanMasine[[#This Row],[Q]])*(PlanMasine[[#This Row],[Q]]/SUMIF(C:C,PlanMasine[[#This Row],[RN]],B:B)*PlanMasine[[#This Row],[KPLQ]]),0)</f>
        <v>10</v>
      </c>
      <c r="P259">
        <v>227549</v>
      </c>
      <c r="Q259">
        <f>COUNTIF(PROMJENA!A:A,PlanMasine[[#This Row],[KPL]]&amp;"-"&amp;PlanMasine[[#This Row],[RN]])</f>
        <v>0</v>
      </c>
      <c r="R259">
        <f>IFERROR(INDEX(REDOSLIJED!A:A,MATCH(PlanMasine[[#This Row],[KPL]],REDOSLIJED!B:B,0)),MAX(REDOSLIJED!A:A)+1)</f>
        <v>45</v>
      </c>
      <c r="S259" s="9">
        <f>SUM($M$2:M259)</f>
        <v>10.729722222222229</v>
      </c>
      <c r="T259" s="3">
        <f>PlanMasine[[#This Row],[Datum SAS]]-1</f>
        <v>45810</v>
      </c>
      <c r="U259">
        <f>WEEKDAY(PlanMasine[[#This Row],[ZAVRŠETAK MAŠINSKE]],2)</f>
        <v>1</v>
      </c>
      <c r="V259" s="3">
        <f>IF(WEEKDAY(PlanMasine[[#This Row],[Datum SAS]]-1,2)=7,PlanMasine[[#This Row],[Datum SAS]]-3,PlanMasine[[#This Row],[Datum SAS]]-1)</f>
        <v>45810</v>
      </c>
      <c r="W259">
        <f>WEEKNUM(PlanMasine[[#This Row],[Column2]],1)</f>
        <v>23</v>
      </c>
    </row>
    <row r="260" spans="1:23" x14ac:dyDescent="0.35">
      <c r="A260">
        <v>1003858</v>
      </c>
      <c r="B260">
        <v>1</v>
      </c>
      <c r="C260">
        <v>1003897</v>
      </c>
      <c r="D260" t="s">
        <v>1755</v>
      </c>
      <c r="E260">
        <v>660</v>
      </c>
      <c r="F260">
        <v>12</v>
      </c>
      <c r="G260">
        <v>0</v>
      </c>
      <c r="H260">
        <v>0</v>
      </c>
      <c r="I260" t="s">
        <v>24</v>
      </c>
      <c r="J260" t="s">
        <v>597</v>
      </c>
      <c r="K260" t="s">
        <v>1913</v>
      </c>
      <c r="L260" s="3">
        <v>45826</v>
      </c>
      <c r="M260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3.8194444444444441E-2</v>
      </c>
      <c r="N260" s="3">
        <v>45811</v>
      </c>
      <c r="O260" s="5">
        <f>IFERROR((PlanMasine[[#This Row],[Norma]]/PlanMasine[[#This Row],[Q]])*(PlanMasine[[#This Row],[Q]]/SUMIF(C:C,PlanMasine[[#This Row],[RN]],B:B)*PlanMasine[[#This Row],[KPLQ]]),0)</f>
        <v>55</v>
      </c>
      <c r="P260">
        <v>227566</v>
      </c>
      <c r="Q260">
        <f>COUNTIF(PROMJENA!A:A,PlanMasine[[#This Row],[KPL]]&amp;"-"&amp;PlanMasine[[#This Row],[RN]])</f>
        <v>0</v>
      </c>
      <c r="R260">
        <f>IFERROR(INDEX(REDOSLIJED!A:A,MATCH(PlanMasine[[#This Row],[KPL]],REDOSLIJED!B:B,0)),MAX(REDOSLIJED!A:A)+1)</f>
        <v>45</v>
      </c>
      <c r="S260" s="9">
        <f>SUM($M$2:M260)</f>
        <v>10.767916666666673</v>
      </c>
      <c r="T260" s="3">
        <f>PlanMasine[[#This Row],[Datum SAS]]-1</f>
        <v>45810</v>
      </c>
      <c r="U260">
        <f>WEEKDAY(PlanMasine[[#This Row],[ZAVRŠETAK MAŠINSKE]],2)</f>
        <v>1</v>
      </c>
      <c r="V260" s="3">
        <f>IF(WEEKDAY(PlanMasine[[#This Row],[Datum SAS]]-1,2)=7,PlanMasine[[#This Row],[Datum SAS]]-3,PlanMasine[[#This Row],[Datum SAS]]-1)</f>
        <v>45810</v>
      </c>
      <c r="W260">
        <f>WEEKNUM(PlanMasine[[#This Row],[Column2]],1)</f>
        <v>23</v>
      </c>
    </row>
    <row r="261" spans="1:23" x14ac:dyDescent="0.35">
      <c r="A261">
        <v>1003859</v>
      </c>
      <c r="B261">
        <v>1</v>
      </c>
      <c r="C261">
        <v>1003881</v>
      </c>
      <c r="D261" t="s">
        <v>1754</v>
      </c>
      <c r="E261">
        <v>120</v>
      </c>
      <c r="F261">
        <v>12</v>
      </c>
      <c r="G261">
        <v>0</v>
      </c>
      <c r="H261">
        <v>0</v>
      </c>
      <c r="I261" t="s">
        <v>24</v>
      </c>
      <c r="J261" t="s">
        <v>597</v>
      </c>
      <c r="K261" t="s">
        <v>1913</v>
      </c>
      <c r="L261" s="3">
        <v>45826</v>
      </c>
      <c r="M261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6.9444444444444441E-3</v>
      </c>
      <c r="N261" s="3">
        <v>45811</v>
      </c>
      <c r="O261" s="5">
        <f>IFERROR((PlanMasine[[#This Row],[Norma]]/PlanMasine[[#This Row],[Q]])*(PlanMasine[[#This Row],[Q]]/SUMIF(C:C,PlanMasine[[#This Row],[RN]],B:B)*PlanMasine[[#This Row],[KPLQ]]),0)</f>
        <v>10</v>
      </c>
      <c r="P261">
        <v>227549</v>
      </c>
      <c r="Q261">
        <f>COUNTIF(PROMJENA!A:A,PlanMasine[[#This Row],[KPL]]&amp;"-"&amp;PlanMasine[[#This Row],[RN]])</f>
        <v>0</v>
      </c>
      <c r="R261">
        <f>IFERROR(INDEX(REDOSLIJED!A:A,MATCH(PlanMasine[[#This Row],[KPL]],REDOSLIJED!B:B,0)),MAX(REDOSLIJED!A:A)+1)</f>
        <v>45</v>
      </c>
      <c r="S261" s="9">
        <f>SUM($M$2:M261)</f>
        <v>10.774861111111118</v>
      </c>
      <c r="T261" s="3">
        <f>PlanMasine[[#This Row],[Datum SAS]]-1</f>
        <v>45810</v>
      </c>
      <c r="U261">
        <f>WEEKDAY(PlanMasine[[#This Row],[ZAVRŠETAK MAŠINSKE]],2)</f>
        <v>1</v>
      </c>
      <c r="V261" s="3">
        <f>IF(WEEKDAY(PlanMasine[[#This Row],[Datum SAS]]-1,2)=7,PlanMasine[[#This Row],[Datum SAS]]-3,PlanMasine[[#This Row],[Datum SAS]]-1)</f>
        <v>45810</v>
      </c>
      <c r="W261">
        <f>WEEKNUM(PlanMasine[[#This Row],[Column2]],1)</f>
        <v>23</v>
      </c>
    </row>
    <row r="262" spans="1:23" x14ac:dyDescent="0.35">
      <c r="A262">
        <v>1003859</v>
      </c>
      <c r="B262">
        <v>1</v>
      </c>
      <c r="C262">
        <v>1003897</v>
      </c>
      <c r="D262" t="s">
        <v>1755</v>
      </c>
      <c r="E262">
        <v>660</v>
      </c>
      <c r="F262">
        <v>12</v>
      </c>
      <c r="G262">
        <v>0</v>
      </c>
      <c r="H262">
        <v>0</v>
      </c>
      <c r="I262" t="s">
        <v>24</v>
      </c>
      <c r="J262" t="s">
        <v>597</v>
      </c>
      <c r="K262" t="s">
        <v>1913</v>
      </c>
      <c r="L262" s="3">
        <v>45826</v>
      </c>
      <c r="M262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3.8194444444444441E-2</v>
      </c>
      <c r="N262" s="3">
        <v>45811</v>
      </c>
      <c r="O262" s="5">
        <f>IFERROR((PlanMasine[[#This Row],[Norma]]/PlanMasine[[#This Row],[Q]])*(PlanMasine[[#This Row],[Q]]/SUMIF(C:C,PlanMasine[[#This Row],[RN]],B:B)*PlanMasine[[#This Row],[KPLQ]]),0)</f>
        <v>55</v>
      </c>
      <c r="P262">
        <v>227566</v>
      </c>
      <c r="Q262">
        <f>COUNTIF(PROMJENA!A:A,PlanMasine[[#This Row],[KPL]]&amp;"-"&amp;PlanMasine[[#This Row],[RN]])</f>
        <v>0</v>
      </c>
      <c r="R262">
        <f>IFERROR(INDEX(REDOSLIJED!A:A,MATCH(PlanMasine[[#This Row],[KPL]],REDOSLIJED!B:B,0)),MAX(REDOSLIJED!A:A)+1)</f>
        <v>45</v>
      </c>
      <c r="S262" s="9">
        <f>SUM($M$2:M262)</f>
        <v>10.813055555555563</v>
      </c>
      <c r="T262" s="3">
        <f>PlanMasine[[#This Row],[Datum SAS]]-1</f>
        <v>45810</v>
      </c>
      <c r="U262">
        <f>WEEKDAY(PlanMasine[[#This Row],[ZAVRŠETAK MAŠINSKE]],2)</f>
        <v>1</v>
      </c>
      <c r="V262" s="3">
        <f>IF(WEEKDAY(PlanMasine[[#This Row],[Datum SAS]]-1,2)=7,PlanMasine[[#This Row],[Datum SAS]]-3,PlanMasine[[#This Row],[Datum SAS]]-1)</f>
        <v>45810</v>
      </c>
      <c r="W262">
        <f>WEEKNUM(PlanMasine[[#This Row],[Column2]],1)</f>
        <v>23</v>
      </c>
    </row>
    <row r="263" spans="1:23" x14ac:dyDescent="0.35">
      <c r="A263">
        <v>1003860</v>
      </c>
      <c r="B263">
        <v>1</v>
      </c>
      <c r="C263">
        <v>1003881</v>
      </c>
      <c r="D263" t="s">
        <v>1754</v>
      </c>
      <c r="E263">
        <v>120</v>
      </c>
      <c r="F263">
        <v>12</v>
      </c>
      <c r="G263">
        <v>0</v>
      </c>
      <c r="H263">
        <v>0</v>
      </c>
      <c r="I263" t="s">
        <v>24</v>
      </c>
      <c r="J263" t="s">
        <v>597</v>
      </c>
      <c r="K263" t="s">
        <v>1913</v>
      </c>
      <c r="L263" s="3">
        <v>45826</v>
      </c>
      <c r="M263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6.9444444444444441E-3</v>
      </c>
      <c r="N263" s="3">
        <v>45811</v>
      </c>
      <c r="O263" s="5">
        <f>IFERROR((PlanMasine[[#This Row],[Norma]]/PlanMasine[[#This Row],[Q]])*(PlanMasine[[#This Row],[Q]]/SUMIF(C:C,PlanMasine[[#This Row],[RN]],B:B)*PlanMasine[[#This Row],[KPLQ]]),0)</f>
        <v>10</v>
      </c>
      <c r="P263">
        <v>227549</v>
      </c>
      <c r="Q263">
        <f>COUNTIF(PROMJENA!A:A,PlanMasine[[#This Row],[KPL]]&amp;"-"&amp;PlanMasine[[#This Row],[RN]])</f>
        <v>0</v>
      </c>
      <c r="R263">
        <f>IFERROR(INDEX(REDOSLIJED!A:A,MATCH(PlanMasine[[#This Row],[KPL]],REDOSLIJED!B:B,0)),MAX(REDOSLIJED!A:A)+1)</f>
        <v>45</v>
      </c>
      <c r="S263" s="9">
        <f>SUM($M$2:M263)</f>
        <v>10.820000000000007</v>
      </c>
      <c r="T263" s="3">
        <f>PlanMasine[[#This Row],[Datum SAS]]-1</f>
        <v>45810</v>
      </c>
      <c r="U263">
        <f>WEEKDAY(PlanMasine[[#This Row],[ZAVRŠETAK MAŠINSKE]],2)</f>
        <v>1</v>
      </c>
      <c r="V263" s="3">
        <f>IF(WEEKDAY(PlanMasine[[#This Row],[Datum SAS]]-1,2)=7,PlanMasine[[#This Row],[Datum SAS]]-3,PlanMasine[[#This Row],[Datum SAS]]-1)</f>
        <v>45810</v>
      </c>
      <c r="W263">
        <f>WEEKNUM(PlanMasine[[#This Row],[Column2]],1)</f>
        <v>23</v>
      </c>
    </row>
    <row r="264" spans="1:23" x14ac:dyDescent="0.35">
      <c r="A264">
        <v>1003860</v>
      </c>
      <c r="B264">
        <v>1</v>
      </c>
      <c r="C264">
        <v>1003897</v>
      </c>
      <c r="D264" t="s">
        <v>1755</v>
      </c>
      <c r="E264">
        <v>660</v>
      </c>
      <c r="F264">
        <v>12</v>
      </c>
      <c r="G264">
        <v>0</v>
      </c>
      <c r="H264">
        <v>0</v>
      </c>
      <c r="I264" t="s">
        <v>24</v>
      </c>
      <c r="J264" t="s">
        <v>597</v>
      </c>
      <c r="K264" t="s">
        <v>1913</v>
      </c>
      <c r="L264" s="3">
        <v>45826</v>
      </c>
      <c r="M264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3.8194444444444441E-2</v>
      </c>
      <c r="N264" s="3">
        <v>45811</v>
      </c>
      <c r="O264" s="5">
        <f>IFERROR((PlanMasine[[#This Row],[Norma]]/PlanMasine[[#This Row],[Q]])*(PlanMasine[[#This Row],[Q]]/SUMIF(C:C,PlanMasine[[#This Row],[RN]],B:B)*PlanMasine[[#This Row],[KPLQ]]),0)</f>
        <v>55</v>
      </c>
      <c r="P264">
        <v>227566</v>
      </c>
      <c r="Q264">
        <f>COUNTIF(PROMJENA!A:A,PlanMasine[[#This Row],[KPL]]&amp;"-"&amp;PlanMasine[[#This Row],[RN]])</f>
        <v>0</v>
      </c>
      <c r="R264">
        <f>IFERROR(INDEX(REDOSLIJED!A:A,MATCH(PlanMasine[[#This Row],[KPL]],REDOSLIJED!B:B,0)),MAX(REDOSLIJED!A:A)+1)</f>
        <v>45</v>
      </c>
      <c r="S264" s="9">
        <f>SUM($M$2:M264)</f>
        <v>10.858194444444452</v>
      </c>
      <c r="T264" s="3">
        <f>PlanMasine[[#This Row],[Datum SAS]]-1</f>
        <v>45810</v>
      </c>
      <c r="U264">
        <f>WEEKDAY(PlanMasine[[#This Row],[ZAVRŠETAK MAŠINSKE]],2)</f>
        <v>1</v>
      </c>
      <c r="V264" s="3">
        <f>IF(WEEKDAY(PlanMasine[[#This Row],[Datum SAS]]-1,2)=7,PlanMasine[[#This Row],[Datum SAS]]-3,PlanMasine[[#This Row],[Datum SAS]]-1)</f>
        <v>45810</v>
      </c>
      <c r="W264">
        <f>WEEKNUM(PlanMasine[[#This Row],[Column2]],1)</f>
        <v>23</v>
      </c>
    </row>
    <row r="265" spans="1:23" x14ac:dyDescent="0.35">
      <c r="A265">
        <v>1024358</v>
      </c>
      <c r="B265">
        <v>2</v>
      </c>
      <c r="C265">
        <v>1024353</v>
      </c>
      <c r="D265" t="s">
        <v>239</v>
      </c>
      <c r="E265">
        <v>20</v>
      </c>
      <c r="F265">
        <v>2</v>
      </c>
      <c r="G265">
        <v>0</v>
      </c>
      <c r="H265">
        <v>0</v>
      </c>
      <c r="I265" t="s">
        <v>24</v>
      </c>
      <c r="J265" t="s">
        <v>597</v>
      </c>
      <c r="K265" t="s">
        <v>1914</v>
      </c>
      <c r="L265" s="3">
        <v>45814</v>
      </c>
      <c r="M265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1.3888888888888888E-2</v>
      </c>
      <c r="N265" s="3">
        <v>45811</v>
      </c>
      <c r="O265" s="5">
        <f>IFERROR((PlanMasine[[#This Row],[Norma]]/PlanMasine[[#This Row],[Q]])*(PlanMasine[[#This Row],[Q]]/SUMIF(C:C,PlanMasine[[#This Row],[RN]],B:B)*PlanMasine[[#This Row],[KPLQ]]),0)</f>
        <v>20</v>
      </c>
      <c r="P265">
        <v>155692</v>
      </c>
      <c r="Q265">
        <f>COUNTIF(PROMJENA!A:A,PlanMasine[[#This Row],[KPL]]&amp;"-"&amp;PlanMasine[[#This Row],[RN]])</f>
        <v>0</v>
      </c>
      <c r="R265">
        <f>IFERROR(INDEX(REDOSLIJED!A:A,MATCH(PlanMasine[[#This Row],[KPL]],REDOSLIJED!B:B,0)),MAX(REDOSLIJED!A:A)+1)</f>
        <v>45</v>
      </c>
      <c r="S265" s="9">
        <f>SUM($M$2:M265)</f>
        <v>10.872083333333341</v>
      </c>
      <c r="T265" s="3">
        <f>PlanMasine[[#This Row],[Datum SAS]]-1</f>
        <v>45810</v>
      </c>
      <c r="U265">
        <f>WEEKDAY(PlanMasine[[#This Row],[ZAVRŠETAK MAŠINSKE]],2)</f>
        <v>1</v>
      </c>
      <c r="V265" s="3">
        <f>IF(WEEKDAY(PlanMasine[[#This Row],[Datum SAS]]-1,2)=7,PlanMasine[[#This Row],[Datum SAS]]-3,PlanMasine[[#This Row],[Datum SAS]]-1)</f>
        <v>45810</v>
      </c>
      <c r="W265">
        <f>WEEKNUM(PlanMasine[[#This Row],[Column2]],1)</f>
        <v>23</v>
      </c>
    </row>
    <row r="266" spans="1:23" x14ac:dyDescent="0.35">
      <c r="A266">
        <v>1014246</v>
      </c>
      <c r="B266">
        <v>1</v>
      </c>
      <c r="C266">
        <v>1014265</v>
      </c>
      <c r="D266" t="s">
        <v>1915</v>
      </c>
      <c r="E266">
        <v>60</v>
      </c>
      <c r="F266">
        <v>2</v>
      </c>
      <c r="G266">
        <v>1</v>
      </c>
      <c r="H266">
        <v>30</v>
      </c>
      <c r="I266" t="s">
        <v>24</v>
      </c>
      <c r="J266" t="s">
        <v>597</v>
      </c>
      <c r="K266" t="s">
        <v>1916</v>
      </c>
      <c r="L266" s="3">
        <v>45832</v>
      </c>
      <c r="M266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4.1666666666666664E-2</v>
      </c>
      <c r="N266" s="3">
        <v>45812</v>
      </c>
      <c r="O266" s="5">
        <f>IFERROR((PlanMasine[[#This Row],[Norma]]/PlanMasine[[#This Row],[Q]])*(PlanMasine[[#This Row],[Q]]/SUMIF(C:C,PlanMasine[[#This Row],[RN]],B:B)*PlanMasine[[#This Row],[KPLQ]]),0)</f>
        <v>60</v>
      </c>
      <c r="P266">
        <v>122306</v>
      </c>
      <c r="Q266">
        <f>COUNTIF(PROMJENA!A:A,PlanMasine[[#This Row],[KPL]]&amp;"-"&amp;PlanMasine[[#This Row],[RN]])</f>
        <v>0</v>
      </c>
      <c r="R266">
        <f>IFERROR(INDEX(REDOSLIJED!A:A,MATCH(PlanMasine[[#This Row],[KPL]],REDOSLIJED!B:B,0)),MAX(REDOSLIJED!A:A)+1)</f>
        <v>45</v>
      </c>
      <c r="S266" s="9">
        <f>SUM($M$2:M266)</f>
        <v>10.913750000000007</v>
      </c>
      <c r="T266" s="3">
        <f>PlanMasine[[#This Row],[Datum SAS]]-1</f>
        <v>45811</v>
      </c>
      <c r="U266">
        <f>WEEKDAY(PlanMasine[[#This Row],[ZAVRŠETAK MAŠINSKE]],2)</f>
        <v>2</v>
      </c>
      <c r="V266" s="3">
        <f>IF(WEEKDAY(PlanMasine[[#This Row],[Datum SAS]]-1,2)=7,PlanMasine[[#This Row],[Datum SAS]]-3,PlanMasine[[#This Row],[Datum SAS]]-1)</f>
        <v>45811</v>
      </c>
      <c r="W266">
        <f>WEEKNUM(PlanMasine[[#This Row],[Column2]],1)</f>
        <v>23</v>
      </c>
    </row>
    <row r="267" spans="1:23" x14ac:dyDescent="0.35">
      <c r="A267">
        <v>1014246</v>
      </c>
      <c r="B267">
        <v>1</v>
      </c>
      <c r="C267">
        <v>1014266</v>
      </c>
      <c r="D267" t="s">
        <v>1917</v>
      </c>
      <c r="E267">
        <v>50</v>
      </c>
      <c r="F267">
        <v>2</v>
      </c>
      <c r="G267">
        <v>1</v>
      </c>
      <c r="H267">
        <v>25</v>
      </c>
      <c r="I267" t="s">
        <v>24</v>
      </c>
      <c r="J267" t="s">
        <v>597</v>
      </c>
      <c r="K267" t="s">
        <v>1916</v>
      </c>
      <c r="L267" s="3">
        <v>45832</v>
      </c>
      <c r="M267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3.4722222222222224E-2</v>
      </c>
      <c r="N267" s="3">
        <v>45812</v>
      </c>
      <c r="O267" s="5">
        <f>IFERROR((PlanMasine[[#This Row],[Norma]]/PlanMasine[[#This Row],[Q]])*(PlanMasine[[#This Row],[Q]]/SUMIF(C:C,PlanMasine[[#This Row],[RN]],B:B)*PlanMasine[[#This Row],[KPLQ]]),0)</f>
        <v>50</v>
      </c>
      <c r="P267">
        <v>122307</v>
      </c>
      <c r="Q267">
        <f>COUNTIF(PROMJENA!A:A,PlanMasine[[#This Row],[KPL]]&amp;"-"&amp;PlanMasine[[#This Row],[RN]])</f>
        <v>0</v>
      </c>
      <c r="R267">
        <f>IFERROR(INDEX(REDOSLIJED!A:A,MATCH(PlanMasine[[#This Row],[KPL]],REDOSLIJED!B:B,0)),MAX(REDOSLIJED!A:A)+1)</f>
        <v>45</v>
      </c>
      <c r="S267" s="9">
        <f>SUM($M$2:M267)</f>
        <v>10.948472222222229</v>
      </c>
      <c r="T267" s="3">
        <f>PlanMasine[[#This Row],[Datum SAS]]-1</f>
        <v>45811</v>
      </c>
      <c r="U267">
        <f>WEEKDAY(PlanMasine[[#This Row],[ZAVRŠETAK MAŠINSKE]],2)</f>
        <v>2</v>
      </c>
      <c r="V267" s="3">
        <f>IF(WEEKDAY(PlanMasine[[#This Row],[Datum SAS]]-1,2)=7,PlanMasine[[#This Row],[Datum SAS]]-3,PlanMasine[[#This Row],[Datum SAS]]-1)</f>
        <v>45811</v>
      </c>
      <c r="W267">
        <f>WEEKNUM(PlanMasine[[#This Row],[Column2]],1)</f>
        <v>23</v>
      </c>
    </row>
    <row r="268" spans="1:23" x14ac:dyDescent="0.35">
      <c r="A268">
        <v>1014246</v>
      </c>
      <c r="B268">
        <v>1</v>
      </c>
      <c r="C268">
        <v>1014252</v>
      </c>
      <c r="D268" t="s">
        <v>1918</v>
      </c>
      <c r="E268">
        <v>30</v>
      </c>
      <c r="F268">
        <v>1</v>
      </c>
      <c r="G268">
        <v>0</v>
      </c>
      <c r="H268">
        <v>0</v>
      </c>
      <c r="I268" t="s">
        <v>24</v>
      </c>
      <c r="J268" t="s">
        <v>597</v>
      </c>
      <c r="K268" t="s">
        <v>1916</v>
      </c>
      <c r="L268" s="3">
        <v>45832</v>
      </c>
      <c r="M268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2.0833333333333332E-2</v>
      </c>
      <c r="N268" s="3">
        <v>45812</v>
      </c>
      <c r="O268" s="5">
        <f>IFERROR((PlanMasine[[#This Row],[Norma]]/PlanMasine[[#This Row],[Q]])*(PlanMasine[[#This Row],[Q]]/SUMIF(C:C,PlanMasine[[#This Row],[RN]],B:B)*PlanMasine[[#This Row],[KPLQ]]),0)</f>
        <v>30</v>
      </c>
      <c r="P268">
        <v>122293</v>
      </c>
      <c r="Q268">
        <f>COUNTIF(PROMJENA!A:A,PlanMasine[[#This Row],[KPL]]&amp;"-"&amp;PlanMasine[[#This Row],[RN]])</f>
        <v>0</v>
      </c>
      <c r="R268">
        <f>IFERROR(INDEX(REDOSLIJED!A:A,MATCH(PlanMasine[[#This Row],[KPL]],REDOSLIJED!B:B,0)),MAX(REDOSLIJED!A:A)+1)</f>
        <v>45</v>
      </c>
      <c r="S268" s="9">
        <f>SUM($M$2:M268)</f>
        <v>10.969305555555563</v>
      </c>
      <c r="T268" s="3">
        <f>PlanMasine[[#This Row],[Datum SAS]]-1</f>
        <v>45811</v>
      </c>
      <c r="U268">
        <f>WEEKDAY(PlanMasine[[#This Row],[ZAVRŠETAK MAŠINSKE]],2)</f>
        <v>2</v>
      </c>
      <c r="V268" s="3">
        <f>IF(WEEKDAY(PlanMasine[[#This Row],[Datum SAS]]-1,2)=7,PlanMasine[[#This Row],[Datum SAS]]-3,PlanMasine[[#This Row],[Datum SAS]]-1)</f>
        <v>45811</v>
      </c>
      <c r="W268">
        <f>WEEKNUM(PlanMasine[[#This Row],[Column2]],1)</f>
        <v>23</v>
      </c>
    </row>
    <row r="269" spans="1:23" x14ac:dyDescent="0.35">
      <c r="A269">
        <v>1014275</v>
      </c>
      <c r="B269">
        <v>1</v>
      </c>
      <c r="C269">
        <v>1014277</v>
      </c>
      <c r="D269" t="s">
        <v>340</v>
      </c>
      <c r="E269">
        <v>50</v>
      </c>
      <c r="F269">
        <v>1</v>
      </c>
      <c r="G269">
        <v>0</v>
      </c>
      <c r="H269">
        <v>0</v>
      </c>
      <c r="I269" t="s">
        <v>24</v>
      </c>
      <c r="J269" t="s">
        <v>597</v>
      </c>
      <c r="K269" t="s">
        <v>1919</v>
      </c>
      <c r="L269" s="3">
        <v>45832</v>
      </c>
      <c r="M269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3.4722222222222224E-2</v>
      </c>
      <c r="N269" s="3">
        <v>45812</v>
      </c>
      <c r="O269" s="5">
        <f>IFERROR((PlanMasine[[#This Row],[Norma]]/PlanMasine[[#This Row],[Q]])*(PlanMasine[[#This Row],[Q]]/SUMIF(C:C,PlanMasine[[#This Row],[RN]],B:B)*PlanMasine[[#This Row],[KPLQ]]),0)</f>
        <v>50</v>
      </c>
      <c r="P269">
        <v>144717</v>
      </c>
      <c r="Q269">
        <f>COUNTIF(PROMJENA!A:A,PlanMasine[[#This Row],[KPL]]&amp;"-"&amp;PlanMasine[[#This Row],[RN]])</f>
        <v>0</v>
      </c>
      <c r="R269">
        <f>IFERROR(INDEX(REDOSLIJED!A:A,MATCH(PlanMasine[[#This Row],[KPL]],REDOSLIJED!B:B,0)),MAX(REDOSLIJED!A:A)+1)</f>
        <v>45</v>
      </c>
      <c r="S269" s="9">
        <f>SUM($M$2:M269)</f>
        <v>11.004027777777784</v>
      </c>
      <c r="T269" s="3">
        <f>PlanMasine[[#This Row],[Datum SAS]]-1</f>
        <v>45811</v>
      </c>
      <c r="U269">
        <f>WEEKDAY(PlanMasine[[#This Row],[ZAVRŠETAK MAŠINSKE]],2)</f>
        <v>2</v>
      </c>
      <c r="V269" s="3">
        <f>IF(WEEKDAY(PlanMasine[[#This Row],[Datum SAS]]-1,2)=7,PlanMasine[[#This Row],[Datum SAS]]-3,PlanMasine[[#This Row],[Datum SAS]]-1)</f>
        <v>45811</v>
      </c>
      <c r="W269">
        <f>WEEKNUM(PlanMasine[[#This Row],[Column2]],1)</f>
        <v>23</v>
      </c>
    </row>
    <row r="270" spans="1:23" x14ac:dyDescent="0.35">
      <c r="A270">
        <v>1017214</v>
      </c>
      <c r="B270">
        <v>7</v>
      </c>
      <c r="C270">
        <v>1017203</v>
      </c>
      <c r="D270" t="s">
        <v>1920</v>
      </c>
      <c r="E270">
        <v>630</v>
      </c>
      <c r="F270">
        <v>7</v>
      </c>
      <c r="G270">
        <v>0</v>
      </c>
      <c r="H270">
        <v>0</v>
      </c>
      <c r="I270" t="s">
        <v>24</v>
      </c>
      <c r="J270" t="s">
        <v>597</v>
      </c>
      <c r="K270" t="s">
        <v>1921</v>
      </c>
      <c r="L270" s="3">
        <v>45828</v>
      </c>
      <c r="M270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0.4375</v>
      </c>
      <c r="N270" s="3">
        <v>45812</v>
      </c>
      <c r="O270" s="5">
        <f>IFERROR((PlanMasine[[#This Row],[Norma]]/PlanMasine[[#This Row],[Q]])*(PlanMasine[[#This Row],[Q]]/SUMIF(C:C,PlanMasine[[#This Row],[RN]],B:B)*PlanMasine[[#This Row],[KPLQ]]),0)</f>
        <v>630</v>
      </c>
      <c r="P270">
        <v>197954</v>
      </c>
      <c r="Q270">
        <f>COUNTIF(PROMJENA!A:A,PlanMasine[[#This Row],[KPL]]&amp;"-"&amp;PlanMasine[[#This Row],[RN]])</f>
        <v>0</v>
      </c>
      <c r="R270">
        <f>IFERROR(INDEX(REDOSLIJED!A:A,MATCH(PlanMasine[[#This Row],[KPL]],REDOSLIJED!B:B,0)),MAX(REDOSLIJED!A:A)+1)</f>
        <v>45</v>
      </c>
      <c r="S270" s="9">
        <f>SUM($M$2:M270)</f>
        <v>11.441527777777784</v>
      </c>
      <c r="T270" s="3">
        <f>PlanMasine[[#This Row],[Datum SAS]]-1</f>
        <v>45811</v>
      </c>
      <c r="U270">
        <f>WEEKDAY(PlanMasine[[#This Row],[ZAVRŠETAK MAŠINSKE]],2)</f>
        <v>2</v>
      </c>
      <c r="V270" s="3">
        <f>IF(WEEKDAY(PlanMasine[[#This Row],[Datum SAS]]-1,2)=7,PlanMasine[[#This Row],[Datum SAS]]-3,PlanMasine[[#This Row],[Datum SAS]]-1)</f>
        <v>45811</v>
      </c>
      <c r="W270">
        <f>WEEKNUM(PlanMasine[[#This Row],[Column2]],1)</f>
        <v>23</v>
      </c>
    </row>
    <row r="271" spans="1:23" x14ac:dyDescent="0.35">
      <c r="A271">
        <v>1003942</v>
      </c>
      <c r="B271">
        <v>1</v>
      </c>
      <c r="C271">
        <v>1003974</v>
      </c>
      <c r="D271" t="s">
        <v>1754</v>
      </c>
      <c r="E271">
        <v>120</v>
      </c>
      <c r="F271">
        <v>12</v>
      </c>
      <c r="G271">
        <v>0</v>
      </c>
      <c r="H271">
        <v>0</v>
      </c>
      <c r="I271" t="s">
        <v>24</v>
      </c>
      <c r="J271" t="s">
        <v>597</v>
      </c>
      <c r="K271" t="s">
        <v>1922</v>
      </c>
      <c r="L271" s="3">
        <v>45834</v>
      </c>
      <c r="M271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6.9444444444444441E-3</v>
      </c>
      <c r="N271" s="3">
        <v>45817</v>
      </c>
      <c r="O271" s="5">
        <f>IFERROR((PlanMasine[[#This Row],[Norma]]/PlanMasine[[#This Row],[Q]])*(PlanMasine[[#This Row],[Q]]/SUMIF(C:C,PlanMasine[[#This Row],[RN]],B:B)*PlanMasine[[#This Row],[KPLQ]]),0)</f>
        <v>10</v>
      </c>
      <c r="P271">
        <v>227549</v>
      </c>
      <c r="Q271">
        <f>COUNTIF(PROMJENA!A:A,PlanMasine[[#This Row],[KPL]]&amp;"-"&amp;PlanMasine[[#This Row],[RN]])</f>
        <v>0</v>
      </c>
      <c r="R271">
        <f>IFERROR(INDEX(REDOSLIJED!A:A,MATCH(PlanMasine[[#This Row],[KPL]],REDOSLIJED!B:B,0)),MAX(REDOSLIJED!A:A)+1)</f>
        <v>45</v>
      </c>
      <c r="S271" s="9">
        <f>SUM($M$2:M271)</f>
        <v>11.448472222222229</v>
      </c>
      <c r="T271" s="3">
        <f>PlanMasine[[#This Row],[Datum SAS]]-1</f>
        <v>45816</v>
      </c>
      <c r="U271">
        <f>WEEKDAY(PlanMasine[[#This Row],[ZAVRŠETAK MAŠINSKE]],2)</f>
        <v>7</v>
      </c>
      <c r="V271" s="3">
        <f>IF(WEEKDAY(PlanMasine[[#This Row],[Datum SAS]]-1,2)=7,PlanMasine[[#This Row],[Datum SAS]]-3,PlanMasine[[#This Row],[Datum SAS]]-1)</f>
        <v>45814</v>
      </c>
      <c r="W271">
        <f>WEEKNUM(PlanMasine[[#This Row],[Column2]],1)</f>
        <v>23</v>
      </c>
    </row>
    <row r="272" spans="1:23" x14ac:dyDescent="0.35">
      <c r="A272">
        <v>1003942</v>
      </c>
      <c r="B272">
        <v>1</v>
      </c>
      <c r="C272">
        <v>1003990</v>
      </c>
      <c r="D272" t="s">
        <v>1755</v>
      </c>
      <c r="E272">
        <v>660</v>
      </c>
      <c r="F272">
        <v>12</v>
      </c>
      <c r="G272">
        <v>0</v>
      </c>
      <c r="H272">
        <v>0</v>
      </c>
      <c r="I272" t="s">
        <v>24</v>
      </c>
      <c r="J272" t="s">
        <v>597</v>
      </c>
      <c r="K272" t="s">
        <v>1922</v>
      </c>
      <c r="L272" s="3">
        <v>45834</v>
      </c>
      <c r="M272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3.8194444444444441E-2</v>
      </c>
      <c r="N272" s="3">
        <v>45817</v>
      </c>
      <c r="O272" s="5">
        <f>IFERROR((PlanMasine[[#This Row],[Norma]]/PlanMasine[[#This Row],[Q]])*(PlanMasine[[#This Row],[Q]]/SUMIF(C:C,PlanMasine[[#This Row],[RN]],B:B)*PlanMasine[[#This Row],[KPLQ]]),0)</f>
        <v>55</v>
      </c>
      <c r="P272">
        <v>227566</v>
      </c>
      <c r="Q272">
        <f>COUNTIF(PROMJENA!A:A,PlanMasine[[#This Row],[KPL]]&amp;"-"&amp;PlanMasine[[#This Row],[RN]])</f>
        <v>0</v>
      </c>
      <c r="R272">
        <f>IFERROR(INDEX(REDOSLIJED!A:A,MATCH(PlanMasine[[#This Row],[KPL]],REDOSLIJED!B:B,0)),MAX(REDOSLIJED!A:A)+1)</f>
        <v>45</v>
      </c>
      <c r="S272" s="9">
        <f>SUM($M$2:M272)</f>
        <v>11.486666666666673</v>
      </c>
      <c r="T272" s="3">
        <f>PlanMasine[[#This Row],[Datum SAS]]-1</f>
        <v>45816</v>
      </c>
      <c r="U272">
        <f>WEEKDAY(PlanMasine[[#This Row],[ZAVRŠETAK MAŠINSKE]],2)</f>
        <v>7</v>
      </c>
      <c r="V272" s="3">
        <f>IF(WEEKDAY(PlanMasine[[#This Row],[Datum SAS]]-1,2)=7,PlanMasine[[#This Row],[Datum SAS]]-3,PlanMasine[[#This Row],[Datum SAS]]-1)</f>
        <v>45814</v>
      </c>
      <c r="W272">
        <f>WEEKNUM(PlanMasine[[#This Row],[Column2]],1)</f>
        <v>23</v>
      </c>
    </row>
    <row r="273" spans="1:23" x14ac:dyDescent="0.35">
      <c r="A273">
        <v>1003943</v>
      </c>
      <c r="B273">
        <v>1</v>
      </c>
      <c r="C273">
        <v>1003990</v>
      </c>
      <c r="D273" t="s">
        <v>1755</v>
      </c>
      <c r="E273">
        <v>660</v>
      </c>
      <c r="F273">
        <v>12</v>
      </c>
      <c r="G273">
        <v>0</v>
      </c>
      <c r="H273">
        <v>0</v>
      </c>
      <c r="I273" t="s">
        <v>24</v>
      </c>
      <c r="J273" t="s">
        <v>597</v>
      </c>
      <c r="K273" t="s">
        <v>1922</v>
      </c>
      <c r="L273" s="3">
        <v>45834</v>
      </c>
      <c r="M273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3.8194444444444441E-2</v>
      </c>
      <c r="N273" s="3">
        <v>45817</v>
      </c>
      <c r="O273" s="5">
        <f>IFERROR((PlanMasine[[#This Row],[Norma]]/PlanMasine[[#This Row],[Q]])*(PlanMasine[[#This Row],[Q]]/SUMIF(C:C,PlanMasine[[#This Row],[RN]],B:B)*PlanMasine[[#This Row],[KPLQ]]),0)</f>
        <v>55</v>
      </c>
      <c r="P273">
        <v>227566</v>
      </c>
      <c r="Q273">
        <f>COUNTIF(PROMJENA!A:A,PlanMasine[[#This Row],[KPL]]&amp;"-"&amp;PlanMasine[[#This Row],[RN]])</f>
        <v>0</v>
      </c>
      <c r="R273">
        <f>IFERROR(INDEX(REDOSLIJED!A:A,MATCH(PlanMasine[[#This Row],[KPL]],REDOSLIJED!B:B,0)),MAX(REDOSLIJED!A:A)+1)</f>
        <v>45</v>
      </c>
      <c r="S273" s="9">
        <f>SUM($M$2:M273)</f>
        <v>11.524861111111118</v>
      </c>
      <c r="T273" s="3">
        <f>PlanMasine[[#This Row],[Datum SAS]]-1</f>
        <v>45816</v>
      </c>
      <c r="U273">
        <f>WEEKDAY(PlanMasine[[#This Row],[ZAVRŠETAK MAŠINSKE]],2)</f>
        <v>7</v>
      </c>
      <c r="V273" s="3">
        <f>IF(WEEKDAY(PlanMasine[[#This Row],[Datum SAS]]-1,2)=7,PlanMasine[[#This Row],[Datum SAS]]-3,PlanMasine[[#This Row],[Datum SAS]]-1)</f>
        <v>45814</v>
      </c>
      <c r="W273">
        <f>WEEKNUM(PlanMasine[[#This Row],[Column2]],1)</f>
        <v>23</v>
      </c>
    </row>
    <row r="274" spans="1:23" x14ac:dyDescent="0.35">
      <c r="A274">
        <v>1003943</v>
      </c>
      <c r="B274">
        <v>1</v>
      </c>
      <c r="C274">
        <v>1003974</v>
      </c>
      <c r="D274" t="s">
        <v>1754</v>
      </c>
      <c r="E274">
        <v>120</v>
      </c>
      <c r="F274">
        <v>12</v>
      </c>
      <c r="G274">
        <v>0</v>
      </c>
      <c r="H274">
        <v>0</v>
      </c>
      <c r="I274" t="s">
        <v>24</v>
      </c>
      <c r="J274" t="s">
        <v>597</v>
      </c>
      <c r="K274" t="s">
        <v>1922</v>
      </c>
      <c r="L274" s="3">
        <v>45834</v>
      </c>
      <c r="M274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6.9444444444444441E-3</v>
      </c>
      <c r="N274" s="3">
        <v>45817</v>
      </c>
      <c r="O274" s="5">
        <f>IFERROR((PlanMasine[[#This Row],[Norma]]/PlanMasine[[#This Row],[Q]])*(PlanMasine[[#This Row],[Q]]/SUMIF(C:C,PlanMasine[[#This Row],[RN]],B:B)*PlanMasine[[#This Row],[KPLQ]]),0)</f>
        <v>10</v>
      </c>
      <c r="P274">
        <v>227549</v>
      </c>
      <c r="Q274">
        <f>COUNTIF(PROMJENA!A:A,PlanMasine[[#This Row],[KPL]]&amp;"-"&amp;PlanMasine[[#This Row],[RN]])</f>
        <v>0</v>
      </c>
      <c r="R274">
        <f>IFERROR(INDEX(REDOSLIJED!A:A,MATCH(PlanMasine[[#This Row],[KPL]],REDOSLIJED!B:B,0)),MAX(REDOSLIJED!A:A)+1)</f>
        <v>45</v>
      </c>
      <c r="S274" s="9">
        <f>SUM($M$2:M274)</f>
        <v>11.531805555555563</v>
      </c>
      <c r="T274" s="3">
        <f>PlanMasine[[#This Row],[Datum SAS]]-1</f>
        <v>45816</v>
      </c>
      <c r="U274">
        <f>WEEKDAY(PlanMasine[[#This Row],[ZAVRŠETAK MAŠINSKE]],2)</f>
        <v>7</v>
      </c>
      <c r="V274" s="3">
        <f>IF(WEEKDAY(PlanMasine[[#This Row],[Datum SAS]]-1,2)=7,PlanMasine[[#This Row],[Datum SAS]]-3,PlanMasine[[#This Row],[Datum SAS]]-1)</f>
        <v>45814</v>
      </c>
      <c r="W274">
        <f>WEEKNUM(PlanMasine[[#This Row],[Column2]],1)</f>
        <v>23</v>
      </c>
    </row>
    <row r="275" spans="1:23" x14ac:dyDescent="0.35">
      <c r="A275">
        <v>1003944</v>
      </c>
      <c r="B275">
        <v>1</v>
      </c>
      <c r="C275">
        <v>1003974</v>
      </c>
      <c r="D275" t="s">
        <v>1754</v>
      </c>
      <c r="E275">
        <v>120</v>
      </c>
      <c r="F275">
        <v>12</v>
      </c>
      <c r="G275">
        <v>0</v>
      </c>
      <c r="H275">
        <v>0</v>
      </c>
      <c r="I275" t="s">
        <v>24</v>
      </c>
      <c r="J275" t="s">
        <v>597</v>
      </c>
      <c r="K275" t="s">
        <v>1922</v>
      </c>
      <c r="L275" s="3">
        <v>45834</v>
      </c>
      <c r="M275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6.9444444444444441E-3</v>
      </c>
      <c r="N275" s="3">
        <v>45817</v>
      </c>
      <c r="O275" s="5">
        <f>IFERROR((PlanMasine[[#This Row],[Norma]]/PlanMasine[[#This Row],[Q]])*(PlanMasine[[#This Row],[Q]]/SUMIF(C:C,PlanMasine[[#This Row],[RN]],B:B)*PlanMasine[[#This Row],[KPLQ]]),0)</f>
        <v>10</v>
      </c>
      <c r="P275">
        <v>227549</v>
      </c>
      <c r="Q275">
        <f>COUNTIF(PROMJENA!A:A,PlanMasine[[#This Row],[KPL]]&amp;"-"&amp;PlanMasine[[#This Row],[RN]])</f>
        <v>0</v>
      </c>
      <c r="R275">
        <f>IFERROR(INDEX(REDOSLIJED!A:A,MATCH(PlanMasine[[#This Row],[KPL]],REDOSLIJED!B:B,0)),MAX(REDOSLIJED!A:A)+1)</f>
        <v>45</v>
      </c>
      <c r="S275" s="9">
        <f>SUM($M$2:M275)</f>
        <v>11.538750000000007</v>
      </c>
      <c r="T275" s="3">
        <f>PlanMasine[[#This Row],[Datum SAS]]-1</f>
        <v>45816</v>
      </c>
      <c r="U275">
        <f>WEEKDAY(PlanMasine[[#This Row],[ZAVRŠETAK MAŠINSKE]],2)</f>
        <v>7</v>
      </c>
      <c r="V275" s="3">
        <f>IF(WEEKDAY(PlanMasine[[#This Row],[Datum SAS]]-1,2)=7,PlanMasine[[#This Row],[Datum SAS]]-3,PlanMasine[[#This Row],[Datum SAS]]-1)</f>
        <v>45814</v>
      </c>
      <c r="W275">
        <f>WEEKNUM(PlanMasine[[#This Row],[Column2]],1)</f>
        <v>23</v>
      </c>
    </row>
    <row r="276" spans="1:23" x14ac:dyDescent="0.35">
      <c r="A276">
        <v>1003944</v>
      </c>
      <c r="B276">
        <v>1</v>
      </c>
      <c r="C276">
        <v>1003990</v>
      </c>
      <c r="D276" t="s">
        <v>1755</v>
      </c>
      <c r="E276">
        <v>660</v>
      </c>
      <c r="F276">
        <v>12</v>
      </c>
      <c r="G276">
        <v>0</v>
      </c>
      <c r="H276">
        <v>0</v>
      </c>
      <c r="I276" t="s">
        <v>24</v>
      </c>
      <c r="J276" t="s">
        <v>597</v>
      </c>
      <c r="K276" t="s">
        <v>1922</v>
      </c>
      <c r="L276" s="3">
        <v>45834</v>
      </c>
      <c r="M276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3.8194444444444441E-2</v>
      </c>
      <c r="N276" s="3">
        <v>45817</v>
      </c>
      <c r="O276" s="5">
        <f>IFERROR((PlanMasine[[#This Row],[Norma]]/PlanMasine[[#This Row],[Q]])*(PlanMasine[[#This Row],[Q]]/SUMIF(C:C,PlanMasine[[#This Row],[RN]],B:B)*PlanMasine[[#This Row],[KPLQ]]),0)</f>
        <v>55</v>
      </c>
      <c r="P276">
        <v>227566</v>
      </c>
      <c r="Q276">
        <f>COUNTIF(PROMJENA!A:A,PlanMasine[[#This Row],[KPL]]&amp;"-"&amp;PlanMasine[[#This Row],[RN]])</f>
        <v>0</v>
      </c>
      <c r="R276">
        <f>IFERROR(INDEX(REDOSLIJED!A:A,MATCH(PlanMasine[[#This Row],[KPL]],REDOSLIJED!B:B,0)),MAX(REDOSLIJED!A:A)+1)</f>
        <v>45</v>
      </c>
      <c r="S276" s="9">
        <f>SUM($M$2:M276)</f>
        <v>11.576944444444452</v>
      </c>
      <c r="T276" s="3">
        <f>PlanMasine[[#This Row],[Datum SAS]]-1</f>
        <v>45816</v>
      </c>
      <c r="U276">
        <f>WEEKDAY(PlanMasine[[#This Row],[ZAVRŠETAK MAŠINSKE]],2)</f>
        <v>7</v>
      </c>
      <c r="V276" s="3">
        <f>IF(WEEKDAY(PlanMasine[[#This Row],[Datum SAS]]-1,2)=7,PlanMasine[[#This Row],[Datum SAS]]-3,PlanMasine[[#This Row],[Datum SAS]]-1)</f>
        <v>45814</v>
      </c>
      <c r="W276">
        <f>WEEKNUM(PlanMasine[[#This Row],[Column2]],1)</f>
        <v>23</v>
      </c>
    </row>
    <row r="277" spans="1:23" x14ac:dyDescent="0.35">
      <c r="A277">
        <v>1003945</v>
      </c>
      <c r="B277">
        <v>1</v>
      </c>
      <c r="C277">
        <v>1003990</v>
      </c>
      <c r="D277" t="s">
        <v>1755</v>
      </c>
      <c r="E277">
        <v>660</v>
      </c>
      <c r="F277">
        <v>12</v>
      </c>
      <c r="G277">
        <v>0</v>
      </c>
      <c r="H277">
        <v>0</v>
      </c>
      <c r="I277" t="s">
        <v>24</v>
      </c>
      <c r="J277" t="s">
        <v>597</v>
      </c>
      <c r="K277" t="s">
        <v>1922</v>
      </c>
      <c r="L277" s="3">
        <v>45834</v>
      </c>
      <c r="M277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3.8194444444444441E-2</v>
      </c>
      <c r="N277" s="3">
        <v>45817</v>
      </c>
      <c r="O277" s="5">
        <f>IFERROR((PlanMasine[[#This Row],[Norma]]/PlanMasine[[#This Row],[Q]])*(PlanMasine[[#This Row],[Q]]/SUMIF(C:C,PlanMasine[[#This Row],[RN]],B:B)*PlanMasine[[#This Row],[KPLQ]]),0)</f>
        <v>55</v>
      </c>
      <c r="P277">
        <v>227566</v>
      </c>
      <c r="Q277">
        <f>COUNTIF(PROMJENA!A:A,PlanMasine[[#This Row],[KPL]]&amp;"-"&amp;PlanMasine[[#This Row],[RN]])</f>
        <v>0</v>
      </c>
      <c r="R277">
        <f>IFERROR(INDEX(REDOSLIJED!A:A,MATCH(PlanMasine[[#This Row],[KPL]],REDOSLIJED!B:B,0)),MAX(REDOSLIJED!A:A)+1)</f>
        <v>45</v>
      </c>
      <c r="S277" s="9">
        <f>SUM($M$2:M277)</f>
        <v>11.615138888888897</v>
      </c>
      <c r="T277" s="3">
        <f>PlanMasine[[#This Row],[Datum SAS]]-1</f>
        <v>45816</v>
      </c>
      <c r="U277">
        <f>WEEKDAY(PlanMasine[[#This Row],[ZAVRŠETAK MAŠINSKE]],2)</f>
        <v>7</v>
      </c>
      <c r="V277" s="3">
        <f>IF(WEEKDAY(PlanMasine[[#This Row],[Datum SAS]]-1,2)=7,PlanMasine[[#This Row],[Datum SAS]]-3,PlanMasine[[#This Row],[Datum SAS]]-1)</f>
        <v>45814</v>
      </c>
      <c r="W277">
        <f>WEEKNUM(PlanMasine[[#This Row],[Column2]],1)</f>
        <v>23</v>
      </c>
    </row>
    <row r="278" spans="1:23" x14ac:dyDescent="0.35">
      <c r="A278">
        <v>1003945</v>
      </c>
      <c r="B278">
        <v>1</v>
      </c>
      <c r="C278">
        <v>1003974</v>
      </c>
      <c r="D278" t="s">
        <v>1754</v>
      </c>
      <c r="E278">
        <v>120</v>
      </c>
      <c r="F278">
        <v>12</v>
      </c>
      <c r="G278">
        <v>0</v>
      </c>
      <c r="H278">
        <v>0</v>
      </c>
      <c r="I278" t="s">
        <v>24</v>
      </c>
      <c r="J278" t="s">
        <v>597</v>
      </c>
      <c r="K278" t="s">
        <v>1922</v>
      </c>
      <c r="L278" s="3">
        <v>45834</v>
      </c>
      <c r="M278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6.9444444444444441E-3</v>
      </c>
      <c r="N278" s="3">
        <v>45817</v>
      </c>
      <c r="O278" s="5">
        <f>IFERROR((PlanMasine[[#This Row],[Norma]]/PlanMasine[[#This Row],[Q]])*(PlanMasine[[#This Row],[Q]]/SUMIF(C:C,PlanMasine[[#This Row],[RN]],B:B)*PlanMasine[[#This Row],[KPLQ]]),0)</f>
        <v>10</v>
      </c>
      <c r="P278">
        <v>227549</v>
      </c>
      <c r="Q278">
        <f>COUNTIF(PROMJENA!A:A,PlanMasine[[#This Row],[KPL]]&amp;"-"&amp;PlanMasine[[#This Row],[RN]])</f>
        <v>0</v>
      </c>
      <c r="R278">
        <f>IFERROR(INDEX(REDOSLIJED!A:A,MATCH(PlanMasine[[#This Row],[KPL]],REDOSLIJED!B:B,0)),MAX(REDOSLIJED!A:A)+1)</f>
        <v>45</v>
      </c>
      <c r="S278" s="9">
        <f>SUM($M$2:M278)</f>
        <v>11.622083333333341</v>
      </c>
      <c r="T278" s="3">
        <f>PlanMasine[[#This Row],[Datum SAS]]-1</f>
        <v>45816</v>
      </c>
      <c r="U278">
        <f>WEEKDAY(PlanMasine[[#This Row],[ZAVRŠETAK MAŠINSKE]],2)</f>
        <v>7</v>
      </c>
      <c r="V278" s="3">
        <f>IF(WEEKDAY(PlanMasine[[#This Row],[Datum SAS]]-1,2)=7,PlanMasine[[#This Row],[Datum SAS]]-3,PlanMasine[[#This Row],[Datum SAS]]-1)</f>
        <v>45814</v>
      </c>
      <c r="W278">
        <f>WEEKNUM(PlanMasine[[#This Row],[Column2]],1)</f>
        <v>23</v>
      </c>
    </row>
    <row r="279" spans="1:23" x14ac:dyDescent="0.35">
      <c r="A279">
        <v>1003946</v>
      </c>
      <c r="B279">
        <v>1</v>
      </c>
      <c r="C279">
        <v>1003990</v>
      </c>
      <c r="D279" t="s">
        <v>1755</v>
      </c>
      <c r="E279">
        <v>660</v>
      </c>
      <c r="F279">
        <v>12</v>
      </c>
      <c r="G279">
        <v>0</v>
      </c>
      <c r="H279">
        <v>0</v>
      </c>
      <c r="I279" t="s">
        <v>24</v>
      </c>
      <c r="J279" t="s">
        <v>597</v>
      </c>
      <c r="K279" t="s">
        <v>1922</v>
      </c>
      <c r="L279" s="3">
        <v>45834</v>
      </c>
      <c r="M279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3.8194444444444441E-2</v>
      </c>
      <c r="N279" s="3">
        <v>45817</v>
      </c>
      <c r="O279" s="5">
        <f>IFERROR((PlanMasine[[#This Row],[Norma]]/PlanMasine[[#This Row],[Q]])*(PlanMasine[[#This Row],[Q]]/SUMIF(C:C,PlanMasine[[#This Row],[RN]],B:B)*PlanMasine[[#This Row],[KPLQ]]),0)</f>
        <v>55</v>
      </c>
      <c r="P279">
        <v>227566</v>
      </c>
      <c r="Q279">
        <f>COUNTIF(PROMJENA!A:A,PlanMasine[[#This Row],[KPL]]&amp;"-"&amp;PlanMasine[[#This Row],[RN]])</f>
        <v>0</v>
      </c>
      <c r="R279">
        <f>IFERROR(INDEX(REDOSLIJED!A:A,MATCH(PlanMasine[[#This Row],[KPL]],REDOSLIJED!B:B,0)),MAX(REDOSLIJED!A:A)+1)</f>
        <v>45</v>
      </c>
      <c r="S279" s="9">
        <f>SUM($M$2:M279)</f>
        <v>11.660277777777786</v>
      </c>
      <c r="T279" s="3">
        <f>PlanMasine[[#This Row],[Datum SAS]]-1</f>
        <v>45816</v>
      </c>
      <c r="U279">
        <f>WEEKDAY(PlanMasine[[#This Row],[ZAVRŠETAK MAŠINSKE]],2)</f>
        <v>7</v>
      </c>
      <c r="V279" s="3">
        <f>IF(WEEKDAY(PlanMasine[[#This Row],[Datum SAS]]-1,2)=7,PlanMasine[[#This Row],[Datum SAS]]-3,PlanMasine[[#This Row],[Datum SAS]]-1)</f>
        <v>45814</v>
      </c>
      <c r="W279">
        <f>WEEKNUM(PlanMasine[[#This Row],[Column2]],1)</f>
        <v>23</v>
      </c>
    </row>
    <row r="280" spans="1:23" x14ac:dyDescent="0.35">
      <c r="A280">
        <v>1003946</v>
      </c>
      <c r="B280">
        <v>1</v>
      </c>
      <c r="C280">
        <v>1003974</v>
      </c>
      <c r="D280" t="s">
        <v>1754</v>
      </c>
      <c r="E280">
        <v>120</v>
      </c>
      <c r="F280">
        <v>12</v>
      </c>
      <c r="G280">
        <v>0</v>
      </c>
      <c r="H280">
        <v>0</v>
      </c>
      <c r="I280" t="s">
        <v>24</v>
      </c>
      <c r="J280" t="s">
        <v>597</v>
      </c>
      <c r="K280" t="s">
        <v>1922</v>
      </c>
      <c r="L280" s="3">
        <v>45834</v>
      </c>
      <c r="M280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6.9444444444444441E-3</v>
      </c>
      <c r="N280" s="3">
        <v>45817</v>
      </c>
      <c r="O280" s="5">
        <f>IFERROR((PlanMasine[[#This Row],[Norma]]/PlanMasine[[#This Row],[Q]])*(PlanMasine[[#This Row],[Q]]/SUMIF(C:C,PlanMasine[[#This Row],[RN]],B:B)*PlanMasine[[#This Row],[KPLQ]]),0)</f>
        <v>10</v>
      </c>
      <c r="P280">
        <v>227549</v>
      </c>
      <c r="Q280">
        <f>COUNTIF(PROMJENA!A:A,PlanMasine[[#This Row],[KPL]]&amp;"-"&amp;PlanMasine[[#This Row],[RN]])</f>
        <v>0</v>
      </c>
      <c r="R280">
        <f>IFERROR(INDEX(REDOSLIJED!A:A,MATCH(PlanMasine[[#This Row],[KPL]],REDOSLIJED!B:B,0)),MAX(REDOSLIJED!A:A)+1)</f>
        <v>45</v>
      </c>
      <c r="S280" s="9">
        <f>SUM($M$2:M280)</f>
        <v>11.667222222222231</v>
      </c>
      <c r="T280" s="3">
        <f>PlanMasine[[#This Row],[Datum SAS]]-1</f>
        <v>45816</v>
      </c>
      <c r="U280">
        <f>WEEKDAY(PlanMasine[[#This Row],[ZAVRŠETAK MAŠINSKE]],2)</f>
        <v>7</v>
      </c>
      <c r="V280" s="3">
        <f>IF(WEEKDAY(PlanMasine[[#This Row],[Datum SAS]]-1,2)=7,PlanMasine[[#This Row],[Datum SAS]]-3,PlanMasine[[#This Row],[Datum SAS]]-1)</f>
        <v>45814</v>
      </c>
      <c r="W280">
        <f>WEEKNUM(PlanMasine[[#This Row],[Column2]],1)</f>
        <v>23</v>
      </c>
    </row>
    <row r="281" spans="1:23" x14ac:dyDescent="0.35">
      <c r="A281">
        <v>1003947</v>
      </c>
      <c r="B281">
        <v>1</v>
      </c>
      <c r="C281">
        <v>1003990</v>
      </c>
      <c r="D281" t="s">
        <v>1755</v>
      </c>
      <c r="E281">
        <v>660</v>
      </c>
      <c r="F281">
        <v>12</v>
      </c>
      <c r="G281">
        <v>0</v>
      </c>
      <c r="H281">
        <v>0</v>
      </c>
      <c r="I281" t="s">
        <v>24</v>
      </c>
      <c r="J281" t="s">
        <v>597</v>
      </c>
      <c r="K281" t="s">
        <v>1922</v>
      </c>
      <c r="L281" s="3">
        <v>45834</v>
      </c>
      <c r="M281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3.8194444444444441E-2</v>
      </c>
      <c r="N281" s="3">
        <v>45817</v>
      </c>
      <c r="O281" s="5">
        <f>IFERROR((PlanMasine[[#This Row],[Norma]]/PlanMasine[[#This Row],[Q]])*(PlanMasine[[#This Row],[Q]]/SUMIF(C:C,PlanMasine[[#This Row],[RN]],B:B)*PlanMasine[[#This Row],[KPLQ]]),0)</f>
        <v>55</v>
      </c>
      <c r="P281">
        <v>227566</v>
      </c>
      <c r="Q281">
        <f>COUNTIF(PROMJENA!A:A,PlanMasine[[#This Row],[KPL]]&amp;"-"&amp;PlanMasine[[#This Row],[RN]])</f>
        <v>0</v>
      </c>
      <c r="R281">
        <f>IFERROR(INDEX(REDOSLIJED!A:A,MATCH(PlanMasine[[#This Row],[KPL]],REDOSLIJED!B:B,0)),MAX(REDOSLIJED!A:A)+1)</f>
        <v>45</v>
      </c>
      <c r="S281" s="9">
        <f>SUM($M$2:M281)</f>
        <v>11.705416666666675</v>
      </c>
      <c r="T281" s="3">
        <f>PlanMasine[[#This Row],[Datum SAS]]-1</f>
        <v>45816</v>
      </c>
      <c r="U281">
        <f>WEEKDAY(PlanMasine[[#This Row],[ZAVRŠETAK MAŠINSKE]],2)</f>
        <v>7</v>
      </c>
      <c r="V281" s="3">
        <f>IF(WEEKDAY(PlanMasine[[#This Row],[Datum SAS]]-1,2)=7,PlanMasine[[#This Row],[Datum SAS]]-3,PlanMasine[[#This Row],[Datum SAS]]-1)</f>
        <v>45814</v>
      </c>
      <c r="W281">
        <f>WEEKNUM(PlanMasine[[#This Row],[Column2]],1)</f>
        <v>23</v>
      </c>
    </row>
    <row r="282" spans="1:23" x14ac:dyDescent="0.35">
      <c r="A282">
        <v>1003947</v>
      </c>
      <c r="B282">
        <v>1</v>
      </c>
      <c r="C282">
        <v>1003974</v>
      </c>
      <c r="D282" t="s">
        <v>1754</v>
      </c>
      <c r="E282">
        <v>120</v>
      </c>
      <c r="F282">
        <v>12</v>
      </c>
      <c r="G282">
        <v>0</v>
      </c>
      <c r="H282">
        <v>0</v>
      </c>
      <c r="I282" t="s">
        <v>24</v>
      </c>
      <c r="J282" t="s">
        <v>597</v>
      </c>
      <c r="K282" t="s">
        <v>1922</v>
      </c>
      <c r="L282" s="3">
        <v>45834</v>
      </c>
      <c r="M282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6.9444444444444441E-3</v>
      </c>
      <c r="N282" s="3">
        <v>45817</v>
      </c>
      <c r="O282" s="5">
        <f>IFERROR((PlanMasine[[#This Row],[Norma]]/PlanMasine[[#This Row],[Q]])*(PlanMasine[[#This Row],[Q]]/SUMIF(C:C,PlanMasine[[#This Row],[RN]],B:B)*PlanMasine[[#This Row],[KPLQ]]),0)</f>
        <v>10</v>
      </c>
      <c r="P282">
        <v>227549</v>
      </c>
      <c r="Q282">
        <f>COUNTIF(PROMJENA!A:A,PlanMasine[[#This Row],[KPL]]&amp;"-"&amp;PlanMasine[[#This Row],[RN]])</f>
        <v>0</v>
      </c>
      <c r="R282">
        <f>IFERROR(INDEX(REDOSLIJED!A:A,MATCH(PlanMasine[[#This Row],[KPL]],REDOSLIJED!B:B,0)),MAX(REDOSLIJED!A:A)+1)</f>
        <v>45</v>
      </c>
      <c r="S282" s="9">
        <f>SUM($M$2:M282)</f>
        <v>11.71236111111112</v>
      </c>
      <c r="T282" s="3">
        <f>PlanMasine[[#This Row],[Datum SAS]]-1</f>
        <v>45816</v>
      </c>
      <c r="U282">
        <f>WEEKDAY(PlanMasine[[#This Row],[ZAVRŠETAK MAŠINSKE]],2)</f>
        <v>7</v>
      </c>
      <c r="V282" s="3">
        <f>IF(WEEKDAY(PlanMasine[[#This Row],[Datum SAS]]-1,2)=7,PlanMasine[[#This Row],[Datum SAS]]-3,PlanMasine[[#This Row],[Datum SAS]]-1)</f>
        <v>45814</v>
      </c>
      <c r="W282">
        <f>WEEKNUM(PlanMasine[[#This Row],[Column2]],1)</f>
        <v>23</v>
      </c>
    </row>
    <row r="283" spans="1:23" x14ac:dyDescent="0.35">
      <c r="A283">
        <v>1003948</v>
      </c>
      <c r="B283">
        <v>1</v>
      </c>
      <c r="C283">
        <v>1003974</v>
      </c>
      <c r="D283" t="s">
        <v>1754</v>
      </c>
      <c r="E283">
        <v>120</v>
      </c>
      <c r="F283">
        <v>12</v>
      </c>
      <c r="G283">
        <v>0</v>
      </c>
      <c r="H283">
        <v>0</v>
      </c>
      <c r="I283" t="s">
        <v>24</v>
      </c>
      <c r="J283" t="s">
        <v>597</v>
      </c>
      <c r="K283" t="s">
        <v>1922</v>
      </c>
      <c r="L283" s="3">
        <v>45834</v>
      </c>
      <c r="M283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6.9444444444444441E-3</v>
      </c>
      <c r="N283" s="3">
        <v>45817</v>
      </c>
      <c r="O283" s="5">
        <f>IFERROR((PlanMasine[[#This Row],[Norma]]/PlanMasine[[#This Row],[Q]])*(PlanMasine[[#This Row],[Q]]/SUMIF(C:C,PlanMasine[[#This Row],[RN]],B:B)*PlanMasine[[#This Row],[KPLQ]]),0)</f>
        <v>10</v>
      </c>
      <c r="P283">
        <v>227549</v>
      </c>
      <c r="Q283">
        <f>COUNTIF(PROMJENA!A:A,PlanMasine[[#This Row],[KPL]]&amp;"-"&amp;PlanMasine[[#This Row],[RN]])</f>
        <v>0</v>
      </c>
      <c r="R283">
        <f>IFERROR(INDEX(REDOSLIJED!A:A,MATCH(PlanMasine[[#This Row],[KPL]],REDOSLIJED!B:B,0)),MAX(REDOSLIJED!A:A)+1)</f>
        <v>45</v>
      </c>
      <c r="S283" s="9">
        <f>SUM($M$2:M283)</f>
        <v>11.719305555555565</v>
      </c>
      <c r="T283" s="3">
        <f>PlanMasine[[#This Row],[Datum SAS]]-1</f>
        <v>45816</v>
      </c>
      <c r="U283">
        <f>WEEKDAY(PlanMasine[[#This Row],[ZAVRŠETAK MAŠINSKE]],2)</f>
        <v>7</v>
      </c>
      <c r="V283" s="3">
        <f>IF(WEEKDAY(PlanMasine[[#This Row],[Datum SAS]]-1,2)=7,PlanMasine[[#This Row],[Datum SAS]]-3,PlanMasine[[#This Row],[Datum SAS]]-1)</f>
        <v>45814</v>
      </c>
      <c r="W283">
        <f>WEEKNUM(PlanMasine[[#This Row],[Column2]],1)</f>
        <v>23</v>
      </c>
    </row>
    <row r="284" spans="1:23" x14ac:dyDescent="0.35">
      <c r="A284">
        <v>1003948</v>
      </c>
      <c r="B284">
        <v>1</v>
      </c>
      <c r="C284">
        <v>1003990</v>
      </c>
      <c r="D284" t="s">
        <v>1755</v>
      </c>
      <c r="E284">
        <v>660</v>
      </c>
      <c r="F284">
        <v>12</v>
      </c>
      <c r="G284">
        <v>0</v>
      </c>
      <c r="H284">
        <v>0</v>
      </c>
      <c r="I284" t="s">
        <v>24</v>
      </c>
      <c r="J284" t="s">
        <v>597</v>
      </c>
      <c r="K284" t="s">
        <v>1922</v>
      </c>
      <c r="L284" s="3">
        <v>45834</v>
      </c>
      <c r="M284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3.8194444444444441E-2</v>
      </c>
      <c r="N284" s="3">
        <v>45817</v>
      </c>
      <c r="O284" s="5">
        <f>IFERROR((PlanMasine[[#This Row],[Norma]]/PlanMasine[[#This Row],[Q]])*(PlanMasine[[#This Row],[Q]]/SUMIF(C:C,PlanMasine[[#This Row],[RN]],B:B)*PlanMasine[[#This Row],[KPLQ]]),0)</f>
        <v>55</v>
      </c>
      <c r="P284">
        <v>227566</v>
      </c>
      <c r="Q284">
        <f>COUNTIF(PROMJENA!A:A,PlanMasine[[#This Row],[KPL]]&amp;"-"&amp;PlanMasine[[#This Row],[RN]])</f>
        <v>0</v>
      </c>
      <c r="R284">
        <f>IFERROR(INDEX(REDOSLIJED!A:A,MATCH(PlanMasine[[#This Row],[KPL]],REDOSLIJED!B:B,0)),MAX(REDOSLIJED!A:A)+1)</f>
        <v>45</v>
      </c>
      <c r="S284" s="9">
        <f>SUM($M$2:M284)</f>
        <v>11.757500000000009</v>
      </c>
      <c r="T284" s="3">
        <f>PlanMasine[[#This Row],[Datum SAS]]-1</f>
        <v>45816</v>
      </c>
      <c r="U284">
        <f>WEEKDAY(PlanMasine[[#This Row],[ZAVRŠETAK MAŠINSKE]],2)</f>
        <v>7</v>
      </c>
      <c r="V284" s="3">
        <f>IF(WEEKDAY(PlanMasine[[#This Row],[Datum SAS]]-1,2)=7,PlanMasine[[#This Row],[Datum SAS]]-3,PlanMasine[[#This Row],[Datum SAS]]-1)</f>
        <v>45814</v>
      </c>
      <c r="W284">
        <f>WEEKNUM(PlanMasine[[#This Row],[Column2]],1)</f>
        <v>23</v>
      </c>
    </row>
    <row r="285" spans="1:23" x14ac:dyDescent="0.35">
      <c r="A285">
        <v>1003949</v>
      </c>
      <c r="B285">
        <v>1</v>
      </c>
      <c r="C285">
        <v>1003990</v>
      </c>
      <c r="D285" t="s">
        <v>1755</v>
      </c>
      <c r="E285">
        <v>660</v>
      </c>
      <c r="F285">
        <v>12</v>
      </c>
      <c r="G285">
        <v>0</v>
      </c>
      <c r="H285">
        <v>0</v>
      </c>
      <c r="I285" t="s">
        <v>24</v>
      </c>
      <c r="J285" t="s">
        <v>597</v>
      </c>
      <c r="K285" t="s">
        <v>1922</v>
      </c>
      <c r="L285" s="3">
        <v>45834</v>
      </c>
      <c r="M285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3.8194444444444441E-2</v>
      </c>
      <c r="N285" s="3">
        <v>45817</v>
      </c>
      <c r="O285" s="5">
        <f>IFERROR((PlanMasine[[#This Row],[Norma]]/PlanMasine[[#This Row],[Q]])*(PlanMasine[[#This Row],[Q]]/SUMIF(C:C,PlanMasine[[#This Row],[RN]],B:B)*PlanMasine[[#This Row],[KPLQ]]),0)</f>
        <v>55</v>
      </c>
      <c r="P285">
        <v>227566</v>
      </c>
      <c r="Q285">
        <f>COUNTIF(PROMJENA!A:A,PlanMasine[[#This Row],[KPL]]&amp;"-"&amp;PlanMasine[[#This Row],[RN]])</f>
        <v>0</v>
      </c>
      <c r="R285">
        <f>IFERROR(INDEX(REDOSLIJED!A:A,MATCH(PlanMasine[[#This Row],[KPL]],REDOSLIJED!B:B,0)),MAX(REDOSLIJED!A:A)+1)</f>
        <v>45</v>
      </c>
      <c r="S285" s="9">
        <f>SUM($M$2:M285)</f>
        <v>11.795694444444454</v>
      </c>
      <c r="T285" s="3">
        <f>PlanMasine[[#This Row],[Datum SAS]]-1</f>
        <v>45816</v>
      </c>
      <c r="U285">
        <f>WEEKDAY(PlanMasine[[#This Row],[ZAVRŠETAK MAŠINSKE]],2)</f>
        <v>7</v>
      </c>
      <c r="V285" s="3">
        <f>IF(WEEKDAY(PlanMasine[[#This Row],[Datum SAS]]-1,2)=7,PlanMasine[[#This Row],[Datum SAS]]-3,PlanMasine[[#This Row],[Datum SAS]]-1)</f>
        <v>45814</v>
      </c>
      <c r="W285">
        <f>WEEKNUM(PlanMasine[[#This Row],[Column2]],1)</f>
        <v>23</v>
      </c>
    </row>
    <row r="286" spans="1:23" x14ac:dyDescent="0.35">
      <c r="A286">
        <v>1003949</v>
      </c>
      <c r="B286">
        <v>1</v>
      </c>
      <c r="C286">
        <v>1003974</v>
      </c>
      <c r="D286" t="s">
        <v>1754</v>
      </c>
      <c r="E286">
        <v>120</v>
      </c>
      <c r="F286">
        <v>12</v>
      </c>
      <c r="G286">
        <v>0</v>
      </c>
      <c r="H286">
        <v>0</v>
      </c>
      <c r="I286" t="s">
        <v>24</v>
      </c>
      <c r="J286" t="s">
        <v>597</v>
      </c>
      <c r="K286" t="s">
        <v>1922</v>
      </c>
      <c r="L286" s="3">
        <v>45834</v>
      </c>
      <c r="M286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6.9444444444444441E-3</v>
      </c>
      <c r="N286" s="3">
        <v>45817</v>
      </c>
      <c r="O286" s="5">
        <f>IFERROR((PlanMasine[[#This Row],[Norma]]/PlanMasine[[#This Row],[Q]])*(PlanMasine[[#This Row],[Q]]/SUMIF(C:C,PlanMasine[[#This Row],[RN]],B:B)*PlanMasine[[#This Row],[KPLQ]]),0)</f>
        <v>10</v>
      </c>
      <c r="P286">
        <v>227549</v>
      </c>
      <c r="Q286">
        <f>COUNTIF(PROMJENA!A:A,PlanMasine[[#This Row],[KPL]]&amp;"-"&amp;PlanMasine[[#This Row],[RN]])</f>
        <v>0</v>
      </c>
      <c r="R286">
        <f>IFERROR(INDEX(REDOSLIJED!A:A,MATCH(PlanMasine[[#This Row],[KPL]],REDOSLIJED!B:B,0)),MAX(REDOSLIJED!A:A)+1)</f>
        <v>45</v>
      </c>
      <c r="S286" s="9">
        <f>SUM($M$2:M286)</f>
        <v>11.802638888888898</v>
      </c>
      <c r="T286" s="3">
        <f>PlanMasine[[#This Row],[Datum SAS]]-1</f>
        <v>45816</v>
      </c>
      <c r="U286">
        <f>WEEKDAY(PlanMasine[[#This Row],[ZAVRŠETAK MAŠINSKE]],2)</f>
        <v>7</v>
      </c>
      <c r="V286" s="3">
        <f>IF(WEEKDAY(PlanMasine[[#This Row],[Datum SAS]]-1,2)=7,PlanMasine[[#This Row],[Datum SAS]]-3,PlanMasine[[#This Row],[Datum SAS]]-1)</f>
        <v>45814</v>
      </c>
      <c r="W286">
        <f>WEEKNUM(PlanMasine[[#This Row],[Column2]],1)</f>
        <v>23</v>
      </c>
    </row>
    <row r="287" spans="1:23" x14ac:dyDescent="0.35">
      <c r="A287">
        <v>1003950</v>
      </c>
      <c r="B287">
        <v>1</v>
      </c>
      <c r="C287">
        <v>1003990</v>
      </c>
      <c r="D287" t="s">
        <v>1755</v>
      </c>
      <c r="E287">
        <v>660</v>
      </c>
      <c r="F287">
        <v>12</v>
      </c>
      <c r="G287">
        <v>0</v>
      </c>
      <c r="H287">
        <v>0</v>
      </c>
      <c r="I287" t="s">
        <v>24</v>
      </c>
      <c r="J287" t="s">
        <v>597</v>
      </c>
      <c r="K287" t="s">
        <v>1922</v>
      </c>
      <c r="L287" s="3">
        <v>45834</v>
      </c>
      <c r="M287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3.8194444444444441E-2</v>
      </c>
      <c r="N287" s="3">
        <v>45817</v>
      </c>
      <c r="O287" s="5">
        <f>IFERROR((PlanMasine[[#This Row],[Norma]]/PlanMasine[[#This Row],[Q]])*(PlanMasine[[#This Row],[Q]]/SUMIF(C:C,PlanMasine[[#This Row],[RN]],B:B)*PlanMasine[[#This Row],[KPLQ]]),0)</f>
        <v>55</v>
      </c>
      <c r="P287">
        <v>227566</v>
      </c>
      <c r="Q287">
        <f>COUNTIF(PROMJENA!A:A,PlanMasine[[#This Row],[KPL]]&amp;"-"&amp;PlanMasine[[#This Row],[RN]])</f>
        <v>0</v>
      </c>
      <c r="R287">
        <f>IFERROR(INDEX(REDOSLIJED!A:A,MATCH(PlanMasine[[#This Row],[KPL]],REDOSLIJED!B:B,0)),MAX(REDOSLIJED!A:A)+1)</f>
        <v>45</v>
      </c>
      <c r="S287" s="9">
        <f>SUM($M$2:M287)</f>
        <v>11.840833333333343</v>
      </c>
      <c r="T287" s="3">
        <f>PlanMasine[[#This Row],[Datum SAS]]-1</f>
        <v>45816</v>
      </c>
      <c r="U287">
        <f>WEEKDAY(PlanMasine[[#This Row],[ZAVRŠETAK MAŠINSKE]],2)</f>
        <v>7</v>
      </c>
      <c r="V287" s="3">
        <f>IF(WEEKDAY(PlanMasine[[#This Row],[Datum SAS]]-1,2)=7,PlanMasine[[#This Row],[Datum SAS]]-3,PlanMasine[[#This Row],[Datum SAS]]-1)</f>
        <v>45814</v>
      </c>
      <c r="W287">
        <f>WEEKNUM(PlanMasine[[#This Row],[Column2]],1)</f>
        <v>23</v>
      </c>
    </row>
    <row r="288" spans="1:23" x14ac:dyDescent="0.35">
      <c r="A288">
        <v>1003950</v>
      </c>
      <c r="B288">
        <v>1</v>
      </c>
      <c r="C288">
        <v>1003974</v>
      </c>
      <c r="D288" t="s">
        <v>1754</v>
      </c>
      <c r="E288">
        <v>120</v>
      </c>
      <c r="F288">
        <v>12</v>
      </c>
      <c r="G288">
        <v>0</v>
      </c>
      <c r="H288">
        <v>0</v>
      </c>
      <c r="I288" t="s">
        <v>24</v>
      </c>
      <c r="J288" t="s">
        <v>597</v>
      </c>
      <c r="K288" t="s">
        <v>1922</v>
      </c>
      <c r="L288" s="3">
        <v>45834</v>
      </c>
      <c r="M288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6.9444444444444441E-3</v>
      </c>
      <c r="N288" s="3">
        <v>45817</v>
      </c>
      <c r="O288" s="5">
        <f>IFERROR((PlanMasine[[#This Row],[Norma]]/PlanMasine[[#This Row],[Q]])*(PlanMasine[[#This Row],[Q]]/SUMIF(C:C,PlanMasine[[#This Row],[RN]],B:B)*PlanMasine[[#This Row],[KPLQ]]),0)</f>
        <v>10</v>
      </c>
      <c r="P288">
        <v>227549</v>
      </c>
      <c r="Q288">
        <f>COUNTIF(PROMJENA!A:A,PlanMasine[[#This Row],[KPL]]&amp;"-"&amp;PlanMasine[[#This Row],[RN]])</f>
        <v>0</v>
      </c>
      <c r="R288">
        <f>IFERROR(INDEX(REDOSLIJED!A:A,MATCH(PlanMasine[[#This Row],[KPL]],REDOSLIJED!B:B,0)),MAX(REDOSLIJED!A:A)+1)</f>
        <v>45</v>
      </c>
      <c r="S288" s="9">
        <f>SUM($M$2:M288)</f>
        <v>11.847777777777788</v>
      </c>
      <c r="T288" s="3">
        <f>PlanMasine[[#This Row],[Datum SAS]]-1</f>
        <v>45816</v>
      </c>
      <c r="U288">
        <f>WEEKDAY(PlanMasine[[#This Row],[ZAVRŠETAK MAŠINSKE]],2)</f>
        <v>7</v>
      </c>
      <c r="V288" s="3">
        <f>IF(WEEKDAY(PlanMasine[[#This Row],[Datum SAS]]-1,2)=7,PlanMasine[[#This Row],[Datum SAS]]-3,PlanMasine[[#This Row],[Datum SAS]]-1)</f>
        <v>45814</v>
      </c>
      <c r="W288">
        <f>WEEKNUM(PlanMasine[[#This Row],[Column2]],1)</f>
        <v>23</v>
      </c>
    </row>
    <row r="289" spans="1:23" x14ac:dyDescent="0.35">
      <c r="A289">
        <v>1003951</v>
      </c>
      <c r="B289">
        <v>1</v>
      </c>
      <c r="C289">
        <v>1003990</v>
      </c>
      <c r="D289" t="s">
        <v>1755</v>
      </c>
      <c r="E289">
        <v>660</v>
      </c>
      <c r="F289">
        <v>12</v>
      </c>
      <c r="G289">
        <v>0</v>
      </c>
      <c r="H289">
        <v>0</v>
      </c>
      <c r="I289" t="s">
        <v>24</v>
      </c>
      <c r="J289" t="s">
        <v>597</v>
      </c>
      <c r="K289" t="s">
        <v>1922</v>
      </c>
      <c r="L289" s="3">
        <v>45834</v>
      </c>
      <c r="M289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3.8194444444444441E-2</v>
      </c>
      <c r="N289" s="3">
        <v>45817</v>
      </c>
      <c r="O289" s="5">
        <f>IFERROR((PlanMasine[[#This Row],[Norma]]/PlanMasine[[#This Row],[Q]])*(PlanMasine[[#This Row],[Q]]/SUMIF(C:C,PlanMasine[[#This Row],[RN]],B:B)*PlanMasine[[#This Row],[KPLQ]]),0)</f>
        <v>55</v>
      </c>
      <c r="P289">
        <v>227566</v>
      </c>
      <c r="Q289">
        <f>COUNTIF(PROMJENA!A:A,PlanMasine[[#This Row],[KPL]]&amp;"-"&amp;PlanMasine[[#This Row],[RN]])</f>
        <v>0</v>
      </c>
      <c r="R289">
        <f>IFERROR(INDEX(REDOSLIJED!A:A,MATCH(PlanMasine[[#This Row],[KPL]],REDOSLIJED!B:B,0)),MAX(REDOSLIJED!A:A)+1)</f>
        <v>45</v>
      </c>
      <c r="S289" s="9">
        <f>SUM($M$2:M289)</f>
        <v>11.885972222222232</v>
      </c>
      <c r="T289" s="3">
        <f>PlanMasine[[#This Row],[Datum SAS]]-1</f>
        <v>45816</v>
      </c>
      <c r="U289">
        <f>WEEKDAY(PlanMasine[[#This Row],[ZAVRŠETAK MAŠINSKE]],2)</f>
        <v>7</v>
      </c>
      <c r="V289" s="3">
        <f>IF(WEEKDAY(PlanMasine[[#This Row],[Datum SAS]]-1,2)=7,PlanMasine[[#This Row],[Datum SAS]]-3,PlanMasine[[#This Row],[Datum SAS]]-1)</f>
        <v>45814</v>
      </c>
      <c r="W289">
        <f>WEEKNUM(PlanMasine[[#This Row],[Column2]],1)</f>
        <v>23</v>
      </c>
    </row>
    <row r="290" spans="1:23" x14ac:dyDescent="0.35">
      <c r="A290">
        <v>1003951</v>
      </c>
      <c r="B290">
        <v>1</v>
      </c>
      <c r="C290">
        <v>1003974</v>
      </c>
      <c r="D290" t="s">
        <v>1754</v>
      </c>
      <c r="E290">
        <v>120</v>
      </c>
      <c r="F290">
        <v>12</v>
      </c>
      <c r="G290">
        <v>0</v>
      </c>
      <c r="H290">
        <v>0</v>
      </c>
      <c r="I290" t="s">
        <v>24</v>
      </c>
      <c r="J290" t="s">
        <v>597</v>
      </c>
      <c r="K290" t="s">
        <v>1922</v>
      </c>
      <c r="L290" s="3">
        <v>45834</v>
      </c>
      <c r="M290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6.9444444444444441E-3</v>
      </c>
      <c r="N290" s="3">
        <v>45817</v>
      </c>
      <c r="O290" s="5">
        <f>IFERROR((PlanMasine[[#This Row],[Norma]]/PlanMasine[[#This Row],[Q]])*(PlanMasine[[#This Row],[Q]]/SUMIF(C:C,PlanMasine[[#This Row],[RN]],B:B)*PlanMasine[[#This Row],[KPLQ]]),0)</f>
        <v>10</v>
      </c>
      <c r="P290">
        <v>227549</v>
      </c>
      <c r="Q290">
        <f>COUNTIF(PROMJENA!A:A,PlanMasine[[#This Row],[KPL]]&amp;"-"&amp;PlanMasine[[#This Row],[RN]])</f>
        <v>0</v>
      </c>
      <c r="R290">
        <f>IFERROR(INDEX(REDOSLIJED!A:A,MATCH(PlanMasine[[#This Row],[KPL]],REDOSLIJED!B:B,0)),MAX(REDOSLIJED!A:A)+1)</f>
        <v>45</v>
      </c>
      <c r="S290" s="9">
        <f>SUM($M$2:M290)</f>
        <v>11.892916666666677</v>
      </c>
      <c r="T290" s="3">
        <f>PlanMasine[[#This Row],[Datum SAS]]-1</f>
        <v>45816</v>
      </c>
      <c r="U290">
        <f>WEEKDAY(PlanMasine[[#This Row],[ZAVRŠETAK MAŠINSKE]],2)</f>
        <v>7</v>
      </c>
      <c r="V290" s="3">
        <f>IF(WEEKDAY(PlanMasine[[#This Row],[Datum SAS]]-1,2)=7,PlanMasine[[#This Row],[Datum SAS]]-3,PlanMasine[[#This Row],[Datum SAS]]-1)</f>
        <v>45814</v>
      </c>
      <c r="W290">
        <f>WEEKNUM(PlanMasine[[#This Row],[Column2]],1)</f>
        <v>23</v>
      </c>
    </row>
    <row r="291" spans="1:23" x14ac:dyDescent="0.35">
      <c r="A291">
        <v>1003952</v>
      </c>
      <c r="B291">
        <v>1</v>
      </c>
      <c r="C291">
        <v>1003974</v>
      </c>
      <c r="D291" t="s">
        <v>1754</v>
      </c>
      <c r="E291">
        <v>120</v>
      </c>
      <c r="F291">
        <v>12</v>
      </c>
      <c r="G291">
        <v>0</v>
      </c>
      <c r="H291">
        <v>0</v>
      </c>
      <c r="I291" t="s">
        <v>24</v>
      </c>
      <c r="J291" t="s">
        <v>597</v>
      </c>
      <c r="K291" t="s">
        <v>1922</v>
      </c>
      <c r="L291" s="3">
        <v>45834</v>
      </c>
      <c r="M291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6.9444444444444441E-3</v>
      </c>
      <c r="N291" s="3">
        <v>45817</v>
      </c>
      <c r="O291" s="5">
        <f>IFERROR((PlanMasine[[#This Row],[Norma]]/PlanMasine[[#This Row],[Q]])*(PlanMasine[[#This Row],[Q]]/SUMIF(C:C,PlanMasine[[#This Row],[RN]],B:B)*PlanMasine[[#This Row],[KPLQ]]),0)</f>
        <v>10</v>
      </c>
      <c r="P291">
        <v>227549</v>
      </c>
      <c r="Q291">
        <f>COUNTIF(PROMJENA!A:A,PlanMasine[[#This Row],[KPL]]&amp;"-"&amp;PlanMasine[[#This Row],[RN]])</f>
        <v>0</v>
      </c>
      <c r="R291">
        <f>IFERROR(INDEX(REDOSLIJED!A:A,MATCH(PlanMasine[[#This Row],[KPL]],REDOSLIJED!B:B,0)),MAX(REDOSLIJED!A:A)+1)</f>
        <v>45</v>
      </c>
      <c r="S291" s="9">
        <f>SUM($M$2:M291)</f>
        <v>11.899861111111122</v>
      </c>
      <c r="T291" s="3">
        <f>PlanMasine[[#This Row],[Datum SAS]]-1</f>
        <v>45816</v>
      </c>
      <c r="U291">
        <f>WEEKDAY(PlanMasine[[#This Row],[ZAVRŠETAK MAŠINSKE]],2)</f>
        <v>7</v>
      </c>
      <c r="V291" s="3">
        <f>IF(WEEKDAY(PlanMasine[[#This Row],[Datum SAS]]-1,2)=7,PlanMasine[[#This Row],[Datum SAS]]-3,PlanMasine[[#This Row],[Datum SAS]]-1)</f>
        <v>45814</v>
      </c>
      <c r="W291">
        <f>WEEKNUM(PlanMasine[[#This Row],[Column2]],1)</f>
        <v>23</v>
      </c>
    </row>
    <row r="292" spans="1:23" x14ac:dyDescent="0.35">
      <c r="A292">
        <v>1003952</v>
      </c>
      <c r="B292">
        <v>1</v>
      </c>
      <c r="C292">
        <v>1003990</v>
      </c>
      <c r="D292" t="s">
        <v>1755</v>
      </c>
      <c r="E292">
        <v>660</v>
      </c>
      <c r="F292">
        <v>12</v>
      </c>
      <c r="G292">
        <v>0</v>
      </c>
      <c r="H292">
        <v>0</v>
      </c>
      <c r="I292" t="s">
        <v>24</v>
      </c>
      <c r="J292" t="s">
        <v>597</v>
      </c>
      <c r="K292" t="s">
        <v>1922</v>
      </c>
      <c r="L292" s="3">
        <v>45834</v>
      </c>
      <c r="M292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3.8194444444444441E-2</v>
      </c>
      <c r="N292" s="3">
        <v>45817</v>
      </c>
      <c r="O292" s="5">
        <f>IFERROR((PlanMasine[[#This Row],[Norma]]/PlanMasine[[#This Row],[Q]])*(PlanMasine[[#This Row],[Q]]/SUMIF(C:C,PlanMasine[[#This Row],[RN]],B:B)*PlanMasine[[#This Row],[KPLQ]]),0)</f>
        <v>55</v>
      </c>
      <c r="P292">
        <v>227566</v>
      </c>
      <c r="Q292">
        <f>COUNTIF(PROMJENA!A:A,PlanMasine[[#This Row],[KPL]]&amp;"-"&amp;PlanMasine[[#This Row],[RN]])</f>
        <v>0</v>
      </c>
      <c r="R292">
        <f>IFERROR(INDEX(REDOSLIJED!A:A,MATCH(PlanMasine[[#This Row],[KPL]],REDOSLIJED!B:B,0)),MAX(REDOSLIJED!A:A)+1)</f>
        <v>45</v>
      </c>
      <c r="S292" s="9">
        <f>SUM($M$2:M292)</f>
        <v>11.938055555555566</v>
      </c>
      <c r="T292" s="3">
        <f>PlanMasine[[#This Row],[Datum SAS]]-1</f>
        <v>45816</v>
      </c>
      <c r="U292">
        <f>WEEKDAY(PlanMasine[[#This Row],[ZAVRŠETAK MAŠINSKE]],2)</f>
        <v>7</v>
      </c>
      <c r="V292" s="3">
        <f>IF(WEEKDAY(PlanMasine[[#This Row],[Datum SAS]]-1,2)=7,PlanMasine[[#This Row],[Datum SAS]]-3,PlanMasine[[#This Row],[Datum SAS]]-1)</f>
        <v>45814</v>
      </c>
      <c r="W292">
        <f>WEEKNUM(PlanMasine[[#This Row],[Column2]],1)</f>
        <v>23</v>
      </c>
    </row>
    <row r="293" spans="1:23" x14ac:dyDescent="0.35">
      <c r="A293">
        <v>1003953</v>
      </c>
      <c r="B293">
        <v>1</v>
      </c>
      <c r="C293">
        <v>1003974</v>
      </c>
      <c r="D293" t="s">
        <v>1754</v>
      </c>
      <c r="E293">
        <v>120</v>
      </c>
      <c r="F293">
        <v>12</v>
      </c>
      <c r="G293">
        <v>0</v>
      </c>
      <c r="H293">
        <v>0</v>
      </c>
      <c r="I293" t="s">
        <v>24</v>
      </c>
      <c r="J293" t="s">
        <v>597</v>
      </c>
      <c r="K293" t="s">
        <v>1922</v>
      </c>
      <c r="L293" s="3">
        <v>45834</v>
      </c>
      <c r="M293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6.9444444444444441E-3</v>
      </c>
      <c r="N293" s="3">
        <v>45817</v>
      </c>
      <c r="O293" s="5">
        <f>IFERROR((PlanMasine[[#This Row],[Norma]]/PlanMasine[[#This Row],[Q]])*(PlanMasine[[#This Row],[Q]]/SUMIF(C:C,PlanMasine[[#This Row],[RN]],B:B)*PlanMasine[[#This Row],[KPLQ]]),0)</f>
        <v>10</v>
      </c>
      <c r="P293">
        <v>227549</v>
      </c>
      <c r="Q293">
        <f>COUNTIF(PROMJENA!A:A,PlanMasine[[#This Row],[KPL]]&amp;"-"&amp;PlanMasine[[#This Row],[RN]])</f>
        <v>0</v>
      </c>
      <c r="R293">
        <f>IFERROR(INDEX(REDOSLIJED!A:A,MATCH(PlanMasine[[#This Row],[KPL]],REDOSLIJED!B:B,0)),MAX(REDOSLIJED!A:A)+1)</f>
        <v>45</v>
      </c>
      <c r="S293" s="9">
        <f>SUM($M$2:M293)</f>
        <v>11.945000000000011</v>
      </c>
      <c r="T293" s="3">
        <f>PlanMasine[[#This Row],[Datum SAS]]-1</f>
        <v>45816</v>
      </c>
      <c r="U293">
        <f>WEEKDAY(PlanMasine[[#This Row],[ZAVRŠETAK MAŠINSKE]],2)</f>
        <v>7</v>
      </c>
      <c r="V293" s="3">
        <f>IF(WEEKDAY(PlanMasine[[#This Row],[Datum SAS]]-1,2)=7,PlanMasine[[#This Row],[Datum SAS]]-3,PlanMasine[[#This Row],[Datum SAS]]-1)</f>
        <v>45814</v>
      </c>
      <c r="W293">
        <f>WEEKNUM(PlanMasine[[#This Row],[Column2]],1)</f>
        <v>23</v>
      </c>
    </row>
    <row r="294" spans="1:23" x14ac:dyDescent="0.35">
      <c r="A294">
        <v>1003953</v>
      </c>
      <c r="B294">
        <v>1</v>
      </c>
      <c r="C294">
        <v>1003990</v>
      </c>
      <c r="D294" t="s">
        <v>1755</v>
      </c>
      <c r="E294">
        <v>660</v>
      </c>
      <c r="F294">
        <v>12</v>
      </c>
      <c r="G294">
        <v>0</v>
      </c>
      <c r="H294">
        <v>0</v>
      </c>
      <c r="I294" t="s">
        <v>24</v>
      </c>
      <c r="J294" t="s">
        <v>597</v>
      </c>
      <c r="K294" t="s">
        <v>1922</v>
      </c>
      <c r="L294" s="3">
        <v>45834</v>
      </c>
      <c r="M294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3.8194444444444441E-2</v>
      </c>
      <c r="N294" s="3">
        <v>45817</v>
      </c>
      <c r="O294" s="5">
        <f>IFERROR((PlanMasine[[#This Row],[Norma]]/PlanMasine[[#This Row],[Q]])*(PlanMasine[[#This Row],[Q]]/SUMIF(C:C,PlanMasine[[#This Row],[RN]],B:B)*PlanMasine[[#This Row],[KPLQ]]),0)</f>
        <v>55</v>
      </c>
      <c r="P294">
        <v>227566</v>
      </c>
      <c r="Q294">
        <f>COUNTIF(PROMJENA!A:A,PlanMasine[[#This Row],[KPL]]&amp;"-"&amp;PlanMasine[[#This Row],[RN]])</f>
        <v>0</v>
      </c>
      <c r="R294">
        <f>IFERROR(INDEX(REDOSLIJED!A:A,MATCH(PlanMasine[[#This Row],[KPL]],REDOSLIJED!B:B,0)),MAX(REDOSLIJED!A:A)+1)</f>
        <v>45</v>
      </c>
      <c r="S294" s="9">
        <f>SUM($M$2:M294)</f>
        <v>11.983194444444456</v>
      </c>
      <c r="T294" s="3">
        <f>PlanMasine[[#This Row],[Datum SAS]]-1</f>
        <v>45816</v>
      </c>
      <c r="U294">
        <f>WEEKDAY(PlanMasine[[#This Row],[ZAVRŠETAK MAŠINSKE]],2)</f>
        <v>7</v>
      </c>
      <c r="V294" s="3">
        <f>IF(WEEKDAY(PlanMasine[[#This Row],[Datum SAS]]-1,2)=7,PlanMasine[[#This Row],[Datum SAS]]-3,PlanMasine[[#This Row],[Datum SAS]]-1)</f>
        <v>45814</v>
      </c>
      <c r="W294">
        <f>WEEKNUM(PlanMasine[[#This Row],[Column2]],1)</f>
        <v>23</v>
      </c>
    </row>
    <row r="295" spans="1:23" x14ac:dyDescent="0.35">
      <c r="A295">
        <v>1004624</v>
      </c>
      <c r="B295">
        <v>1</v>
      </c>
      <c r="C295">
        <v>1004647</v>
      </c>
      <c r="D295" t="s">
        <v>1753</v>
      </c>
      <c r="E295">
        <v>90</v>
      </c>
      <c r="F295">
        <v>6</v>
      </c>
      <c r="G295">
        <v>0</v>
      </c>
      <c r="H295">
        <v>0</v>
      </c>
      <c r="I295" t="s">
        <v>24</v>
      </c>
      <c r="J295" t="s">
        <v>597</v>
      </c>
      <c r="K295" t="s">
        <v>1923</v>
      </c>
      <c r="L295" s="3">
        <v>45825</v>
      </c>
      <c r="M295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1.0416666666666666E-2</v>
      </c>
      <c r="N295" s="3">
        <v>45817</v>
      </c>
      <c r="O295" s="5">
        <f>IFERROR((PlanMasine[[#This Row],[Norma]]/PlanMasine[[#This Row],[Q]])*(PlanMasine[[#This Row],[Q]]/SUMIF(C:C,PlanMasine[[#This Row],[RN]],B:B)*PlanMasine[[#This Row],[KPLQ]]),0)</f>
        <v>15</v>
      </c>
      <c r="P295">
        <v>227775</v>
      </c>
      <c r="Q295">
        <f>COUNTIF(PROMJENA!A:A,PlanMasine[[#This Row],[KPL]]&amp;"-"&amp;PlanMasine[[#This Row],[RN]])</f>
        <v>0</v>
      </c>
      <c r="R295">
        <f>IFERROR(INDEX(REDOSLIJED!A:A,MATCH(PlanMasine[[#This Row],[KPL]],REDOSLIJED!B:B,0)),MAX(REDOSLIJED!A:A)+1)</f>
        <v>45</v>
      </c>
      <c r="S295" s="9">
        <f>SUM($M$2:M295)</f>
        <v>11.993611111111122</v>
      </c>
      <c r="T295" s="3">
        <f>PlanMasine[[#This Row],[Datum SAS]]-1</f>
        <v>45816</v>
      </c>
      <c r="U295">
        <f>WEEKDAY(PlanMasine[[#This Row],[ZAVRŠETAK MAŠINSKE]],2)</f>
        <v>7</v>
      </c>
      <c r="V295" s="3">
        <f>IF(WEEKDAY(PlanMasine[[#This Row],[Datum SAS]]-1,2)=7,PlanMasine[[#This Row],[Datum SAS]]-3,PlanMasine[[#This Row],[Datum SAS]]-1)</f>
        <v>45814</v>
      </c>
      <c r="W295">
        <f>WEEKNUM(PlanMasine[[#This Row],[Column2]],1)</f>
        <v>23</v>
      </c>
    </row>
    <row r="296" spans="1:23" x14ac:dyDescent="0.35">
      <c r="A296">
        <v>1004624</v>
      </c>
      <c r="B296">
        <v>1</v>
      </c>
      <c r="C296">
        <v>1004651</v>
      </c>
      <c r="D296" t="s">
        <v>1752</v>
      </c>
      <c r="E296">
        <v>90</v>
      </c>
      <c r="F296">
        <v>6</v>
      </c>
      <c r="G296">
        <v>0</v>
      </c>
      <c r="H296">
        <v>0</v>
      </c>
      <c r="I296" t="s">
        <v>24</v>
      </c>
      <c r="J296" t="s">
        <v>597</v>
      </c>
      <c r="K296" t="s">
        <v>1923</v>
      </c>
      <c r="L296" s="3">
        <v>45825</v>
      </c>
      <c r="M296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1.0416666666666666E-2</v>
      </c>
      <c r="N296" s="3">
        <v>45817</v>
      </c>
      <c r="O296" s="5">
        <f>IFERROR((PlanMasine[[#This Row],[Norma]]/PlanMasine[[#This Row],[Q]])*(PlanMasine[[#This Row],[Q]]/SUMIF(C:C,PlanMasine[[#This Row],[RN]],B:B)*PlanMasine[[#This Row],[KPLQ]]),0)</f>
        <v>15</v>
      </c>
      <c r="P296">
        <v>227779</v>
      </c>
      <c r="Q296">
        <f>COUNTIF(PROMJENA!A:A,PlanMasine[[#This Row],[KPL]]&amp;"-"&amp;PlanMasine[[#This Row],[RN]])</f>
        <v>0</v>
      </c>
      <c r="R296">
        <f>IFERROR(INDEX(REDOSLIJED!A:A,MATCH(PlanMasine[[#This Row],[KPL]],REDOSLIJED!B:B,0)),MAX(REDOSLIJED!A:A)+1)</f>
        <v>45</v>
      </c>
      <c r="S296" s="9">
        <f>SUM($M$2:M296)</f>
        <v>12.004027777777788</v>
      </c>
      <c r="T296" s="3">
        <f>PlanMasine[[#This Row],[Datum SAS]]-1</f>
        <v>45816</v>
      </c>
      <c r="U296">
        <f>WEEKDAY(PlanMasine[[#This Row],[ZAVRŠETAK MAŠINSKE]],2)</f>
        <v>7</v>
      </c>
      <c r="V296" s="3">
        <f>IF(WEEKDAY(PlanMasine[[#This Row],[Datum SAS]]-1,2)=7,PlanMasine[[#This Row],[Datum SAS]]-3,PlanMasine[[#This Row],[Datum SAS]]-1)</f>
        <v>45814</v>
      </c>
      <c r="W296">
        <f>WEEKNUM(PlanMasine[[#This Row],[Column2]],1)</f>
        <v>23</v>
      </c>
    </row>
    <row r="297" spans="1:23" x14ac:dyDescent="0.35">
      <c r="A297">
        <v>1004624</v>
      </c>
      <c r="B297">
        <v>1</v>
      </c>
      <c r="C297">
        <v>1004664</v>
      </c>
      <c r="D297" t="s">
        <v>1751</v>
      </c>
      <c r="E297">
        <v>120</v>
      </c>
      <c r="F297">
        <v>6</v>
      </c>
      <c r="G297">
        <v>0</v>
      </c>
      <c r="H297">
        <v>0</v>
      </c>
      <c r="I297" t="s">
        <v>24</v>
      </c>
      <c r="J297" t="s">
        <v>597</v>
      </c>
      <c r="K297" t="s">
        <v>1923</v>
      </c>
      <c r="L297" s="3">
        <v>45825</v>
      </c>
      <c r="M297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1.3888888888888888E-2</v>
      </c>
      <c r="N297" s="3">
        <v>45817</v>
      </c>
      <c r="O297" s="5">
        <f>IFERROR((PlanMasine[[#This Row],[Norma]]/PlanMasine[[#This Row],[Q]])*(PlanMasine[[#This Row],[Q]]/SUMIF(C:C,PlanMasine[[#This Row],[RN]],B:B)*PlanMasine[[#This Row],[KPLQ]]),0)</f>
        <v>20</v>
      </c>
      <c r="P297">
        <v>227792</v>
      </c>
      <c r="Q297">
        <f>COUNTIF(PROMJENA!A:A,PlanMasine[[#This Row],[KPL]]&amp;"-"&amp;PlanMasine[[#This Row],[RN]])</f>
        <v>0</v>
      </c>
      <c r="R297">
        <f>IFERROR(INDEX(REDOSLIJED!A:A,MATCH(PlanMasine[[#This Row],[KPL]],REDOSLIJED!B:B,0)),MAX(REDOSLIJED!A:A)+1)</f>
        <v>45</v>
      </c>
      <c r="S297" s="9">
        <f>SUM($M$2:M297)</f>
        <v>12.017916666666677</v>
      </c>
      <c r="T297" s="3">
        <f>PlanMasine[[#This Row],[Datum SAS]]-1</f>
        <v>45816</v>
      </c>
      <c r="U297">
        <f>WEEKDAY(PlanMasine[[#This Row],[ZAVRŠETAK MAŠINSKE]],2)</f>
        <v>7</v>
      </c>
      <c r="V297" s="3">
        <f>IF(WEEKDAY(PlanMasine[[#This Row],[Datum SAS]]-1,2)=7,PlanMasine[[#This Row],[Datum SAS]]-3,PlanMasine[[#This Row],[Datum SAS]]-1)</f>
        <v>45814</v>
      </c>
      <c r="W297">
        <f>WEEKNUM(PlanMasine[[#This Row],[Column2]],1)</f>
        <v>23</v>
      </c>
    </row>
    <row r="298" spans="1:23" x14ac:dyDescent="0.35">
      <c r="A298">
        <v>1004625</v>
      </c>
      <c r="B298">
        <v>1</v>
      </c>
      <c r="C298">
        <v>1004647</v>
      </c>
      <c r="D298" t="s">
        <v>1753</v>
      </c>
      <c r="E298">
        <v>90</v>
      </c>
      <c r="F298">
        <v>6</v>
      </c>
      <c r="G298">
        <v>0</v>
      </c>
      <c r="H298">
        <v>0</v>
      </c>
      <c r="I298" t="s">
        <v>24</v>
      </c>
      <c r="J298" t="s">
        <v>597</v>
      </c>
      <c r="K298" t="s">
        <v>1923</v>
      </c>
      <c r="L298" s="3">
        <v>45825</v>
      </c>
      <c r="M298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1.0416666666666666E-2</v>
      </c>
      <c r="N298" s="3">
        <v>45817</v>
      </c>
      <c r="O298" s="5">
        <f>IFERROR((PlanMasine[[#This Row],[Norma]]/PlanMasine[[#This Row],[Q]])*(PlanMasine[[#This Row],[Q]]/SUMIF(C:C,PlanMasine[[#This Row],[RN]],B:B)*PlanMasine[[#This Row],[KPLQ]]),0)</f>
        <v>15</v>
      </c>
      <c r="P298">
        <v>227775</v>
      </c>
      <c r="Q298">
        <f>COUNTIF(PROMJENA!A:A,PlanMasine[[#This Row],[KPL]]&amp;"-"&amp;PlanMasine[[#This Row],[RN]])</f>
        <v>0</v>
      </c>
      <c r="R298">
        <f>IFERROR(INDEX(REDOSLIJED!A:A,MATCH(PlanMasine[[#This Row],[KPL]],REDOSLIJED!B:B,0)),MAX(REDOSLIJED!A:A)+1)</f>
        <v>45</v>
      </c>
      <c r="S298" s="9">
        <f>SUM($M$2:M298)</f>
        <v>12.028333333333343</v>
      </c>
      <c r="T298" s="3">
        <f>PlanMasine[[#This Row],[Datum SAS]]-1</f>
        <v>45816</v>
      </c>
      <c r="U298">
        <f>WEEKDAY(PlanMasine[[#This Row],[ZAVRŠETAK MAŠINSKE]],2)</f>
        <v>7</v>
      </c>
      <c r="V298" s="3">
        <f>IF(WEEKDAY(PlanMasine[[#This Row],[Datum SAS]]-1,2)=7,PlanMasine[[#This Row],[Datum SAS]]-3,PlanMasine[[#This Row],[Datum SAS]]-1)</f>
        <v>45814</v>
      </c>
      <c r="W298">
        <f>WEEKNUM(PlanMasine[[#This Row],[Column2]],1)</f>
        <v>23</v>
      </c>
    </row>
    <row r="299" spans="1:23" x14ac:dyDescent="0.35">
      <c r="A299">
        <v>1004625</v>
      </c>
      <c r="B299">
        <v>1</v>
      </c>
      <c r="C299">
        <v>1004664</v>
      </c>
      <c r="D299" t="s">
        <v>1751</v>
      </c>
      <c r="E299">
        <v>120</v>
      </c>
      <c r="F299">
        <v>6</v>
      </c>
      <c r="G299">
        <v>0</v>
      </c>
      <c r="H299">
        <v>0</v>
      </c>
      <c r="I299" t="s">
        <v>24</v>
      </c>
      <c r="J299" t="s">
        <v>597</v>
      </c>
      <c r="K299" t="s">
        <v>1923</v>
      </c>
      <c r="L299" s="3">
        <v>45825</v>
      </c>
      <c r="M299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1.3888888888888888E-2</v>
      </c>
      <c r="N299" s="3">
        <v>45817</v>
      </c>
      <c r="O299" s="5">
        <f>IFERROR((PlanMasine[[#This Row],[Norma]]/PlanMasine[[#This Row],[Q]])*(PlanMasine[[#This Row],[Q]]/SUMIF(C:C,PlanMasine[[#This Row],[RN]],B:B)*PlanMasine[[#This Row],[KPLQ]]),0)</f>
        <v>20</v>
      </c>
      <c r="P299">
        <v>227792</v>
      </c>
      <c r="Q299">
        <f>COUNTIF(PROMJENA!A:A,PlanMasine[[#This Row],[KPL]]&amp;"-"&amp;PlanMasine[[#This Row],[RN]])</f>
        <v>0</v>
      </c>
      <c r="R299">
        <f>IFERROR(INDEX(REDOSLIJED!A:A,MATCH(PlanMasine[[#This Row],[KPL]],REDOSLIJED!B:B,0)),MAX(REDOSLIJED!A:A)+1)</f>
        <v>45</v>
      </c>
      <c r="S299" s="9">
        <f>SUM($M$2:M299)</f>
        <v>12.042222222222232</v>
      </c>
      <c r="T299" s="3">
        <f>PlanMasine[[#This Row],[Datum SAS]]-1</f>
        <v>45816</v>
      </c>
      <c r="U299">
        <f>WEEKDAY(PlanMasine[[#This Row],[ZAVRŠETAK MAŠINSKE]],2)</f>
        <v>7</v>
      </c>
      <c r="V299" s="3">
        <f>IF(WEEKDAY(PlanMasine[[#This Row],[Datum SAS]]-1,2)=7,PlanMasine[[#This Row],[Datum SAS]]-3,PlanMasine[[#This Row],[Datum SAS]]-1)</f>
        <v>45814</v>
      </c>
      <c r="W299">
        <f>WEEKNUM(PlanMasine[[#This Row],[Column2]],1)</f>
        <v>23</v>
      </c>
    </row>
    <row r="300" spans="1:23" x14ac:dyDescent="0.35">
      <c r="A300">
        <v>1004625</v>
      </c>
      <c r="B300">
        <v>1</v>
      </c>
      <c r="C300">
        <v>1004651</v>
      </c>
      <c r="D300" t="s">
        <v>1752</v>
      </c>
      <c r="E300">
        <v>90</v>
      </c>
      <c r="F300">
        <v>6</v>
      </c>
      <c r="G300">
        <v>0</v>
      </c>
      <c r="H300">
        <v>0</v>
      </c>
      <c r="I300" t="s">
        <v>24</v>
      </c>
      <c r="J300" t="s">
        <v>597</v>
      </c>
      <c r="K300" t="s">
        <v>1923</v>
      </c>
      <c r="L300" s="3">
        <v>45825</v>
      </c>
      <c r="M300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1.0416666666666666E-2</v>
      </c>
      <c r="N300" s="3">
        <v>45817</v>
      </c>
      <c r="O300" s="5">
        <f>IFERROR((PlanMasine[[#This Row],[Norma]]/PlanMasine[[#This Row],[Q]])*(PlanMasine[[#This Row],[Q]]/SUMIF(C:C,PlanMasine[[#This Row],[RN]],B:B)*PlanMasine[[#This Row],[KPLQ]]),0)</f>
        <v>15</v>
      </c>
      <c r="P300">
        <v>227779</v>
      </c>
      <c r="Q300">
        <f>COUNTIF(PROMJENA!A:A,PlanMasine[[#This Row],[KPL]]&amp;"-"&amp;PlanMasine[[#This Row],[RN]])</f>
        <v>0</v>
      </c>
      <c r="R300">
        <f>IFERROR(INDEX(REDOSLIJED!A:A,MATCH(PlanMasine[[#This Row],[KPL]],REDOSLIJED!B:B,0)),MAX(REDOSLIJED!A:A)+1)</f>
        <v>45</v>
      </c>
      <c r="S300" s="9">
        <f>SUM($M$2:M300)</f>
        <v>12.052638888888898</v>
      </c>
      <c r="T300" s="3">
        <f>PlanMasine[[#This Row],[Datum SAS]]-1</f>
        <v>45816</v>
      </c>
      <c r="U300">
        <f>WEEKDAY(PlanMasine[[#This Row],[ZAVRŠETAK MAŠINSKE]],2)</f>
        <v>7</v>
      </c>
      <c r="V300" s="3">
        <f>IF(WEEKDAY(PlanMasine[[#This Row],[Datum SAS]]-1,2)=7,PlanMasine[[#This Row],[Datum SAS]]-3,PlanMasine[[#This Row],[Datum SAS]]-1)</f>
        <v>45814</v>
      </c>
      <c r="W300">
        <f>WEEKNUM(PlanMasine[[#This Row],[Column2]],1)</f>
        <v>23</v>
      </c>
    </row>
    <row r="301" spans="1:23" x14ac:dyDescent="0.35">
      <c r="A301">
        <v>1004626</v>
      </c>
      <c r="B301">
        <v>1</v>
      </c>
      <c r="C301">
        <v>1004664</v>
      </c>
      <c r="D301" t="s">
        <v>1751</v>
      </c>
      <c r="E301">
        <v>120</v>
      </c>
      <c r="F301">
        <v>6</v>
      </c>
      <c r="G301">
        <v>0</v>
      </c>
      <c r="H301">
        <v>0</v>
      </c>
      <c r="I301" t="s">
        <v>24</v>
      </c>
      <c r="J301" t="s">
        <v>597</v>
      </c>
      <c r="K301" t="s">
        <v>1923</v>
      </c>
      <c r="L301" s="3">
        <v>45825</v>
      </c>
      <c r="M301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1.3888888888888888E-2</v>
      </c>
      <c r="N301" s="3">
        <v>45817</v>
      </c>
      <c r="O301" s="5">
        <f>IFERROR((PlanMasine[[#This Row],[Norma]]/PlanMasine[[#This Row],[Q]])*(PlanMasine[[#This Row],[Q]]/SUMIF(C:C,PlanMasine[[#This Row],[RN]],B:B)*PlanMasine[[#This Row],[KPLQ]]),0)</f>
        <v>20</v>
      </c>
      <c r="P301">
        <v>227792</v>
      </c>
      <c r="Q301">
        <f>COUNTIF(PROMJENA!A:A,PlanMasine[[#This Row],[KPL]]&amp;"-"&amp;PlanMasine[[#This Row],[RN]])</f>
        <v>0</v>
      </c>
      <c r="R301">
        <f>IFERROR(INDEX(REDOSLIJED!A:A,MATCH(PlanMasine[[#This Row],[KPL]],REDOSLIJED!B:B,0)),MAX(REDOSLIJED!A:A)+1)</f>
        <v>45</v>
      </c>
      <c r="S301" s="9">
        <f>SUM($M$2:M301)</f>
        <v>12.066527777777788</v>
      </c>
      <c r="T301" s="3">
        <f>PlanMasine[[#This Row],[Datum SAS]]-1</f>
        <v>45816</v>
      </c>
      <c r="U301">
        <f>WEEKDAY(PlanMasine[[#This Row],[ZAVRŠETAK MAŠINSKE]],2)</f>
        <v>7</v>
      </c>
      <c r="V301" s="3">
        <f>IF(WEEKDAY(PlanMasine[[#This Row],[Datum SAS]]-1,2)=7,PlanMasine[[#This Row],[Datum SAS]]-3,PlanMasine[[#This Row],[Datum SAS]]-1)</f>
        <v>45814</v>
      </c>
      <c r="W301">
        <f>WEEKNUM(PlanMasine[[#This Row],[Column2]],1)</f>
        <v>23</v>
      </c>
    </row>
    <row r="302" spans="1:23" x14ac:dyDescent="0.35">
      <c r="A302">
        <v>1004626</v>
      </c>
      <c r="B302">
        <v>1</v>
      </c>
      <c r="C302">
        <v>1004651</v>
      </c>
      <c r="D302" t="s">
        <v>1752</v>
      </c>
      <c r="E302">
        <v>90</v>
      </c>
      <c r="F302">
        <v>6</v>
      </c>
      <c r="G302">
        <v>0</v>
      </c>
      <c r="H302">
        <v>0</v>
      </c>
      <c r="I302" t="s">
        <v>24</v>
      </c>
      <c r="J302" t="s">
        <v>597</v>
      </c>
      <c r="K302" t="s">
        <v>1923</v>
      </c>
      <c r="L302" s="3">
        <v>45825</v>
      </c>
      <c r="M302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1.0416666666666666E-2</v>
      </c>
      <c r="N302" s="3">
        <v>45817</v>
      </c>
      <c r="O302" s="5">
        <f>IFERROR((PlanMasine[[#This Row],[Norma]]/PlanMasine[[#This Row],[Q]])*(PlanMasine[[#This Row],[Q]]/SUMIF(C:C,PlanMasine[[#This Row],[RN]],B:B)*PlanMasine[[#This Row],[KPLQ]]),0)</f>
        <v>15</v>
      </c>
      <c r="P302">
        <v>227779</v>
      </c>
      <c r="Q302">
        <f>COUNTIF(PROMJENA!A:A,PlanMasine[[#This Row],[KPL]]&amp;"-"&amp;PlanMasine[[#This Row],[RN]])</f>
        <v>0</v>
      </c>
      <c r="R302">
        <f>IFERROR(INDEX(REDOSLIJED!A:A,MATCH(PlanMasine[[#This Row],[KPL]],REDOSLIJED!B:B,0)),MAX(REDOSLIJED!A:A)+1)</f>
        <v>45</v>
      </c>
      <c r="S302" s="9">
        <f>SUM($M$2:M302)</f>
        <v>12.076944444444454</v>
      </c>
      <c r="T302" s="3">
        <f>PlanMasine[[#This Row],[Datum SAS]]-1</f>
        <v>45816</v>
      </c>
      <c r="U302">
        <f>WEEKDAY(PlanMasine[[#This Row],[ZAVRŠETAK MAŠINSKE]],2)</f>
        <v>7</v>
      </c>
      <c r="V302" s="3">
        <f>IF(WEEKDAY(PlanMasine[[#This Row],[Datum SAS]]-1,2)=7,PlanMasine[[#This Row],[Datum SAS]]-3,PlanMasine[[#This Row],[Datum SAS]]-1)</f>
        <v>45814</v>
      </c>
      <c r="W302">
        <f>WEEKNUM(PlanMasine[[#This Row],[Column2]],1)</f>
        <v>23</v>
      </c>
    </row>
    <row r="303" spans="1:23" x14ac:dyDescent="0.35">
      <c r="A303">
        <v>1004626</v>
      </c>
      <c r="B303">
        <v>1</v>
      </c>
      <c r="C303">
        <v>1004647</v>
      </c>
      <c r="D303" t="s">
        <v>1753</v>
      </c>
      <c r="E303">
        <v>90</v>
      </c>
      <c r="F303">
        <v>6</v>
      </c>
      <c r="G303">
        <v>0</v>
      </c>
      <c r="H303">
        <v>0</v>
      </c>
      <c r="I303" t="s">
        <v>24</v>
      </c>
      <c r="J303" t="s">
        <v>597</v>
      </c>
      <c r="K303" t="s">
        <v>1923</v>
      </c>
      <c r="L303" s="3">
        <v>45825</v>
      </c>
      <c r="M303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1.0416666666666666E-2</v>
      </c>
      <c r="N303" s="3">
        <v>45817</v>
      </c>
      <c r="O303" s="5">
        <f>IFERROR((PlanMasine[[#This Row],[Norma]]/PlanMasine[[#This Row],[Q]])*(PlanMasine[[#This Row],[Q]]/SUMIF(C:C,PlanMasine[[#This Row],[RN]],B:B)*PlanMasine[[#This Row],[KPLQ]]),0)</f>
        <v>15</v>
      </c>
      <c r="P303">
        <v>227775</v>
      </c>
      <c r="Q303">
        <f>COUNTIF(PROMJENA!A:A,PlanMasine[[#This Row],[KPL]]&amp;"-"&amp;PlanMasine[[#This Row],[RN]])</f>
        <v>0</v>
      </c>
      <c r="R303">
        <f>IFERROR(INDEX(REDOSLIJED!A:A,MATCH(PlanMasine[[#This Row],[KPL]],REDOSLIJED!B:B,0)),MAX(REDOSLIJED!A:A)+1)</f>
        <v>45</v>
      </c>
      <c r="S303" s="9">
        <f>SUM($M$2:M303)</f>
        <v>12.08736111111112</v>
      </c>
      <c r="T303" s="3">
        <f>PlanMasine[[#This Row],[Datum SAS]]-1</f>
        <v>45816</v>
      </c>
      <c r="U303">
        <f>WEEKDAY(PlanMasine[[#This Row],[ZAVRŠETAK MAŠINSKE]],2)</f>
        <v>7</v>
      </c>
      <c r="V303" s="3">
        <f>IF(WEEKDAY(PlanMasine[[#This Row],[Datum SAS]]-1,2)=7,PlanMasine[[#This Row],[Datum SAS]]-3,PlanMasine[[#This Row],[Datum SAS]]-1)</f>
        <v>45814</v>
      </c>
      <c r="W303">
        <f>WEEKNUM(PlanMasine[[#This Row],[Column2]],1)</f>
        <v>23</v>
      </c>
    </row>
    <row r="304" spans="1:23" x14ac:dyDescent="0.35">
      <c r="A304">
        <v>1004627</v>
      </c>
      <c r="B304">
        <v>1</v>
      </c>
      <c r="C304">
        <v>1004651</v>
      </c>
      <c r="D304" t="s">
        <v>1752</v>
      </c>
      <c r="E304">
        <v>90</v>
      </c>
      <c r="F304">
        <v>6</v>
      </c>
      <c r="G304">
        <v>0</v>
      </c>
      <c r="H304">
        <v>0</v>
      </c>
      <c r="I304" t="s">
        <v>24</v>
      </c>
      <c r="J304" t="s">
        <v>597</v>
      </c>
      <c r="K304" t="s">
        <v>1923</v>
      </c>
      <c r="L304" s="3">
        <v>45825</v>
      </c>
      <c r="M304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1.0416666666666666E-2</v>
      </c>
      <c r="N304" s="3">
        <v>45817</v>
      </c>
      <c r="O304" s="5">
        <f>IFERROR((PlanMasine[[#This Row],[Norma]]/PlanMasine[[#This Row],[Q]])*(PlanMasine[[#This Row],[Q]]/SUMIF(C:C,PlanMasine[[#This Row],[RN]],B:B)*PlanMasine[[#This Row],[KPLQ]]),0)</f>
        <v>15</v>
      </c>
      <c r="P304">
        <v>227779</v>
      </c>
      <c r="Q304">
        <f>COUNTIF(PROMJENA!A:A,PlanMasine[[#This Row],[KPL]]&amp;"-"&amp;PlanMasine[[#This Row],[RN]])</f>
        <v>0</v>
      </c>
      <c r="R304">
        <f>IFERROR(INDEX(REDOSLIJED!A:A,MATCH(PlanMasine[[#This Row],[KPL]],REDOSLIJED!B:B,0)),MAX(REDOSLIJED!A:A)+1)</f>
        <v>45</v>
      </c>
      <c r="S304" s="9">
        <f>SUM($M$2:M304)</f>
        <v>12.097777777777786</v>
      </c>
      <c r="T304" s="3">
        <f>PlanMasine[[#This Row],[Datum SAS]]-1</f>
        <v>45816</v>
      </c>
      <c r="U304">
        <f>WEEKDAY(PlanMasine[[#This Row],[ZAVRŠETAK MAŠINSKE]],2)</f>
        <v>7</v>
      </c>
      <c r="V304" s="3">
        <f>IF(WEEKDAY(PlanMasine[[#This Row],[Datum SAS]]-1,2)=7,PlanMasine[[#This Row],[Datum SAS]]-3,PlanMasine[[#This Row],[Datum SAS]]-1)</f>
        <v>45814</v>
      </c>
      <c r="W304">
        <f>WEEKNUM(PlanMasine[[#This Row],[Column2]],1)</f>
        <v>23</v>
      </c>
    </row>
    <row r="305" spans="1:23" x14ac:dyDescent="0.35">
      <c r="A305">
        <v>1004627</v>
      </c>
      <c r="B305">
        <v>1</v>
      </c>
      <c r="C305">
        <v>1004647</v>
      </c>
      <c r="D305" t="s">
        <v>1753</v>
      </c>
      <c r="E305">
        <v>90</v>
      </c>
      <c r="F305">
        <v>6</v>
      </c>
      <c r="G305">
        <v>0</v>
      </c>
      <c r="H305">
        <v>0</v>
      </c>
      <c r="I305" t="s">
        <v>24</v>
      </c>
      <c r="J305" t="s">
        <v>597</v>
      </c>
      <c r="K305" t="s">
        <v>1923</v>
      </c>
      <c r="L305" s="3">
        <v>45825</v>
      </c>
      <c r="M305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1.0416666666666666E-2</v>
      </c>
      <c r="N305" s="3">
        <v>45817</v>
      </c>
      <c r="O305" s="5">
        <f>IFERROR((PlanMasine[[#This Row],[Norma]]/PlanMasine[[#This Row],[Q]])*(PlanMasine[[#This Row],[Q]]/SUMIF(C:C,PlanMasine[[#This Row],[RN]],B:B)*PlanMasine[[#This Row],[KPLQ]]),0)</f>
        <v>15</v>
      </c>
      <c r="P305">
        <v>227775</v>
      </c>
      <c r="Q305">
        <f>COUNTIF(PROMJENA!A:A,PlanMasine[[#This Row],[KPL]]&amp;"-"&amp;PlanMasine[[#This Row],[RN]])</f>
        <v>0</v>
      </c>
      <c r="R305">
        <f>IFERROR(INDEX(REDOSLIJED!A:A,MATCH(PlanMasine[[#This Row],[KPL]],REDOSLIJED!B:B,0)),MAX(REDOSLIJED!A:A)+1)</f>
        <v>45</v>
      </c>
      <c r="S305" s="9">
        <f>SUM($M$2:M305)</f>
        <v>12.108194444444452</v>
      </c>
      <c r="T305" s="3">
        <f>PlanMasine[[#This Row],[Datum SAS]]-1</f>
        <v>45816</v>
      </c>
      <c r="U305">
        <f>WEEKDAY(PlanMasine[[#This Row],[ZAVRŠETAK MAŠINSKE]],2)</f>
        <v>7</v>
      </c>
      <c r="V305" s="3">
        <f>IF(WEEKDAY(PlanMasine[[#This Row],[Datum SAS]]-1,2)=7,PlanMasine[[#This Row],[Datum SAS]]-3,PlanMasine[[#This Row],[Datum SAS]]-1)</f>
        <v>45814</v>
      </c>
      <c r="W305">
        <f>WEEKNUM(PlanMasine[[#This Row],[Column2]],1)</f>
        <v>23</v>
      </c>
    </row>
    <row r="306" spans="1:23" x14ac:dyDescent="0.35">
      <c r="A306">
        <v>1004627</v>
      </c>
      <c r="B306">
        <v>1</v>
      </c>
      <c r="C306">
        <v>1004664</v>
      </c>
      <c r="D306" t="s">
        <v>1751</v>
      </c>
      <c r="E306">
        <v>120</v>
      </c>
      <c r="F306">
        <v>6</v>
      </c>
      <c r="G306">
        <v>0</v>
      </c>
      <c r="H306">
        <v>0</v>
      </c>
      <c r="I306" t="s">
        <v>24</v>
      </c>
      <c r="J306" t="s">
        <v>597</v>
      </c>
      <c r="K306" t="s">
        <v>1923</v>
      </c>
      <c r="L306" s="3">
        <v>45825</v>
      </c>
      <c r="M306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1.3888888888888888E-2</v>
      </c>
      <c r="N306" s="3">
        <v>45817</v>
      </c>
      <c r="O306" s="5">
        <f>IFERROR((PlanMasine[[#This Row],[Norma]]/PlanMasine[[#This Row],[Q]])*(PlanMasine[[#This Row],[Q]]/SUMIF(C:C,PlanMasine[[#This Row],[RN]],B:B)*PlanMasine[[#This Row],[KPLQ]]),0)</f>
        <v>20</v>
      </c>
      <c r="P306">
        <v>227792</v>
      </c>
      <c r="Q306">
        <f>COUNTIF(PROMJENA!A:A,PlanMasine[[#This Row],[KPL]]&amp;"-"&amp;PlanMasine[[#This Row],[RN]])</f>
        <v>0</v>
      </c>
      <c r="R306">
        <f>IFERROR(INDEX(REDOSLIJED!A:A,MATCH(PlanMasine[[#This Row],[KPL]],REDOSLIJED!B:B,0)),MAX(REDOSLIJED!A:A)+1)</f>
        <v>45</v>
      </c>
      <c r="S306" s="9">
        <f>SUM($M$2:M306)</f>
        <v>12.122083333333341</v>
      </c>
      <c r="T306" s="3">
        <f>PlanMasine[[#This Row],[Datum SAS]]-1</f>
        <v>45816</v>
      </c>
      <c r="U306">
        <f>WEEKDAY(PlanMasine[[#This Row],[ZAVRŠETAK MAŠINSKE]],2)</f>
        <v>7</v>
      </c>
      <c r="V306" s="3">
        <f>IF(WEEKDAY(PlanMasine[[#This Row],[Datum SAS]]-1,2)=7,PlanMasine[[#This Row],[Datum SAS]]-3,PlanMasine[[#This Row],[Datum SAS]]-1)</f>
        <v>45814</v>
      </c>
      <c r="W306">
        <f>WEEKNUM(PlanMasine[[#This Row],[Column2]],1)</f>
        <v>23</v>
      </c>
    </row>
    <row r="307" spans="1:23" x14ac:dyDescent="0.35">
      <c r="A307">
        <v>1004628</v>
      </c>
      <c r="B307">
        <v>1</v>
      </c>
      <c r="C307">
        <v>1004647</v>
      </c>
      <c r="D307" t="s">
        <v>1753</v>
      </c>
      <c r="E307">
        <v>90</v>
      </c>
      <c r="F307">
        <v>6</v>
      </c>
      <c r="G307">
        <v>0</v>
      </c>
      <c r="H307">
        <v>0</v>
      </c>
      <c r="I307" t="s">
        <v>24</v>
      </c>
      <c r="J307" t="s">
        <v>597</v>
      </c>
      <c r="K307" t="s">
        <v>1923</v>
      </c>
      <c r="L307" s="3">
        <v>45825</v>
      </c>
      <c r="M307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1.0416666666666666E-2</v>
      </c>
      <c r="N307" s="3">
        <v>45817</v>
      </c>
      <c r="O307" s="5">
        <f>IFERROR((PlanMasine[[#This Row],[Norma]]/PlanMasine[[#This Row],[Q]])*(PlanMasine[[#This Row],[Q]]/SUMIF(C:C,PlanMasine[[#This Row],[RN]],B:B)*PlanMasine[[#This Row],[KPLQ]]),0)</f>
        <v>15</v>
      </c>
      <c r="P307">
        <v>227775</v>
      </c>
      <c r="Q307">
        <f>COUNTIF(PROMJENA!A:A,PlanMasine[[#This Row],[KPL]]&amp;"-"&amp;PlanMasine[[#This Row],[RN]])</f>
        <v>0</v>
      </c>
      <c r="R307">
        <f>IFERROR(INDEX(REDOSLIJED!A:A,MATCH(PlanMasine[[#This Row],[KPL]],REDOSLIJED!B:B,0)),MAX(REDOSLIJED!A:A)+1)</f>
        <v>45</v>
      </c>
      <c r="S307" s="9">
        <f>SUM($M$2:M307)</f>
        <v>12.132500000000007</v>
      </c>
      <c r="T307" s="3">
        <f>PlanMasine[[#This Row],[Datum SAS]]-1</f>
        <v>45816</v>
      </c>
      <c r="U307">
        <f>WEEKDAY(PlanMasine[[#This Row],[ZAVRŠETAK MAŠINSKE]],2)</f>
        <v>7</v>
      </c>
      <c r="V307" s="3">
        <f>IF(WEEKDAY(PlanMasine[[#This Row],[Datum SAS]]-1,2)=7,PlanMasine[[#This Row],[Datum SAS]]-3,PlanMasine[[#This Row],[Datum SAS]]-1)</f>
        <v>45814</v>
      </c>
      <c r="W307">
        <f>WEEKNUM(PlanMasine[[#This Row],[Column2]],1)</f>
        <v>23</v>
      </c>
    </row>
    <row r="308" spans="1:23" x14ac:dyDescent="0.35">
      <c r="A308">
        <v>1004628</v>
      </c>
      <c r="B308">
        <v>1</v>
      </c>
      <c r="C308">
        <v>1004651</v>
      </c>
      <c r="D308" t="s">
        <v>1752</v>
      </c>
      <c r="E308">
        <v>90</v>
      </c>
      <c r="F308">
        <v>6</v>
      </c>
      <c r="G308">
        <v>0</v>
      </c>
      <c r="H308">
        <v>0</v>
      </c>
      <c r="I308" t="s">
        <v>24</v>
      </c>
      <c r="J308" t="s">
        <v>597</v>
      </c>
      <c r="K308" t="s">
        <v>1923</v>
      </c>
      <c r="L308" s="3">
        <v>45825</v>
      </c>
      <c r="M308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1.0416666666666666E-2</v>
      </c>
      <c r="N308" s="3">
        <v>45817</v>
      </c>
      <c r="O308" s="5">
        <f>IFERROR((PlanMasine[[#This Row],[Norma]]/PlanMasine[[#This Row],[Q]])*(PlanMasine[[#This Row],[Q]]/SUMIF(C:C,PlanMasine[[#This Row],[RN]],B:B)*PlanMasine[[#This Row],[KPLQ]]),0)</f>
        <v>15</v>
      </c>
      <c r="P308">
        <v>227779</v>
      </c>
      <c r="Q308">
        <f>COUNTIF(PROMJENA!A:A,PlanMasine[[#This Row],[KPL]]&amp;"-"&amp;PlanMasine[[#This Row],[RN]])</f>
        <v>0</v>
      </c>
      <c r="R308">
        <f>IFERROR(INDEX(REDOSLIJED!A:A,MATCH(PlanMasine[[#This Row],[KPL]],REDOSLIJED!B:B,0)),MAX(REDOSLIJED!A:A)+1)</f>
        <v>45</v>
      </c>
      <c r="S308" s="9">
        <f>SUM($M$2:M308)</f>
        <v>12.142916666666673</v>
      </c>
      <c r="T308" s="3">
        <f>PlanMasine[[#This Row],[Datum SAS]]-1</f>
        <v>45816</v>
      </c>
      <c r="U308">
        <f>WEEKDAY(PlanMasine[[#This Row],[ZAVRŠETAK MAŠINSKE]],2)</f>
        <v>7</v>
      </c>
      <c r="V308" s="3">
        <f>IF(WEEKDAY(PlanMasine[[#This Row],[Datum SAS]]-1,2)=7,PlanMasine[[#This Row],[Datum SAS]]-3,PlanMasine[[#This Row],[Datum SAS]]-1)</f>
        <v>45814</v>
      </c>
      <c r="W308">
        <f>WEEKNUM(PlanMasine[[#This Row],[Column2]],1)</f>
        <v>23</v>
      </c>
    </row>
    <row r="309" spans="1:23" x14ac:dyDescent="0.35">
      <c r="A309">
        <v>1004628</v>
      </c>
      <c r="B309">
        <v>1</v>
      </c>
      <c r="C309">
        <v>1004664</v>
      </c>
      <c r="D309" t="s">
        <v>1751</v>
      </c>
      <c r="E309">
        <v>120</v>
      </c>
      <c r="F309">
        <v>6</v>
      </c>
      <c r="G309">
        <v>0</v>
      </c>
      <c r="H309">
        <v>0</v>
      </c>
      <c r="I309" t="s">
        <v>24</v>
      </c>
      <c r="J309" t="s">
        <v>597</v>
      </c>
      <c r="K309" t="s">
        <v>1923</v>
      </c>
      <c r="L309" s="3">
        <v>45825</v>
      </c>
      <c r="M309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1.3888888888888888E-2</v>
      </c>
      <c r="N309" s="3">
        <v>45817</v>
      </c>
      <c r="O309" s="5">
        <f>IFERROR((PlanMasine[[#This Row],[Norma]]/PlanMasine[[#This Row],[Q]])*(PlanMasine[[#This Row],[Q]]/SUMIF(C:C,PlanMasine[[#This Row],[RN]],B:B)*PlanMasine[[#This Row],[KPLQ]]),0)</f>
        <v>20</v>
      </c>
      <c r="P309">
        <v>227792</v>
      </c>
      <c r="Q309">
        <f>COUNTIF(PROMJENA!A:A,PlanMasine[[#This Row],[KPL]]&amp;"-"&amp;PlanMasine[[#This Row],[RN]])</f>
        <v>0</v>
      </c>
      <c r="R309">
        <f>IFERROR(INDEX(REDOSLIJED!A:A,MATCH(PlanMasine[[#This Row],[KPL]],REDOSLIJED!B:B,0)),MAX(REDOSLIJED!A:A)+1)</f>
        <v>45</v>
      </c>
      <c r="S309" s="9">
        <f>SUM($M$2:M309)</f>
        <v>12.156805555555563</v>
      </c>
      <c r="T309" s="3">
        <f>PlanMasine[[#This Row],[Datum SAS]]-1</f>
        <v>45816</v>
      </c>
      <c r="U309">
        <f>WEEKDAY(PlanMasine[[#This Row],[ZAVRŠETAK MAŠINSKE]],2)</f>
        <v>7</v>
      </c>
      <c r="V309" s="3">
        <f>IF(WEEKDAY(PlanMasine[[#This Row],[Datum SAS]]-1,2)=7,PlanMasine[[#This Row],[Datum SAS]]-3,PlanMasine[[#This Row],[Datum SAS]]-1)</f>
        <v>45814</v>
      </c>
      <c r="W309">
        <f>WEEKNUM(PlanMasine[[#This Row],[Column2]],1)</f>
        <v>23</v>
      </c>
    </row>
    <row r="310" spans="1:23" x14ac:dyDescent="0.35">
      <c r="A310">
        <v>1004629</v>
      </c>
      <c r="B310">
        <v>1</v>
      </c>
      <c r="C310">
        <v>1004664</v>
      </c>
      <c r="D310" t="s">
        <v>1751</v>
      </c>
      <c r="E310">
        <v>120</v>
      </c>
      <c r="F310">
        <v>6</v>
      </c>
      <c r="G310">
        <v>0</v>
      </c>
      <c r="H310">
        <v>0</v>
      </c>
      <c r="I310" t="s">
        <v>24</v>
      </c>
      <c r="J310" t="s">
        <v>597</v>
      </c>
      <c r="K310" t="s">
        <v>1923</v>
      </c>
      <c r="L310" s="3">
        <v>45825</v>
      </c>
      <c r="M310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1.3888888888888888E-2</v>
      </c>
      <c r="N310" s="3">
        <v>45817</v>
      </c>
      <c r="O310" s="5">
        <f>IFERROR((PlanMasine[[#This Row],[Norma]]/PlanMasine[[#This Row],[Q]])*(PlanMasine[[#This Row],[Q]]/SUMIF(C:C,PlanMasine[[#This Row],[RN]],B:B)*PlanMasine[[#This Row],[KPLQ]]),0)</f>
        <v>20</v>
      </c>
      <c r="P310">
        <v>227792</v>
      </c>
      <c r="Q310">
        <f>COUNTIF(PROMJENA!A:A,PlanMasine[[#This Row],[KPL]]&amp;"-"&amp;PlanMasine[[#This Row],[RN]])</f>
        <v>0</v>
      </c>
      <c r="R310">
        <f>IFERROR(INDEX(REDOSLIJED!A:A,MATCH(PlanMasine[[#This Row],[KPL]],REDOSLIJED!B:B,0)),MAX(REDOSLIJED!A:A)+1)</f>
        <v>45</v>
      </c>
      <c r="S310" s="9">
        <f>SUM($M$2:M310)</f>
        <v>12.170694444444452</v>
      </c>
      <c r="T310" s="3">
        <f>PlanMasine[[#This Row],[Datum SAS]]-1</f>
        <v>45816</v>
      </c>
      <c r="U310">
        <f>WEEKDAY(PlanMasine[[#This Row],[ZAVRŠETAK MAŠINSKE]],2)</f>
        <v>7</v>
      </c>
      <c r="V310" s="3">
        <f>IF(WEEKDAY(PlanMasine[[#This Row],[Datum SAS]]-1,2)=7,PlanMasine[[#This Row],[Datum SAS]]-3,PlanMasine[[#This Row],[Datum SAS]]-1)</f>
        <v>45814</v>
      </c>
      <c r="W310">
        <f>WEEKNUM(PlanMasine[[#This Row],[Column2]],1)</f>
        <v>23</v>
      </c>
    </row>
    <row r="311" spans="1:23" x14ac:dyDescent="0.35">
      <c r="A311">
        <v>1004629</v>
      </c>
      <c r="B311">
        <v>1</v>
      </c>
      <c r="C311">
        <v>1004651</v>
      </c>
      <c r="D311" t="s">
        <v>1752</v>
      </c>
      <c r="E311">
        <v>90</v>
      </c>
      <c r="F311">
        <v>6</v>
      </c>
      <c r="G311">
        <v>0</v>
      </c>
      <c r="H311">
        <v>0</v>
      </c>
      <c r="I311" t="s">
        <v>24</v>
      </c>
      <c r="J311" t="s">
        <v>597</v>
      </c>
      <c r="K311" t="s">
        <v>1923</v>
      </c>
      <c r="L311" s="3">
        <v>45825</v>
      </c>
      <c r="M311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1.0416666666666666E-2</v>
      </c>
      <c r="N311" s="3">
        <v>45817</v>
      </c>
      <c r="O311" s="5">
        <f>IFERROR((PlanMasine[[#This Row],[Norma]]/PlanMasine[[#This Row],[Q]])*(PlanMasine[[#This Row],[Q]]/SUMIF(C:C,PlanMasine[[#This Row],[RN]],B:B)*PlanMasine[[#This Row],[KPLQ]]),0)</f>
        <v>15</v>
      </c>
      <c r="P311">
        <v>227779</v>
      </c>
      <c r="Q311">
        <f>COUNTIF(PROMJENA!A:A,PlanMasine[[#This Row],[KPL]]&amp;"-"&amp;PlanMasine[[#This Row],[RN]])</f>
        <v>0</v>
      </c>
      <c r="R311">
        <f>IFERROR(INDEX(REDOSLIJED!A:A,MATCH(PlanMasine[[#This Row],[KPL]],REDOSLIJED!B:B,0)),MAX(REDOSLIJED!A:A)+1)</f>
        <v>45</v>
      </c>
      <c r="S311" s="9">
        <f>SUM($M$2:M311)</f>
        <v>12.181111111111118</v>
      </c>
      <c r="T311" s="3">
        <f>PlanMasine[[#This Row],[Datum SAS]]-1</f>
        <v>45816</v>
      </c>
      <c r="U311">
        <f>WEEKDAY(PlanMasine[[#This Row],[ZAVRŠETAK MAŠINSKE]],2)</f>
        <v>7</v>
      </c>
      <c r="V311" s="3">
        <f>IF(WEEKDAY(PlanMasine[[#This Row],[Datum SAS]]-1,2)=7,PlanMasine[[#This Row],[Datum SAS]]-3,PlanMasine[[#This Row],[Datum SAS]]-1)</f>
        <v>45814</v>
      </c>
      <c r="W311">
        <f>WEEKNUM(PlanMasine[[#This Row],[Column2]],1)</f>
        <v>23</v>
      </c>
    </row>
    <row r="312" spans="1:23" x14ac:dyDescent="0.35">
      <c r="A312">
        <v>1004629</v>
      </c>
      <c r="B312">
        <v>1</v>
      </c>
      <c r="C312">
        <v>1004647</v>
      </c>
      <c r="D312" t="s">
        <v>1753</v>
      </c>
      <c r="E312">
        <v>90</v>
      </c>
      <c r="F312">
        <v>6</v>
      </c>
      <c r="G312">
        <v>0</v>
      </c>
      <c r="H312">
        <v>0</v>
      </c>
      <c r="I312" t="s">
        <v>24</v>
      </c>
      <c r="J312" t="s">
        <v>597</v>
      </c>
      <c r="K312" t="s">
        <v>1923</v>
      </c>
      <c r="L312" s="3">
        <v>45825</v>
      </c>
      <c r="M312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1.0416666666666666E-2</v>
      </c>
      <c r="N312" s="3">
        <v>45817</v>
      </c>
      <c r="O312" s="5">
        <f>IFERROR((PlanMasine[[#This Row],[Norma]]/PlanMasine[[#This Row],[Q]])*(PlanMasine[[#This Row],[Q]]/SUMIF(C:C,PlanMasine[[#This Row],[RN]],B:B)*PlanMasine[[#This Row],[KPLQ]]),0)</f>
        <v>15</v>
      </c>
      <c r="P312">
        <v>227775</v>
      </c>
      <c r="Q312">
        <f>COUNTIF(PROMJENA!A:A,PlanMasine[[#This Row],[KPL]]&amp;"-"&amp;PlanMasine[[#This Row],[RN]])</f>
        <v>0</v>
      </c>
      <c r="R312">
        <f>IFERROR(INDEX(REDOSLIJED!A:A,MATCH(PlanMasine[[#This Row],[KPL]],REDOSLIJED!B:B,0)),MAX(REDOSLIJED!A:A)+1)</f>
        <v>45</v>
      </c>
      <c r="S312" s="9">
        <f>SUM($M$2:M312)</f>
        <v>12.191527777777784</v>
      </c>
      <c r="T312" s="3">
        <f>PlanMasine[[#This Row],[Datum SAS]]-1</f>
        <v>45816</v>
      </c>
      <c r="U312">
        <f>WEEKDAY(PlanMasine[[#This Row],[ZAVRŠETAK MAŠINSKE]],2)</f>
        <v>7</v>
      </c>
      <c r="V312" s="3">
        <f>IF(WEEKDAY(PlanMasine[[#This Row],[Datum SAS]]-1,2)=7,PlanMasine[[#This Row],[Datum SAS]]-3,PlanMasine[[#This Row],[Datum SAS]]-1)</f>
        <v>45814</v>
      </c>
      <c r="W312">
        <f>WEEKNUM(PlanMasine[[#This Row],[Column2]],1)</f>
        <v>23</v>
      </c>
    </row>
    <row r="313" spans="1:23" x14ac:dyDescent="0.35">
      <c r="A313">
        <v>1013747</v>
      </c>
      <c r="B313">
        <v>1</v>
      </c>
      <c r="C313">
        <v>1013778</v>
      </c>
      <c r="D313" t="s">
        <v>1799</v>
      </c>
      <c r="E313">
        <v>15</v>
      </c>
      <c r="F313">
        <v>1</v>
      </c>
      <c r="G313">
        <v>0</v>
      </c>
      <c r="H313">
        <v>0</v>
      </c>
      <c r="I313" t="s">
        <v>24</v>
      </c>
      <c r="J313" t="s">
        <v>597</v>
      </c>
      <c r="K313" t="s">
        <v>1924</v>
      </c>
      <c r="L313" s="3">
        <v>45828</v>
      </c>
      <c r="M313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1.0416666666666666E-2</v>
      </c>
      <c r="N313" s="3">
        <v>45817</v>
      </c>
      <c r="O313" s="5">
        <f>IFERROR((PlanMasine[[#This Row],[Norma]]/PlanMasine[[#This Row],[Q]])*(PlanMasine[[#This Row],[Q]]/SUMIF(C:C,PlanMasine[[#This Row],[RN]],B:B)*PlanMasine[[#This Row],[KPLQ]]),0)</f>
        <v>15</v>
      </c>
      <c r="P313">
        <v>178144</v>
      </c>
      <c r="Q313">
        <f>COUNTIF(PROMJENA!A:A,PlanMasine[[#This Row],[KPL]]&amp;"-"&amp;PlanMasine[[#This Row],[RN]])</f>
        <v>0</v>
      </c>
      <c r="R313">
        <f>IFERROR(INDEX(REDOSLIJED!A:A,MATCH(PlanMasine[[#This Row],[KPL]],REDOSLIJED!B:B,0)),MAX(REDOSLIJED!A:A)+1)</f>
        <v>45</v>
      </c>
      <c r="S313" s="9">
        <f>SUM($M$2:M313)</f>
        <v>12.20194444444445</v>
      </c>
      <c r="T313" s="3">
        <f>PlanMasine[[#This Row],[Datum SAS]]-1</f>
        <v>45816</v>
      </c>
      <c r="U313">
        <f>WEEKDAY(PlanMasine[[#This Row],[ZAVRŠETAK MAŠINSKE]],2)</f>
        <v>7</v>
      </c>
      <c r="V313" s="3">
        <f>IF(WEEKDAY(PlanMasine[[#This Row],[Datum SAS]]-1,2)=7,PlanMasine[[#This Row],[Datum SAS]]-3,PlanMasine[[#This Row],[Datum SAS]]-1)</f>
        <v>45814</v>
      </c>
      <c r="W313">
        <f>WEEKNUM(PlanMasine[[#This Row],[Column2]],1)</f>
        <v>23</v>
      </c>
    </row>
    <row r="314" spans="1:23" x14ac:dyDescent="0.35">
      <c r="A314">
        <v>1013747</v>
      </c>
      <c r="B314">
        <v>1</v>
      </c>
      <c r="C314">
        <v>1022169</v>
      </c>
      <c r="D314" t="s">
        <v>1706</v>
      </c>
      <c r="E314">
        <v>25</v>
      </c>
      <c r="F314">
        <v>1</v>
      </c>
      <c r="G314">
        <v>0</v>
      </c>
      <c r="H314">
        <v>0</v>
      </c>
      <c r="I314" t="s">
        <v>24</v>
      </c>
      <c r="J314" t="s">
        <v>597</v>
      </c>
      <c r="K314" t="s">
        <v>1924</v>
      </c>
      <c r="L314" s="3">
        <v>45828</v>
      </c>
      <c r="M314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1.7361111111111112E-2</v>
      </c>
      <c r="N314" s="3">
        <v>45817</v>
      </c>
      <c r="O314" s="5">
        <f>IFERROR((PlanMasine[[#This Row],[Norma]]/PlanMasine[[#This Row],[Q]])*(PlanMasine[[#This Row],[Q]]/SUMIF(C:C,PlanMasine[[#This Row],[RN]],B:B)*PlanMasine[[#This Row],[KPLQ]]),0)</f>
        <v>25</v>
      </c>
      <c r="P314">
        <v>178161</v>
      </c>
      <c r="Q314">
        <f>COUNTIF(PROMJENA!A:A,PlanMasine[[#This Row],[KPL]]&amp;"-"&amp;PlanMasine[[#This Row],[RN]])</f>
        <v>0</v>
      </c>
      <c r="R314">
        <f>IFERROR(INDEX(REDOSLIJED!A:A,MATCH(PlanMasine[[#This Row],[KPL]],REDOSLIJED!B:B,0)),MAX(REDOSLIJED!A:A)+1)</f>
        <v>45</v>
      </c>
      <c r="S314" s="9">
        <f>SUM($M$2:M314)</f>
        <v>12.219305555555561</v>
      </c>
      <c r="T314" s="3">
        <f>PlanMasine[[#This Row],[Datum SAS]]-1</f>
        <v>45816</v>
      </c>
      <c r="U314">
        <f>WEEKDAY(PlanMasine[[#This Row],[ZAVRŠETAK MAŠINSKE]],2)</f>
        <v>7</v>
      </c>
      <c r="V314" s="3">
        <f>IF(WEEKDAY(PlanMasine[[#This Row],[Datum SAS]]-1,2)=7,PlanMasine[[#This Row],[Datum SAS]]-3,PlanMasine[[#This Row],[Datum SAS]]-1)</f>
        <v>45814</v>
      </c>
      <c r="W314">
        <f>WEEKNUM(PlanMasine[[#This Row],[Column2]],1)</f>
        <v>23</v>
      </c>
    </row>
    <row r="315" spans="1:23" x14ac:dyDescent="0.35">
      <c r="A315">
        <v>1013895</v>
      </c>
      <c r="B315">
        <v>1</v>
      </c>
      <c r="C315">
        <v>1022170</v>
      </c>
      <c r="D315" t="s">
        <v>1706</v>
      </c>
      <c r="E315">
        <v>25</v>
      </c>
      <c r="F315">
        <v>1</v>
      </c>
      <c r="G315">
        <v>0</v>
      </c>
      <c r="H315">
        <v>0</v>
      </c>
      <c r="I315" t="s">
        <v>24</v>
      </c>
      <c r="J315" t="s">
        <v>597</v>
      </c>
      <c r="K315" t="s">
        <v>1925</v>
      </c>
      <c r="L315" s="3">
        <v>45831</v>
      </c>
      <c r="M315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1.7361111111111112E-2</v>
      </c>
      <c r="N315" s="3">
        <v>45817</v>
      </c>
      <c r="O315" s="5">
        <f>IFERROR((PlanMasine[[#This Row],[Norma]]/PlanMasine[[#This Row],[Q]])*(PlanMasine[[#This Row],[Q]]/SUMIF(C:C,PlanMasine[[#This Row],[RN]],B:B)*PlanMasine[[#This Row],[KPLQ]]),0)</f>
        <v>25</v>
      </c>
      <c r="P315">
        <v>178161</v>
      </c>
      <c r="Q315">
        <f>COUNTIF(PROMJENA!A:A,PlanMasine[[#This Row],[KPL]]&amp;"-"&amp;PlanMasine[[#This Row],[RN]])</f>
        <v>0</v>
      </c>
      <c r="R315">
        <f>IFERROR(INDEX(REDOSLIJED!A:A,MATCH(PlanMasine[[#This Row],[KPL]],REDOSLIJED!B:B,0)),MAX(REDOSLIJED!A:A)+1)</f>
        <v>45</v>
      </c>
      <c r="S315" s="9">
        <f>SUM($M$2:M315)</f>
        <v>12.236666666666672</v>
      </c>
      <c r="T315" s="3">
        <f>PlanMasine[[#This Row],[Datum SAS]]-1</f>
        <v>45816</v>
      </c>
      <c r="U315">
        <f>WEEKDAY(PlanMasine[[#This Row],[ZAVRŠETAK MAŠINSKE]],2)</f>
        <v>7</v>
      </c>
      <c r="V315" s="3">
        <f>IF(WEEKDAY(PlanMasine[[#This Row],[Datum SAS]]-1,2)=7,PlanMasine[[#This Row],[Datum SAS]]-3,PlanMasine[[#This Row],[Datum SAS]]-1)</f>
        <v>45814</v>
      </c>
      <c r="W315">
        <f>WEEKNUM(PlanMasine[[#This Row],[Column2]],1)</f>
        <v>23</v>
      </c>
    </row>
    <row r="316" spans="1:23" x14ac:dyDescent="0.35">
      <c r="A316">
        <v>1013895</v>
      </c>
      <c r="B316">
        <v>1</v>
      </c>
      <c r="C316">
        <v>1013926</v>
      </c>
      <c r="D316" t="s">
        <v>1799</v>
      </c>
      <c r="E316">
        <v>15</v>
      </c>
      <c r="F316">
        <v>1</v>
      </c>
      <c r="G316">
        <v>0</v>
      </c>
      <c r="H316">
        <v>0</v>
      </c>
      <c r="I316" t="s">
        <v>24</v>
      </c>
      <c r="J316" t="s">
        <v>597</v>
      </c>
      <c r="K316" t="s">
        <v>1925</v>
      </c>
      <c r="L316" s="3">
        <v>45831</v>
      </c>
      <c r="M316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1.0416666666666666E-2</v>
      </c>
      <c r="N316" s="3">
        <v>45817</v>
      </c>
      <c r="O316" s="5">
        <f>IFERROR((PlanMasine[[#This Row],[Norma]]/PlanMasine[[#This Row],[Q]])*(PlanMasine[[#This Row],[Q]]/SUMIF(C:C,PlanMasine[[#This Row],[RN]],B:B)*PlanMasine[[#This Row],[KPLQ]]),0)</f>
        <v>15</v>
      </c>
      <c r="P316">
        <v>178144</v>
      </c>
      <c r="Q316">
        <f>COUNTIF(PROMJENA!A:A,PlanMasine[[#This Row],[KPL]]&amp;"-"&amp;PlanMasine[[#This Row],[RN]])</f>
        <v>0</v>
      </c>
      <c r="R316">
        <f>IFERROR(INDEX(REDOSLIJED!A:A,MATCH(PlanMasine[[#This Row],[KPL]],REDOSLIJED!B:B,0)),MAX(REDOSLIJED!A:A)+1)</f>
        <v>45</v>
      </c>
      <c r="S316" s="9">
        <f>SUM($M$2:M316)</f>
        <v>12.247083333333338</v>
      </c>
      <c r="T316" s="3">
        <f>PlanMasine[[#This Row],[Datum SAS]]-1</f>
        <v>45816</v>
      </c>
      <c r="U316">
        <f>WEEKDAY(PlanMasine[[#This Row],[ZAVRŠETAK MAŠINSKE]],2)</f>
        <v>7</v>
      </c>
      <c r="V316" s="3">
        <f>IF(WEEKDAY(PlanMasine[[#This Row],[Datum SAS]]-1,2)=7,PlanMasine[[#This Row],[Datum SAS]]-3,PlanMasine[[#This Row],[Datum SAS]]-1)</f>
        <v>45814</v>
      </c>
      <c r="W316">
        <f>WEEKNUM(PlanMasine[[#This Row],[Column2]],1)</f>
        <v>23</v>
      </c>
    </row>
    <row r="317" spans="1:23" x14ac:dyDescent="0.35">
      <c r="A317">
        <v>1017815</v>
      </c>
      <c r="B317">
        <v>1</v>
      </c>
      <c r="C317">
        <v>1017911</v>
      </c>
      <c r="D317" t="s">
        <v>453</v>
      </c>
      <c r="E317">
        <v>30</v>
      </c>
      <c r="F317">
        <v>1</v>
      </c>
      <c r="G317">
        <v>0</v>
      </c>
      <c r="H317">
        <v>0</v>
      </c>
      <c r="I317" t="s">
        <v>24</v>
      </c>
      <c r="J317" t="s">
        <v>597</v>
      </c>
      <c r="K317" t="s">
        <v>1926</v>
      </c>
      <c r="L317" s="3">
        <v>45835</v>
      </c>
      <c r="M317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2.0833333333333332E-2</v>
      </c>
      <c r="N317" s="3">
        <v>45817</v>
      </c>
      <c r="O317" s="5">
        <f>IFERROR((PlanMasine[[#This Row],[Norma]]/PlanMasine[[#This Row],[Q]])*(PlanMasine[[#This Row],[Q]]/SUMIF(C:C,PlanMasine[[#This Row],[RN]],B:B)*PlanMasine[[#This Row],[KPLQ]]),0)</f>
        <v>30</v>
      </c>
      <c r="P317">
        <v>175904</v>
      </c>
      <c r="Q317">
        <f>COUNTIF(PROMJENA!A:A,PlanMasine[[#This Row],[KPL]]&amp;"-"&amp;PlanMasine[[#This Row],[RN]])</f>
        <v>0</v>
      </c>
      <c r="R317">
        <f>IFERROR(INDEX(REDOSLIJED!A:A,MATCH(PlanMasine[[#This Row],[KPL]],REDOSLIJED!B:B,0)),MAX(REDOSLIJED!A:A)+1)</f>
        <v>45</v>
      </c>
      <c r="S317" s="9">
        <f>SUM($M$2:M317)</f>
        <v>12.267916666666672</v>
      </c>
      <c r="T317" s="3">
        <f>PlanMasine[[#This Row],[Datum SAS]]-1</f>
        <v>45816</v>
      </c>
      <c r="U317">
        <f>WEEKDAY(PlanMasine[[#This Row],[ZAVRŠETAK MAŠINSKE]],2)</f>
        <v>7</v>
      </c>
      <c r="V317" s="3">
        <f>IF(WEEKDAY(PlanMasine[[#This Row],[Datum SAS]]-1,2)=7,PlanMasine[[#This Row],[Datum SAS]]-3,PlanMasine[[#This Row],[Datum SAS]]-1)</f>
        <v>45814</v>
      </c>
      <c r="W317">
        <f>WEEKNUM(PlanMasine[[#This Row],[Column2]],1)</f>
        <v>23</v>
      </c>
    </row>
    <row r="318" spans="1:23" x14ac:dyDescent="0.35">
      <c r="A318">
        <v>1017815</v>
      </c>
      <c r="B318">
        <v>1</v>
      </c>
      <c r="C318">
        <v>1017905</v>
      </c>
      <c r="D318" t="s">
        <v>1888</v>
      </c>
      <c r="E318">
        <v>25</v>
      </c>
      <c r="F318">
        <v>1</v>
      </c>
      <c r="G318">
        <v>0</v>
      </c>
      <c r="H318">
        <v>0</v>
      </c>
      <c r="I318" t="s">
        <v>24</v>
      </c>
      <c r="J318" t="s">
        <v>597</v>
      </c>
      <c r="K318" t="s">
        <v>1926</v>
      </c>
      <c r="L318" s="3">
        <v>45835</v>
      </c>
      <c r="M318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1.7361111111111112E-2</v>
      </c>
      <c r="N318" s="3">
        <v>45817</v>
      </c>
      <c r="O318" s="5">
        <f>IFERROR((PlanMasine[[#This Row],[Norma]]/PlanMasine[[#This Row],[Q]])*(PlanMasine[[#This Row],[Q]]/SUMIF(C:C,PlanMasine[[#This Row],[RN]],B:B)*PlanMasine[[#This Row],[KPLQ]]),0)</f>
        <v>25</v>
      </c>
      <c r="P318">
        <v>175898</v>
      </c>
      <c r="Q318">
        <f>COUNTIF(PROMJENA!A:A,PlanMasine[[#This Row],[KPL]]&amp;"-"&amp;PlanMasine[[#This Row],[RN]])</f>
        <v>0</v>
      </c>
      <c r="R318">
        <f>IFERROR(INDEX(REDOSLIJED!A:A,MATCH(PlanMasine[[#This Row],[KPL]],REDOSLIJED!B:B,0)),MAX(REDOSLIJED!A:A)+1)</f>
        <v>45</v>
      </c>
      <c r="S318" s="9">
        <f>SUM($M$2:M318)</f>
        <v>12.285277777777782</v>
      </c>
      <c r="T318" s="3">
        <f>PlanMasine[[#This Row],[Datum SAS]]-1</f>
        <v>45816</v>
      </c>
      <c r="U318">
        <f>WEEKDAY(PlanMasine[[#This Row],[ZAVRŠETAK MAŠINSKE]],2)</f>
        <v>7</v>
      </c>
      <c r="V318" s="3">
        <f>IF(WEEKDAY(PlanMasine[[#This Row],[Datum SAS]]-1,2)=7,PlanMasine[[#This Row],[Datum SAS]]-3,PlanMasine[[#This Row],[Datum SAS]]-1)</f>
        <v>45814</v>
      </c>
      <c r="W318">
        <f>WEEKNUM(PlanMasine[[#This Row],[Column2]],1)</f>
        <v>23</v>
      </c>
    </row>
    <row r="319" spans="1:23" x14ac:dyDescent="0.35">
      <c r="A319">
        <v>1017815</v>
      </c>
      <c r="B319">
        <v>1</v>
      </c>
      <c r="C319">
        <v>1017836</v>
      </c>
      <c r="D319" t="s">
        <v>451</v>
      </c>
      <c r="E319">
        <v>15</v>
      </c>
      <c r="F319">
        <v>1</v>
      </c>
      <c r="G319">
        <v>0</v>
      </c>
      <c r="H319">
        <v>0</v>
      </c>
      <c r="I319" t="s">
        <v>24</v>
      </c>
      <c r="J319" t="s">
        <v>597</v>
      </c>
      <c r="K319" t="s">
        <v>1926</v>
      </c>
      <c r="L319" s="3">
        <v>45835</v>
      </c>
      <c r="M319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1.0416666666666666E-2</v>
      </c>
      <c r="N319" s="3">
        <v>45817</v>
      </c>
      <c r="O319" s="5">
        <f>IFERROR((PlanMasine[[#This Row],[Norma]]/PlanMasine[[#This Row],[Q]])*(PlanMasine[[#This Row],[Q]]/SUMIF(C:C,PlanMasine[[#This Row],[RN]],B:B)*PlanMasine[[#This Row],[KPLQ]]),0)</f>
        <v>15</v>
      </c>
      <c r="P319">
        <v>175819</v>
      </c>
      <c r="Q319">
        <f>COUNTIF(PROMJENA!A:A,PlanMasine[[#This Row],[KPL]]&amp;"-"&amp;PlanMasine[[#This Row],[RN]])</f>
        <v>0</v>
      </c>
      <c r="R319">
        <f>IFERROR(INDEX(REDOSLIJED!A:A,MATCH(PlanMasine[[#This Row],[KPL]],REDOSLIJED!B:B,0)),MAX(REDOSLIJED!A:A)+1)</f>
        <v>45</v>
      </c>
      <c r="S319" s="9">
        <f>SUM($M$2:M319)</f>
        <v>12.295694444444448</v>
      </c>
      <c r="T319" s="3">
        <f>PlanMasine[[#This Row],[Datum SAS]]-1</f>
        <v>45816</v>
      </c>
      <c r="U319">
        <f>WEEKDAY(PlanMasine[[#This Row],[ZAVRŠETAK MAŠINSKE]],2)</f>
        <v>7</v>
      </c>
      <c r="V319" s="3">
        <f>IF(WEEKDAY(PlanMasine[[#This Row],[Datum SAS]]-1,2)=7,PlanMasine[[#This Row],[Datum SAS]]-3,PlanMasine[[#This Row],[Datum SAS]]-1)</f>
        <v>45814</v>
      </c>
      <c r="W319">
        <f>WEEKNUM(PlanMasine[[#This Row],[Column2]],1)</f>
        <v>23</v>
      </c>
    </row>
    <row r="320" spans="1:23" x14ac:dyDescent="0.35">
      <c r="A320">
        <v>1017815</v>
      </c>
      <c r="B320">
        <v>1</v>
      </c>
      <c r="C320">
        <v>1017908</v>
      </c>
      <c r="D320" t="s">
        <v>452</v>
      </c>
      <c r="E320">
        <v>10</v>
      </c>
      <c r="F320">
        <v>1</v>
      </c>
      <c r="G320">
        <v>0</v>
      </c>
      <c r="H320">
        <v>0</v>
      </c>
      <c r="I320" t="s">
        <v>24</v>
      </c>
      <c r="J320" t="s">
        <v>597</v>
      </c>
      <c r="K320" t="s">
        <v>1926</v>
      </c>
      <c r="L320" s="3">
        <v>45835</v>
      </c>
      <c r="M320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6.9444444444444441E-3</v>
      </c>
      <c r="N320" s="3">
        <v>45817</v>
      </c>
      <c r="O320" s="5">
        <f>IFERROR((PlanMasine[[#This Row],[Norma]]/PlanMasine[[#This Row],[Q]])*(PlanMasine[[#This Row],[Q]]/SUMIF(C:C,PlanMasine[[#This Row],[RN]],B:B)*PlanMasine[[#This Row],[KPLQ]]),0)</f>
        <v>10</v>
      </c>
      <c r="P320">
        <v>175901</v>
      </c>
      <c r="Q320">
        <f>COUNTIF(PROMJENA!A:A,PlanMasine[[#This Row],[KPL]]&amp;"-"&amp;PlanMasine[[#This Row],[RN]])</f>
        <v>0</v>
      </c>
      <c r="R320">
        <f>IFERROR(INDEX(REDOSLIJED!A:A,MATCH(PlanMasine[[#This Row],[KPL]],REDOSLIJED!B:B,0)),MAX(REDOSLIJED!A:A)+1)</f>
        <v>45</v>
      </c>
      <c r="S320" s="9">
        <f>SUM($M$2:M320)</f>
        <v>12.302638888888893</v>
      </c>
      <c r="T320" s="3">
        <f>PlanMasine[[#This Row],[Datum SAS]]-1</f>
        <v>45816</v>
      </c>
      <c r="U320">
        <f>WEEKDAY(PlanMasine[[#This Row],[ZAVRŠETAK MAŠINSKE]],2)</f>
        <v>7</v>
      </c>
      <c r="V320" s="3">
        <f>IF(WEEKDAY(PlanMasine[[#This Row],[Datum SAS]]-1,2)=7,PlanMasine[[#This Row],[Datum SAS]]-3,PlanMasine[[#This Row],[Datum SAS]]-1)</f>
        <v>45814</v>
      </c>
      <c r="W320">
        <f>WEEKNUM(PlanMasine[[#This Row],[Column2]],1)</f>
        <v>23</v>
      </c>
    </row>
    <row r="321" spans="1:23" x14ac:dyDescent="0.35">
      <c r="A321">
        <v>1017950</v>
      </c>
      <c r="B321">
        <v>1</v>
      </c>
      <c r="C321">
        <v>1017971</v>
      </c>
      <c r="D321" t="s">
        <v>451</v>
      </c>
      <c r="E321">
        <v>15</v>
      </c>
      <c r="F321">
        <v>1</v>
      </c>
      <c r="G321">
        <v>0</v>
      </c>
      <c r="H321">
        <v>0</v>
      </c>
      <c r="I321" t="s">
        <v>24</v>
      </c>
      <c r="J321" t="s">
        <v>597</v>
      </c>
      <c r="K321" t="s">
        <v>1927</v>
      </c>
      <c r="L321" s="3">
        <v>45835</v>
      </c>
      <c r="M321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1.0416666666666666E-2</v>
      </c>
      <c r="N321" s="3">
        <v>45817</v>
      </c>
      <c r="O321" s="5">
        <f>IFERROR((PlanMasine[[#This Row],[Norma]]/PlanMasine[[#This Row],[Q]])*(PlanMasine[[#This Row],[Q]]/SUMIF(C:C,PlanMasine[[#This Row],[RN]],B:B)*PlanMasine[[#This Row],[KPLQ]]),0)</f>
        <v>15</v>
      </c>
      <c r="P321">
        <v>175819</v>
      </c>
      <c r="Q321">
        <f>COUNTIF(PROMJENA!A:A,PlanMasine[[#This Row],[KPL]]&amp;"-"&amp;PlanMasine[[#This Row],[RN]])</f>
        <v>0</v>
      </c>
      <c r="R321">
        <f>IFERROR(INDEX(REDOSLIJED!A:A,MATCH(PlanMasine[[#This Row],[KPL]],REDOSLIJED!B:B,0)),MAX(REDOSLIJED!A:A)+1)</f>
        <v>45</v>
      </c>
      <c r="S321" s="9">
        <f>SUM($M$2:M321)</f>
        <v>12.313055555555559</v>
      </c>
      <c r="T321" s="3">
        <f>PlanMasine[[#This Row],[Datum SAS]]-1</f>
        <v>45816</v>
      </c>
      <c r="U321">
        <f>WEEKDAY(PlanMasine[[#This Row],[ZAVRŠETAK MAŠINSKE]],2)</f>
        <v>7</v>
      </c>
      <c r="V321" s="3">
        <f>IF(WEEKDAY(PlanMasine[[#This Row],[Datum SAS]]-1,2)=7,PlanMasine[[#This Row],[Datum SAS]]-3,PlanMasine[[#This Row],[Datum SAS]]-1)</f>
        <v>45814</v>
      </c>
      <c r="W321">
        <f>WEEKNUM(PlanMasine[[#This Row],[Column2]],1)</f>
        <v>23</v>
      </c>
    </row>
    <row r="322" spans="1:23" x14ac:dyDescent="0.35">
      <c r="A322">
        <v>1017950</v>
      </c>
      <c r="B322">
        <v>1</v>
      </c>
      <c r="C322">
        <v>1018040</v>
      </c>
      <c r="D322" t="s">
        <v>1888</v>
      </c>
      <c r="E322">
        <v>25</v>
      </c>
      <c r="F322">
        <v>1</v>
      </c>
      <c r="G322">
        <v>0</v>
      </c>
      <c r="H322">
        <v>0</v>
      </c>
      <c r="I322" t="s">
        <v>24</v>
      </c>
      <c r="J322" t="s">
        <v>597</v>
      </c>
      <c r="K322" t="s">
        <v>1927</v>
      </c>
      <c r="L322" s="3">
        <v>45835</v>
      </c>
      <c r="M322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1.7361111111111112E-2</v>
      </c>
      <c r="N322" s="3">
        <v>45817</v>
      </c>
      <c r="O322" s="5">
        <f>IFERROR((PlanMasine[[#This Row],[Norma]]/PlanMasine[[#This Row],[Q]])*(PlanMasine[[#This Row],[Q]]/SUMIF(C:C,PlanMasine[[#This Row],[RN]],B:B)*PlanMasine[[#This Row],[KPLQ]]),0)</f>
        <v>25</v>
      </c>
      <c r="P322">
        <v>175898</v>
      </c>
      <c r="Q322">
        <f>COUNTIF(PROMJENA!A:A,PlanMasine[[#This Row],[KPL]]&amp;"-"&amp;PlanMasine[[#This Row],[RN]])</f>
        <v>0</v>
      </c>
      <c r="R322">
        <f>IFERROR(INDEX(REDOSLIJED!A:A,MATCH(PlanMasine[[#This Row],[KPL]],REDOSLIJED!B:B,0)),MAX(REDOSLIJED!A:A)+1)</f>
        <v>45</v>
      </c>
      <c r="S322" s="9">
        <f>SUM($M$2:M322)</f>
        <v>12.33041666666667</v>
      </c>
      <c r="T322" s="3">
        <f>PlanMasine[[#This Row],[Datum SAS]]-1</f>
        <v>45816</v>
      </c>
      <c r="U322">
        <f>WEEKDAY(PlanMasine[[#This Row],[ZAVRŠETAK MAŠINSKE]],2)</f>
        <v>7</v>
      </c>
      <c r="V322" s="3">
        <f>IF(WEEKDAY(PlanMasine[[#This Row],[Datum SAS]]-1,2)=7,PlanMasine[[#This Row],[Datum SAS]]-3,PlanMasine[[#This Row],[Datum SAS]]-1)</f>
        <v>45814</v>
      </c>
      <c r="W322">
        <f>WEEKNUM(PlanMasine[[#This Row],[Column2]],1)</f>
        <v>23</v>
      </c>
    </row>
    <row r="323" spans="1:23" x14ac:dyDescent="0.35">
      <c r="A323">
        <v>1017950</v>
      </c>
      <c r="B323">
        <v>1</v>
      </c>
      <c r="C323">
        <v>1018046</v>
      </c>
      <c r="D323" t="s">
        <v>453</v>
      </c>
      <c r="E323">
        <v>30</v>
      </c>
      <c r="F323">
        <v>1</v>
      </c>
      <c r="G323">
        <v>0</v>
      </c>
      <c r="H323">
        <v>0</v>
      </c>
      <c r="I323" t="s">
        <v>24</v>
      </c>
      <c r="J323" t="s">
        <v>597</v>
      </c>
      <c r="K323" t="s">
        <v>1927</v>
      </c>
      <c r="L323" s="3">
        <v>45835</v>
      </c>
      <c r="M323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2.0833333333333332E-2</v>
      </c>
      <c r="N323" s="3">
        <v>45817</v>
      </c>
      <c r="O323" s="5">
        <f>IFERROR((PlanMasine[[#This Row],[Norma]]/PlanMasine[[#This Row],[Q]])*(PlanMasine[[#This Row],[Q]]/SUMIF(C:C,PlanMasine[[#This Row],[RN]],B:B)*PlanMasine[[#This Row],[KPLQ]]),0)</f>
        <v>30</v>
      </c>
      <c r="P323">
        <v>175904</v>
      </c>
      <c r="Q323">
        <f>COUNTIF(PROMJENA!A:A,PlanMasine[[#This Row],[KPL]]&amp;"-"&amp;PlanMasine[[#This Row],[RN]])</f>
        <v>0</v>
      </c>
      <c r="R323">
        <f>IFERROR(INDEX(REDOSLIJED!A:A,MATCH(PlanMasine[[#This Row],[KPL]],REDOSLIJED!B:B,0)),MAX(REDOSLIJED!A:A)+1)</f>
        <v>45</v>
      </c>
      <c r="S323" s="9">
        <f>SUM($M$2:M323)</f>
        <v>12.351250000000004</v>
      </c>
      <c r="T323" s="3">
        <f>PlanMasine[[#This Row],[Datum SAS]]-1</f>
        <v>45816</v>
      </c>
      <c r="U323">
        <f>WEEKDAY(PlanMasine[[#This Row],[ZAVRŠETAK MAŠINSKE]],2)</f>
        <v>7</v>
      </c>
      <c r="V323" s="3">
        <f>IF(WEEKDAY(PlanMasine[[#This Row],[Datum SAS]]-1,2)=7,PlanMasine[[#This Row],[Datum SAS]]-3,PlanMasine[[#This Row],[Datum SAS]]-1)</f>
        <v>45814</v>
      </c>
      <c r="W323">
        <f>WEEKNUM(PlanMasine[[#This Row],[Column2]],1)</f>
        <v>23</v>
      </c>
    </row>
    <row r="324" spans="1:23" x14ac:dyDescent="0.35">
      <c r="A324">
        <v>1018870</v>
      </c>
      <c r="B324">
        <v>1</v>
      </c>
      <c r="C324">
        <v>1018864</v>
      </c>
      <c r="D324" t="s">
        <v>583</v>
      </c>
      <c r="E324">
        <v>10</v>
      </c>
      <c r="F324">
        <v>1</v>
      </c>
      <c r="G324">
        <v>0</v>
      </c>
      <c r="H324">
        <v>0</v>
      </c>
      <c r="I324" t="s">
        <v>24</v>
      </c>
      <c r="J324" t="s">
        <v>597</v>
      </c>
      <c r="K324" t="s">
        <v>1928</v>
      </c>
      <c r="L324" s="3">
        <v>45820</v>
      </c>
      <c r="M324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6.9444444444444441E-3</v>
      </c>
      <c r="N324" s="3">
        <v>45817</v>
      </c>
      <c r="O324" s="5">
        <f>IFERROR((PlanMasine[[#This Row],[Norma]]/PlanMasine[[#This Row],[Q]])*(PlanMasine[[#This Row],[Q]]/SUMIF(C:C,PlanMasine[[#This Row],[RN]],B:B)*PlanMasine[[#This Row],[KPLQ]]),0)</f>
        <v>10</v>
      </c>
      <c r="P324">
        <v>160884</v>
      </c>
      <c r="Q324">
        <f>COUNTIF(PROMJENA!A:A,PlanMasine[[#This Row],[KPL]]&amp;"-"&amp;PlanMasine[[#This Row],[RN]])</f>
        <v>0</v>
      </c>
      <c r="R324">
        <f>IFERROR(INDEX(REDOSLIJED!A:A,MATCH(PlanMasine[[#This Row],[KPL]],REDOSLIJED!B:B,0)),MAX(REDOSLIJED!A:A)+1)</f>
        <v>45</v>
      </c>
      <c r="S324" s="9">
        <f>SUM($M$2:M324)</f>
        <v>12.358194444444448</v>
      </c>
      <c r="T324" s="3">
        <f>PlanMasine[[#This Row],[Datum SAS]]-1</f>
        <v>45816</v>
      </c>
      <c r="U324">
        <f>WEEKDAY(PlanMasine[[#This Row],[ZAVRŠETAK MAŠINSKE]],2)</f>
        <v>7</v>
      </c>
      <c r="V324" s="3">
        <f>IF(WEEKDAY(PlanMasine[[#This Row],[Datum SAS]]-1,2)=7,PlanMasine[[#This Row],[Datum SAS]]-3,PlanMasine[[#This Row],[Datum SAS]]-1)</f>
        <v>45814</v>
      </c>
      <c r="W324">
        <f>WEEKNUM(PlanMasine[[#This Row],[Column2]],1)</f>
        <v>23</v>
      </c>
    </row>
    <row r="325" spans="1:23" x14ac:dyDescent="0.35">
      <c r="A325">
        <v>1018870</v>
      </c>
      <c r="B325">
        <v>1</v>
      </c>
      <c r="C325">
        <v>1018863</v>
      </c>
      <c r="D325" t="s">
        <v>1929</v>
      </c>
      <c r="E325">
        <v>10</v>
      </c>
      <c r="F325">
        <v>1</v>
      </c>
      <c r="G325">
        <v>0</v>
      </c>
      <c r="H325">
        <v>0</v>
      </c>
      <c r="I325" t="s">
        <v>24</v>
      </c>
      <c r="J325" t="s">
        <v>597</v>
      </c>
      <c r="K325" t="s">
        <v>1928</v>
      </c>
      <c r="L325" s="3">
        <v>45820</v>
      </c>
      <c r="M325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6.9444444444444441E-3</v>
      </c>
      <c r="N325" s="3">
        <v>45817</v>
      </c>
      <c r="O325" s="5">
        <f>IFERROR((PlanMasine[[#This Row],[Norma]]/PlanMasine[[#This Row],[Q]])*(PlanMasine[[#This Row],[Q]]/SUMIF(C:C,PlanMasine[[#This Row],[RN]],B:B)*PlanMasine[[#This Row],[KPLQ]]),0)</f>
        <v>10</v>
      </c>
      <c r="P325">
        <v>160883</v>
      </c>
      <c r="Q325">
        <f>COUNTIF(PROMJENA!A:A,PlanMasine[[#This Row],[KPL]]&amp;"-"&amp;PlanMasine[[#This Row],[RN]])</f>
        <v>0</v>
      </c>
      <c r="R325">
        <f>IFERROR(INDEX(REDOSLIJED!A:A,MATCH(PlanMasine[[#This Row],[KPL]],REDOSLIJED!B:B,0)),MAX(REDOSLIJED!A:A)+1)</f>
        <v>45</v>
      </c>
      <c r="S325" s="9">
        <f>SUM($M$2:M325)</f>
        <v>12.365138888888893</v>
      </c>
      <c r="T325" s="3">
        <f>PlanMasine[[#This Row],[Datum SAS]]-1</f>
        <v>45816</v>
      </c>
      <c r="U325">
        <f>WEEKDAY(PlanMasine[[#This Row],[ZAVRŠETAK MAŠINSKE]],2)</f>
        <v>7</v>
      </c>
      <c r="V325" s="3">
        <f>IF(WEEKDAY(PlanMasine[[#This Row],[Datum SAS]]-1,2)=7,PlanMasine[[#This Row],[Datum SAS]]-3,PlanMasine[[#This Row],[Datum SAS]]-1)</f>
        <v>45814</v>
      </c>
      <c r="W325">
        <f>WEEKNUM(PlanMasine[[#This Row],[Column2]],1)</f>
        <v>23</v>
      </c>
    </row>
    <row r="326" spans="1:23" x14ac:dyDescent="0.35">
      <c r="A326">
        <v>1018899</v>
      </c>
      <c r="B326">
        <v>1</v>
      </c>
      <c r="C326">
        <v>1018892</v>
      </c>
      <c r="D326" t="s">
        <v>1929</v>
      </c>
      <c r="E326">
        <v>10</v>
      </c>
      <c r="F326">
        <v>1</v>
      </c>
      <c r="G326">
        <v>0</v>
      </c>
      <c r="H326">
        <v>0</v>
      </c>
      <c r="I326" t="s">
        <v>24</v>
      </c>
      <c r="J326" t="s">
        <v>597</v>
      </c>
      <c r="K326" t="s">
        <v>1930</v>
      </c>
      <c r="L326" s="3">
        <v>45820</v>
      </c>
      <c r="M326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6.9444444444444441E-3</v>
      </c>
      <c r="N326" s="3">
        <v>45817</v>
      </c>
      <c r="O326" s="5">
        <f>IFERROR((PlanMasine[[#This Row],[Norma]]/PlanMasine[[#This Row],[Q]])*(PlanMasine[[#This Row],[Q]]/SUMIF(C:C,PlanMasine[[#This Row],[RN]],B:B)*PlanMasine[[#This Row],[KPLQ]]),0)</f>
        <v>10</v>
      </c>
      <c r="P326">
        <v>160883</v>
      </c>
      <c r="Q326">
        <f>COUNTIF(PROMJENA!A:A,PlanMasine[[#This Row],[KPL]]&amp;"-"&amp;PlanMasine[[#This Row],[RN]])</f>
        <v>0</v>
      </c>
      <c r="R326">
        <f>IFERROR(INDEX(REDOSLIJED!A:A,MATCH(PlanMasine[[#This Row],[KPL]],REDOSLIJED!B:B,0)),MAX(REDOSLIJED!A:A)+1)</f>
        <v>45</v>
      </c>
      <c r="S326" s="9">
        <f>SUM($M$2:M326)</f>
        <v>12.372083333333338</v>
      </c>
      <c r="T326" s="3">
        <f>PlanMasine[[#This Row],[Datum SAS]]-1</f>
        <v>45816</v>
      </c>
      <c r="U326">
        <f>WEEKDAY(PlanMasine[[#This Row],[ZAVRŠETAK MAŠINSKE]],2)</f>
        <v>7</v>
      </c>
      <c r="V326" s="3">
        <f>IF(WEEKDAY(PlanMasine[[#This Row],[Datum SAS]]-1,2)=7,PlanMasine[[#This Row],[Datum SAS]]-3,PlanMasine[[#This Row],[Datum SAS]]-1)</f>
        <v>45814</v>
      </c>
      <c r="W326">
        <f>WEEKNUM(PlanMasine[[#This Row],[Column2]],1)</f>
        <v>23</v>
      </c>
    </row>
    <row r="327" spans="1:23" x14ac:dyDescent="0.35">
      <c r="A327">
        <v>1018899</v>
      </c>
      <c r="B327">
        <v>1</v>
      </c>
      <c r="C327">
        <v>1018893</v>
      </c>
      <c r="D327" t="s">
        <v>583</v>
      </c>
      <c r="E327">
        <v>10</v>
      </c>
      <c r="F327">
        <v>1</v>
      </c>
      <c r="G327">
        <v>0</v>
      </c>
      <c r="H327">
        <v>0</v>
      </c>
      <c r="I327" t="s">
        <v>24</v>
      </c>
      <c r="J327" t="s">
        <v>597</v>
      </c>
      <c r="K327" t="s">
        <v>1930</v>
      </c>
      <c r="L327" s="3">
        <v>45820</v>
      </c>
      <c r="M327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6.9444444444444441E-3</v>
      </c>
      <c r="N327" s="3">
        <v>45817</v>
      </c>
      <c r="O327" s="5">
        <f>IFERROR((PlanMasine[[#This Row],[Norma]]/PlanMasine[[#This Row],[Q]])*(PlanMasine[[#This Row],[Q]]/SUMIF(C:C,PlanMasine[[#This Row],[RN]],B:B)*PlanMasine[[#This Row],[KPLQ]]),0)</f>
        <v>10</v>
      </c>
      <c r="P327">
        <v>160884</v>
      </c>
      <c r="Q327">
        <f>COUNTIF(PROMJENA!A:A,PlanMasine[[#This Row],[KPL]]&amp;"-"&amp;PlanMasine[[#This Row],[RN]])</f>
        <v>0</v>
      </c>
      <c r="R327">
        <f>IFERROR(INDEX(REDOSLIJED!A:A,MATCH(PlanMasine[[#This Row],[KPL]],REDOSLIJED!B:B,0)),MAX(REDOSLIJED!A:A)+1)</f>
        <v>45</v>
      </c>
      <c r="S327" s="9">
        <f>SUM($M$2:M327)</f>
        <v>12.379027777777782</v>
      </c>
      <c r="T327" s="3">
        <f>PlanMasine[[#This Row],[Datum SAS]]-1</f>
        <v>45816</v>
      </c>
      <c r="U327">
        <f>WEEKDAY(PlanMasine[[#This Row],[ZAVRŠETAK MAŠINSKE]],2)</f>
        <v>7</v>
      </c>
      <c r="V327" s="3">
        <f>IF(WEEKDAY(PlanMasine[[#This Row],[Datum SAS]]-1,2)=7,PlanMasine[[#This Row],[Datum SAS]]-3,PlanMasine[[#This Row],[Datum SAS]]-1)</f>
        <v>45814</v>
      </c>
      <c r="W327">
        <f>WEEKNUM(PlanMasine[[#This Row],[Column2]],1)</f>
        <v>23</v>
      </c>
    </row>
    <row r="328" spans="1:23" x14ac:dyDescent="0.35">
      <c r="A328">
        <v>1018928</v>
      </c>
      <c r="B328">
        <v>1</v>
      </c>
      <c r="C328">
        <v>1018922</v>
      </c>
      <c r="D328" t="s">
        <v>583</v>
      </c>
      <c r="E328">
        <v>10</v>
      </c>
      <c r="F328">
        <v>1</v>
      </c>
      <c r="G328">
        <v>0</v>
      </c>
      <c r="H328">
        <v>0</v>
      </c>
      <c r="I328" t="s">
        <v>24</v>
      </c>
      <c r="J328" t="s">
        <v>597</v>
      </c>
      <c r="K328" t="s">
        <v>1931</v>
      </c>
      <c r="L328" s="3">
        <v>45824</v>
      </c>
      <c r="M328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6.9444444444444441E-3</v>
      </c>
      <c r="N328" s="3">
        <v>45817</v>
      </c>
      <c r="O328" s="5">
        <f>IFERROR((PlanMasine[[#This Row],[Norma]]/PlanMasine[[#This Row],[Q]])*(PlanMasine[[#This Row],[Q]]/SUMIF(C:C,PlanMasine[[#This Row],[RN]],B:B)*PlanMasine[[#This Row],[KPLQ]]),0)</f>
        <v>10</v>
      </c>
      <c r="P328">
        <v>160884</v>
      </c>
      <c r="Q328">
        <f>COUNTIF(PROMJENA!A:A,PlanMasine[[#This Row],[KPL]]&amp;"-"&amp;PlanMasine[[#This Row],[RN]])</f>
        <v>0</v>
      </c>
      <c r="R328">
        <f>IFERROR(INDEX(REDOSLIJED!A:A,MATCH(PlanMasine[[#This Row],[KPL]],REDOSLIJED!B:B,0)),MAX(REDOSLIJED!A:A)+1)</f>
        <v>45</v>
      </c>
      <c r="S328" s="9">
        <f>SUM($M$2:M328)</f>
        <v>12.385972222222227</v>
      </c>
      <c r="T328" s="3">
        <f>PlanMasine[[#This Row],[Datum SAS]]-1</f>
        <v>45816</v>
      </c>
      <c r="U328">
        <f>WEEKDAY(PlanMasine[[#This Row],[ZAVRŠETAK MAŠINSKE]],2)</f>
        <v>7</v>
      </c>
      <c r="V328" s="3">
        <f>IF(WEEKDAY(PlanMasine[[#This Row],[Datum SAS]]-1,2)=7,PlanMasine[[#This Row],[Datum SAS]]-3,PlanMasine[[#This Row],[Datum SAS]]-1)</f>
        <v>45814</v>
      </c>
      <c r="W328">
        <f>WEEKNUM(PlanMasine[[#This Row],[Column2]],1)</f>
        <v>23</v>
      </c>
    </row>
    <row r="329" spans="1:23" x14ac:dyDescent="0.35">
      <c r="A329">
        <v>1018928</v>
      </c>
      <c r="B329">
        <v>1</v>
      </c>
      <c r="C329">
        <v>1018921</v>
      </c>
      <c r="D329" t="s">
        <v>1929</v>
      </c>
      <c r="E329">
        <v>10</v>
      </c>
      <c r="F329">
        <v>1</v>
      </c>
      <c r="G329">
        <v>0</v>
      </c>
      <c r="H329">
        <v>0</v>
      </c>
      <c r="I329" t="s">
        <v>24</v>
      </c>
      <c r="J329" t="s">
        <v>597</v>
      </c>
      <c r="K329" t="s">
        <v>1931</v>
      </c>
      <c r="L329" s="3">
        <v>45824</v>
      </c>
      <c r="M329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6.9444444444444441E-3</v>
      </c>
      <c r="N329" s="3">
        <v>45817</v>
      </c>
      <c r="O329" s="5">
        <f>IFERROR((PlanMasine[[#This Row],[Norma]]/PlanMasine[[#This Row],[Q]])*(PlanMasine[[#This Row],[Q]]/SUMIF(C:C,PlanMasine[[#This Row],[RN]],B:B)*PlanMasine[[#This Row],[KPLQ]]),0)</f>
        <v>10</v>
      </c>
      <c r="P329">
        <v>160883</v>
      </c>
      <c r="Q329">
        <f>COUNTIF(PROMJENA!A:A,PlanMasine[[#This Row],[KPL]]&amp;"-"&amp;PlanMasine[[#This Row],[RN]])</f>
        <v>0</v>
      </c>
      <c r="R329">
        <f>IFERROR(INDEX(REDOSLIJED!A:A,MATCH(PlanMasine[[#This Row],[KPL]],REDOSLIJED!B:B,0)),MAX(REDOSLIJED!A:A)+1)</f>
        <v>45</v>
      </c>
      <c r="S329" s="9">
        <f>SUM($M$2:M329)</f>
        <v>12.392916666666672</v>
      </c>
      <c r="T329" s="3">
        <f>PlanMasine[[#This Row],[Datum SAS]]-1</f>
        <v>45816</v>
      </c>
      <c r="U329">
        <f>WEEKDAY(PlanMasine[[#This Row],[ZAVRŠETAK MAŠINSKE]],2)</f>
        <v>7</v>
      </c>
      <c r="V329" s="3">
        <f>IF(WEEKDAY(PlanMasine[[#This Row],[Datum SAS]]-1,2)=7,PlanMasine[[#This Row],[Datum SAS]]-3,PlanMasine[[#This Row],[Datum SAS]]-1)</f>
        <v>45814</v>
      </c>
      <c r="W329">
        <f>WEEKNUM(PlanMasine[[#This Row],[Column2]],1)</f>
        <v>23</v>
      </c>
    </row>
    <row r="330" spans="1:23" x14ac:dyDescent="0.35">
      <c r="A330">
        <v>1019337</v>
      </c>
      <c r="B330">
        <v>4</v>
      </c>
      <c r="C330">
        <v>1019339</v>
      </c>
      <c r="D330" t="s">
        <v>1932</v>
      </c>
      <c r="E330">
        <v>40</v>
      </c>
      <c r="F330">
        <v>4</v>
      </c>
      <c r="G330">
        <v>0</v>
      </c>
      <c r="H330">
        <v>0</v>
      </c>
      <c r="I330" t="s">
        <v>24</v>
      </c>
      <c r="J330" t="s">
        <v>597</v>
      </c>
      <c r="K330" t="s">
        <v>1933</v>
      </c>
      <c r="L330" s="3">
        <v>45839</v>
      </c>
      <c r="M330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2.7777777777777776E-2</v>
      </c>
      <c r="N330" s="3">
        <v>45817</v>
      </c>
      <c r="O330" s="5">
        <f>IFERROR((PlanMasine[[#This Row],[Norma]]/PlanMasine[[#This Row],[Q]])*(PlanMasine[[#This Row],[Q]]/SUMIF(C:C,PlanMasine[[#This Row],[RN]],B:B)*PlanMasine[[#This Row],[KPLQ]]),0)</f>
        <v>40</v>
      </c>
      <c r="P330">
        <v>118355</v>
      </c>
      <c r="Q330">
        <f>COUNTIF(PROMJENA!A:A,PlanMasine[[#This Row],[KPL]]&amp;"-"&amp;PlanMasine[[#This Row],[RN]])</f>
        <v>0</v>
      </c>
      <c r="R330">
        <f>IFERROR(INDEX(REDOSLIJED!A:A,MATCH(PlanMasine[[#This Row],[KPL]],REDOSLIJED!B:B,0)),MAX(REDOSLIJED!A:A)+1)</f>
        <v>45</v>
      </c>
      <c r="S330" s="9">
        <f>SUM($M$2:M330)</f>
        <v>12.42069444444445</v>
      </c>
      <c r="T330" s="3">
        <f>PlanMasine[[#This Row],[Datum SAS]]-1</f>
        <v>45816</v>
      </c>
      <c r="U330">
        <f>WEEKDAY(PlanMasine[[#This Row],[ZAVRŠETAK MAŠINSKE]],2)</f>
        <v>7</v>
      </c>
      <c r="V330" s="3">
        <f>IF(WEEKDAY(PlanMasine[[#This Row],[Datum SAS]]-1,2)=7,PlanMasine[[#This Row],[Datum SAS]]-3,PlanMasine[[#This Row],[Datum SAS]]-1)</f>
        <v>45814</v>
      </c>
      <c r="W330">
        <f>WEEKNUM(PlanMasine[[#This Row],[Column2]],1)</f>
        <v>23</v>
      </c>
    </row>
    <row r="331" spans="1:23" x14ac:dyDescent="0.35">
      <c r="A331">
        <v>1019337</v>
      </c>
      <c r="B331">
        <v>4</v>
      </c>
      <c r="C331">
        <v>1019340</v>
      </c>
      <c r="D331" t="s">
        <v>1934</v>
      </c>
      <c r="E331">
        <v>80</v>
      </c>
      <c r="F331">
        <v>4</v>
      </c>
      <c r="G331">
        <v>0</v>
      </c>
      <c r="H331">
        <v>0</v>
      </c>
      <c r="I331" t="s">
        <v>24</v>
      </c>
      <c r="J331" t="s">
        <v>597</v>
      </c>
      <c r="K331" t="s">
        <v>1933</v>
      </c>
      <c r="L331" s="3">
        <v>45839</v>
      </c>
      <c r="M331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5.5555555555555552E-2</v>
      </c>
      <c r="N331" s="3">
        <v>45817</v>
      </c>
      <c r="O331" s="5">
        <f>IFERROR((PlanMasine[[#This Row],[Norma]]/PlanMasine[[#This Row],[Q]])*(PlanMasine[[#This Row],[Q]]/SUMIF(C:C,PlanMasine[[#This Row],[RN]],B:B)*PlanMasine[[#This Row],[KPLQ]]),0)</f>
        <v>80</v>
      </c>
      <c r="P331">
        <v>118356</v>
      </c>
      <c r="Q331">
        <f>COUNTIF(PROMJENA!A:A,PlanMasine[[#This Row],[KPL]]&amp;"-"&amp;PlanMasine[[#This Row],[RN]])</f>
        <v>0</v>
      </c>
      <c r="R331">
        <f>IFERROR(INDEX(REDOSLIJED!A:A,MATCH(PlanMasine[[#This Row],[KPL]],REDOSLIJED!B:B,0)),MAX(REDOSLIJED!A:A)+1)</f>
        <v>45</v>
      </c>
      <c r="S331" s="9">
        <f>SUM($M$2:M331)</f>
        <v>12.476250000000006</v>
      </c>
      <c r="T331" s="3">
        <f>PlanMasine[[#This Row],[Datum SAS]]-1</f>
        <v>45816</v>
      </c>
      <c r="U331">
        <f>WEEKDAY(PlanMasine[[#This Row],[ZAVRŠETAK MAŠINSKE]],2)</f>
        <v>7</v>
      </c>
      <c r="V331" s="3">
        <f>IF(WEEKDAY(PlanMasine[[#This Row],[Datum SAS]]-1,2)=7,PlanMasine[[#This Row],[Datum SAS]]-3,PlanMasine[[#This Row],[Datum SAS]]-1)</f>
        <v>45814</v>
      </c>
      <c r="W331">
        <f>WEEKNUM(PlanMasine[[#This Row],[Column2]],1)</f>
        <v>23</v>
      </c>
    </row>
    <row r="332" spans="1:23" x14ac:dyDescent="0.35">
      <c r="A332">
        <v>1019337</v>
      </c>
      <c r="B332">
        <v>4</v>
      </c>
      <c r="C332">
        <v>1019356</v>
      </c>
      <c r="D332" t="s">
        <v>1935</v>
      </c>
      <c r="E332">
        <v>40</v>
      </c>
      <c r="F332">
        <v>4</v>
      </c>
      <c r="G332">
        <v>0</v>
      </c>
      <c r="H332">
        <v>0</v>
      </c>
      <c r="I332" t="s">
        <v>24</v>
      </c>
      <c r="J332" t="s">
        <v>597</v>
      </c>
      <c r="K332" t="s">
        <v>1933</v>
      </c>
      <c r="L332" s="3">
        <v>45839</v>
      </c>
      <c r="M332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2.7777777777777776E-2</v>
      </c>
      <c r="N332" s="3">
        <v>45817</v>
      </c>
      <c r="O332" s="5">
        <f>IFERROR((PlanMasine[[#This Row],[Norma]]/PlanMasine[[#This Row],[Q]])*(PlanMasine[[#This Row],[Q]]/SUMIF(C:C,PlanMasine[[#This Row],[RN]],B:B)*PlanMasine[[#This Row],[KPLQ]]),0)</f>
        <v>40</v>
      </c>
      <c r="P332">
        <v>118641</v>
      </c>
      <c r="Q332">
        <f>COUNTIF(PROMJENA!A:A,PlanMasine[[#This Row],[KPL]]&amp;"-"&amp;PlanMasine[[#This Row],[RN]])</f>
        <v>0</v>
      </c>
      <c r="R332">
        <f>IFERROR(INDEX(REDOSLIJED!A:A,MATCH(PlanMasine[[#This Row],[KPL]],REDOSLIJED!B:B,0)),MAX(REDOSLIJED!A:A)+1)</f>
        <v>45</v>
      </c>
      <c r="S332" s="9">
        <f>SUM($M$2:M332)</f>
        <v>12.504027777777784</v>
      </c>
      <c r="T332" s="3">
        <f>PlanMasine[[#This Row],[Datum SAS]]-1</f>
        <v>45816</v>
      </c>
      <c r="U332">
        <f>WEEKDAY(PlanMasine[[#This Row],[ZAVRŠETAK MAŠINSKE]],2)</f>
        <v>7</v>
      </c>
      <c r="V332" s="3">
        <f>IF(WEEKDAY(PlanMasine[[#This Row],[Datum SAS]]-1,2)=7,PlanMasine[[#This Row],[Datum SAS]]-3,PlanMasine[[#This Row],[Datum SAS]]-1)</f>
        <v>45814</v>
      </c>
      <c r="W332">
        <f>WEEKNUM(PlanMasine[[#This Row],[Column2]],1)</f>
        <v>23</v>
      </c>
    </row>
    <row r="333" spans="1:23" x14ac:dyDescent="0.35">
      <c r="A333">
        <v>1019362</v>
      </c>
      <c r="B333">
        <v>2</v>
      </c>
      <c r="C333">
        <v>1019367</v>
      </c>
      <c r="D333" t="s">
        <v>1660</v>
      </c>
      <c r="E333">
        <v>30</v>
      </c>
      <c r="F333">
        <v>2</v>
      </c>
      <c r="G333">
        <v>0</v>
      </c>
      <c r="H333">
        <v>0</v>
      </c>
      <c r="I333" t="s">
        <v>24</v>
      </c>
      <c r="J333" t="s">
        <v>597</v>
      </c>
      <c r="K333" t="s">
        <v>1936</v>
      </c>
      <c r="L333" s="3">
        <v>45839</v>
      </c>
      <c r="M333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2.0833333333333332E-2</v>
      </c>
      <c r="N333" s="3">
        <v>45817</v>
      </c>
      <c r="O333" s="5">
        <f>IFERROR((PlanMasine[[#This Row],[Norma]]/PlanMasine[[#This Row],[Q]])*(PlanMasine[[#This Row],[Q]]/SUMIF(C:C,PlanMasine[[#This Row],[RN]],B:B)*PlanMasine[[#This Row],[KPLQ]]),0)</f>
        <v>30</v>
      </c>
      <c r="P333">
        <v>135508</v>
      </c>
      <c r="Q333">
        <f>COUNTIF(PROMJENA!A:A,PlanMasine[[#This Row],[KPL]]&amp;"-"&amp;PlanMasine[[#This Row],[RN]])</f>
        <v>0</v>
      </c>
      <c r="R333">
        <f>IFERROR(INDEX(REDOSLIJED!A:A,MATCH(PlanMasine[[#This Row],[KPL]],REDOSLIJED!B:B,0)),MAX(REDOSLIJED!A:A)+1)</f>
        <v>45</v>
      </c>
      <c r="S333" s="9">
        <f>SUM($M$2:M333)</f>
        <v>12.524861111111118</v>
      </c>
      <c r="T333" s="3">
        <f>PlanMasine[[#This Row],[Datum SAS]]-1</f>
        <v>45816</v>
      </c>
      <c r="U333">
        <f>WEEKDAY(PlanMasine[[#This Row],[ZAVRŠETAK MAŠINSKE]],2)</f>
        <v>7</v>
      </c>
      <c r="V333" s="3">
        <f>IF(WEEKDAY(PlanMasine[[#This Row],[Datum SAS]]-1,2)=7,PlanMasine[[#This Row],[Datum SAS]]-3,PlanMasine[[#This Row],[Datum SAS]]-1)</f>
        <v>45814</v>
      </c>
      <c r="W333">
        <f>WEEKNUM(PlanMasine[[#This Row],[Column2]],1)</f>
        <v>23</v>
      </c>
    </row>
    <row r="334" spans="1:23" x14ac:dyDescent="0.35">
      <c r="A334">
        <v>1019362</v>
      </c>
      <c r="B334">
        <v>2</v>
      </c>
      <c r="C334">
        <v>1019374</v>
      </c>
      <c r="D334" t="s">
        <v>1658</v>
      </c>
      <c r="E334">
        <v>10</v>
      </c>
      <c r="F334">
        <v>2</v>
      </c>
      <c r="G334">
        <v>0</v>
      </c>
      <c r="H334">
        <v>0</v>
      </c>
      <c r="I334" t="s">
        <v>24</v>
      </c>
      <c r="J334" t="s">
        <v>597</v>
      </c>
      <c r="K334" t="s">
        <v>1936</v>
      </c>
      <c r="L334" s="3">
        <v>45839</v>
      </c>
      <c r="M334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6.9444444444444441E-3</v>
      </c>
      <c r="N334" s="3">
        <v>45817</v>
      </c>
      <c r="O334" s="5">
        <f>IFERROR((PlanMasine[[#This Row],[Norma]]/PlanMasine[[#This Row],[Q]])*(PlanMasine[[#This Row],[Q]]/SUMIF(C:C,PlanMasine[[#This Row],[RN]],B:B)*PlanMasine[[#This Row],[KPLQ]]),0)</f>
        <v>10</v>
      </c>
      <c r="P334">
        <v>135515</v>
      </c>
      <c r="Q334">
        <f>COUNTIF(PROMJENA!A:A,PlanMasine[[#This Row],[KPL]]&amp;"-"&amp;PlanMasine[[#This Row],[RN]])</f>
        <v>0</v>
      </c>
      <c r="R334">
        <f>IFERROR(INDEX(REDOSLIJED!A:A,MATCH(PlanMasine[[#This Row],[KPL]],REDOSLIJED!B:B,0)),MAX(REDOSLIJED!A:A)+1)</f>
        <v>45</v>
      </c>
      <c r="S334" s="9">
        <f>SUM($M$2:M334)</f>
        <v>12.531805555555563</v>
      </c>
      <c r="T334" s="3">
        <f>PlanMasine[[#This Row],[Datum SAS]]-1</f>
        <v>45816</v>
      </c>
      <c r="U334">
        <f>WEEKDAY(PlanMasine[[#This Row],[ZAVRŠETAK MAŠINSKE]],2)</f>
        <v>7</v>
      </c>
      <c r="V334" s="3">
        <f>IF(WEEKDAY(PlanMasine[[#This Row],[Datum SAS]]-1,2)=7,PlanMasine[[#This Row],[Datum SAS]]-3,PlanMasine[[#This Row],[Datum SAS]]-1)</f>
        <v>45814</v>
      </c>
      <c r="W334">
        <f>WEEKNUM(PlanMasine[[#This Row],[Column2]],1)</f>
        <v>23</v>
      </c>
    </row>
    <row r="335" spans="1:23" x14ac:dyDescent="0.35">
      <c r="A335">
        <v>1019362</v>
      </c>
      <c r="B335">
        <v>2</v>
      </c>
      <c r="C335">
        <v>1019366</v>
      </c>
      <c r="D335" t="s">
        <v>1659</v>
      </c>
      <c r="E335">
        <v>60</v>
      </c>
      <c r="F335">
        <v>2</v>
      </c>
      <c r="G335">
        <v>0</v>
      </c>
      <c r="H335">
        <v>0</v>
      </c>
      <c r="I335" t="s">
        <v>24</v>
      </c>
      <c r="J335" t="s">
        <v>597</v>
      </c>
      <c r="K335" t="s">
        <v>1936</v>
      </c>
      <c r="L335" s="3">
        <v>45839</v>
      </c>
      <c r="M335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4.1666666666666664E-2</v>
      </c>
      <c r="N335" s="3">
        <v>45817</v>
      </c>
      <c r="O335" s="5">
        <f>IFERROR((PlanMasine[[#This Row],[Norma]]/PlanMasine[[#This Row],[Q]])*(PlanMasine[[#This Row],[Q]]/SUMIF(C:C,PlanMasine[[#This Row],[RN]],B:B)*PlanMasine[[#This Row],[KPLQ]]),0)</f>
        <v>60</v>
      </c>
      <c r="P335">
        <v>135507</v>
      </c>
      <c r="Q335">
        <f>COUNTIF(PROMJENA!A:A,PlanMasine[[#This Row],[KPL]]&amp;"-"&amp;PlanMasine[[#This Row],[RN]])</f>
        <v>0</v>
      </c>
      <c r="R335">
        <f>IFERROR(INDEX(REDOSLIJED!A:A,MATCH(PlanMasine[[#This Row],[KPL]],REDOSLIJED!B:B,0)),MAX(REDOSLIJED!A:A)+1)</f>
        <v>45</v>
      </c>
      <c r="S335" s="9">
        <f>SUM($M$2:M335)</f>
        <v>12.573472222222229</v>
      </c>
      <c r="T335" s="3">
        <f>PlanMasine[[#This Row],[Datum SAS]]-1</f>
        <v>45816</v>
      </c>
      <c r="U335">
        <f>WEEKDAY(PlanMasine[[#This Row],[ZAVRŠETAK MAŠINSKE]],2)</f>
        <v>7</v>
      </c>
      <c r="V335" s="3">
        <f>IF(WEEKDAY(PlanMasine[[#This Row],[Datum SAS]]-1,2)=7,PlanMasine[[#This Row],[Datum SAS]]-3,PlanMasine[[#This Row],[Datum SAS]]-1)</f>
        <v>45814</v>
      </c>
      <c r="W335">
        <f>WEEKNUM(PlanMasine[[#This Row],[Column2]],1)</f>
        <v>23</v>
      </c>
    </row>
    <row r="336" spans="1:23" x14ac:dyDescent="0.35">
      <c r="A336">
        <v>1020126</v>
      </c>
      <c r="B336">
        <v>1</v>
      </c>
      <c r="C336">
        <v>1020128</v>
      </c>
      <c r="D336" t="s">
        <v>611</v>
      </c>
      <c r="E336">
        <v>30</v>
      </c>
      <c r="F336">
        <v>2</v>
      </c>
      <c r="G336">
        <v>0</v>
      </c>
      <c r="H336">
        <v>0</v>
      </c>
      <c r="I336" t="s">
        <v>24</v>
      </c>
      <c r="J336" t="s">
        <v>597</v>
      </c>
      <c r="K336" t="s">
        <v>1937</v>
      </c>
      <c r="L336" s="3">
        <v>45838</v>
      </c>
      <c r="M336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1.0416666666666666E-2</v>
      </c>
      <c r="N336" s="3">
        <v>45817</v>
      </c>
      <c r="O336" s="5">
        <f>IFERROR((PlanMasine[[#This Row],[Norma]]/PlanMasine[[#This Row],[Q]])*(PlanMasine[[#This Row],[Q]]/SUMIF(C:C,PlanMasine[[#This Row],[RN]],B:B)*PlanMasine[[#This Row],[KPLQ]]),0)</f>
        <v>15</v>
      </c>
      <c r="P336">
        <v>182176</v>
      </c>
      <c r="Q336">
        <f>COUNTIF(PROMJENA!A:A,PlanMasine[[#This Row],[KPL]]&amp;"-"&amp;PlanMasine[[#This Row],[RN]])</f>
        <v>0</v>
      </c>
      <c r="R336">
        <f>IFERROR(INDEX(REDOSLIJED!A:A,MATCH(PlanMasine[[#This Row],[KPL]],REDOSLIJED!B:B,0)),MAX(REDOSLIJED!A:A)+1)</f>
        <v>45</v>
      </c>
      <c r="S336" s="9">
        <f>SUM($M$2:M336)</f>
        <v>12.583888888888895</v>
      </c>
      <c r="T336" s="3">
        <f>PlanMasine[[#This Row],[Datum SAS]]-1</f>
        <v>45816</v>
      </c>
      <c r="U336">
        <f>WEEKDAY(PlanMasine[[#This Row],[ZAVRŠETAK MAŠINSKE]],2)</f>
        <v>7</v>
      </c>
      <c r="V336" s="3">
        <f>IF(WEEKDAY(PlanMasine[[#This Row],[Datum SAS]]-1,2)=7,PlanMasine[[#This Row],[Datum SAS]]-3,PlanMasine[[#This Row],[Datum SAS]]-1)</f>
        <v>45814</v>
      </c>
      <c r="W336">
        <f>WEEKNUM(PlanMasine[[#This Row],[Column2]],1)</f>
        <v>23</v>
      </c>
    </row>
    <row r="337" spans="1:23" x14ac:dyDescent="0.35">
      <c r="A337">
        <v>1020126</v>
      </c>
      <c r="B337">
        <v>1</v>
      </c>
      <c r="C337">
        <v>1020135</v>
      </c>
      <c r="D337" t="s">
        <v>1765</v>
      </c>
      <c r="E337">
        <v>26</v>
      </c>
      <c r="F337">
        <v>2</v>
      </c>
      <c r="G337">
        <v>0</v>
      </c>
      <c r="H337">
        <v>0</v>
      </c>
      <c r="I337" t="s">
        <v>24</v>
      </c>
      <c r="J337" t="s">
        <v>597</v>
      </c>
      <c r="K337" t="s">
        <v>1937</v>
      </c>
      <c r="L337" s="3">
        <v>45838</v>
      </c>
      <c r="M337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9.0277777777777769E-3</v>
      </c>
      <c r="N337" s="3">
        <v>45817</v>
      </c>
      <c r="O337" s="5">
        <f>IFERROR((PlanMasine[[#This Row],[Norma]]/PlanMasine[[#This Row],[Q]])*(PlanMasine[[#This Row],[Q]]/SUMIF(C:C,PlanMasine[[#This Row],[RN]],B:B)*PlanMasine[[#This Row],[KPLQ]]),0)</f>
        <v>13</v>
      </c>
      <c r="P337">
        <v>182183</v>
      </c>
      <c r="Q337">
        <f>COUNTIF(PROMJENA!A:A,PlanMasine[[#This Row],[KPL]]&amp;"-"&amp;PlanMasine[[#This Row],[RN]])</f>
        <v>0</v>
      </c>
      <c r="R337">
        <f>IFERROR(INDEX(REDOSLIJED!A:A,MATCH(PlanMasine[[#This Row],[KPL]],REDOSLIJED!B:B,0)),MAX(REDOSLIJED!A:A)+1)</f>
        <v>45</v>
      </c>
      <c r="S337" s="9">
        <f>SUM($M$2:M337)</f>
        <v>12.592916666666673</v>
      </c>
      <c r="T337" s="3">
        <f>PlanMasine[[#This Row],[Datum SAS]]-1</f>
        <v>45816</v>
      </c>
      <c r="U337">
        <f>WEEKDAY(PlanMasine[[#This Row],[ZAVRŠETAK MAŠINSKE]],2)</f>
        <v>7</v>
      </c>
      <c r="V337" s="3">
        <f>IF(WEEKDAY(PlanMasine[[#This Row],[Datum SAS]]-1,2)=7,PlanMasine[[#This Row],[Datum SAS]]-3,PlanMasine[[#This Row],[Datum SAS]]-1)</f>
        <v>45814</v>
      </c>
      <c r="W337">
        <f>WEEKNUM(PlanMasine[[#This Row],[Column2]],1)</f>
        <v>23</v>
      </c>
    </row>
    <row r="338" spans="1:23" x14ac:dyDescent="0.35">
      <c r="A338">
        <v>1020126</v>
      </c>
      <c r="B338">
        <v>1</v>
      </c>
      <c r="C338">
        <v>1020136</v>
      </c>
      <c r="D338" t="s">
        <v>1764</v>
      </c>
      <c r="E338">
        <v>30</v>
      </c>
      <c r="F338">
        <v>2</v>
      </c>
      <c r="G338">
        <v>0</v>
      </c>
      <c r="H338">
        <v>0</v>
      </c>
      <c r="I338" t="s">
        <v>24</v>
      </c>
      <c r="J338" t="s">
        <v>597</v>
      </c>
      <c r="K338" t="s">
        <v>1937</v>
      </c>
      <c r="L338" s="3">
        <v>45838</v>
      </c>
      <c r="M338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1.0416666666666666E-2</v>
      </c>
      <c r="N338" s="3">
        <v>45817</v>
      </c>
      <c r="O338" s="5">
        <f>IFERROR((PlanMasine[[#This Row],[Norma]]/PlanMasine[[#This Row],[Q]])*(PlanMasine[[#This Row],[Q]]/SUMIF(C:C,PlanMasine[[#This Row],[RN]],B:B)*PlanMasine[[#This Row],[KPLQ]]),0)</f>
        <v>15</v>
      </c>
      <c r="P338">
        <v>182184</v>
      </c>
      <c r="Q338">
        <f>COUNTIF(PROMJENA!A:A,PlanMasine[[#This Row],[KPL]]&amp;"-"&amp;PlanMasine[[#This Row],[RN]])</f>
        <v>0</v>
      </c>
      <c r="R338">
        <f>IFERROR(INDEX(REDOSLIJED!A:A,MATCH(PlanMasine[[#This Row],[KPL]],REDOSLIJED!B:B,0)),MAX(REDOSLIJED!A:A)+1)</f>
        <v>45</v>
      </c>
      <c r="S338" s="9">
        <f>SUM($M$2:M338)</f>
        <v>12.603333333333339</v>
      </c>
      <c r="T338" s="3">
        <f>PlanMasine[[#This Row],[Datum SAS]]-1</f>
        <v>45816</v>
      </c>
      <c r="U338">
        <f>WEEKDAY(PlanMasine[[#This Row],[ZAVRŠETAK MAŠINSKE]],2)</f>
        <v>7</v>
      </c>
      <c r="V338" s="3">
        <f>IF(WEEKDAY(PlanMasine[[#This Row],[Datum SAS]]-1,2)=7,PlanMasine[[#This Row],[Datum SAS]]-3,PlanMasine[[#This Row],[Datum SAS]]-1)</f>
        <v>45814</v>
      </c>
      <c r="W338">
        <f>WEEKNUM(PlanMasine[[#This Row],[Column2]],1)</f>
        <v>23</v>
      </c>
    </row>
    <row r="339" spans="1:23" x14ac:dyDescent="0.35">
      <c r="A339">
        <v>1020126</v>
      </c>
      <c r="B339">
        <v>1</v>
      </c>
      <c r="C339">
        <v>1020133</v>
      </c>
      <c r="D339" t="s">
        <v>1762</v>
      </c>
      <c r="E339">
        <v>30</v>
      </c>
      <c r="F339">
        <v>2</v>
      </c>
      <c r="G339">
        <v>0</v>
      </c>
      <c r="H339">
        <v>0</v>
      </c>
      <c r="I339" t="s">
        <v>24</v>
      </c>
      <c r="J339" t="s">
        <v>597</v>
      </c>
      <c r="K339" t="s">
        <v>1937</v>
      </c>
      <c r="L339" s="3">
        <v>45838</v>
      </c>
      <c r="M339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1.0416666666666666E-2</v>
      </c>
      <c r="N339" s="3">
        <v>45817</v>
      </c>
      <c r="O339" s="5">
        <f>IFERROR((PlanMasine[[#This Row],[Norma]]/PlanMasine[[#This Row],[Q]])*(PlanMasine[[#This Row],[Q]]/SUMIF(C:C,PlanMasine[[#This Row],[RN]],B:B)*PlanMasine[[#This Row],[KPLQ]]),0)</f>
        <v>15</v>
      </c>
      <c r="P339">
        <v>182181</v>
      </c>
      <c r="Q339">
        <f>COUNTIF(PROMJENA!A:A,PlanMasine[[#This Row],[KPL]]&amp;"-"&amp;PlanMasine[[#This Row],[RN]])</f>
        <v>0</v>
      </c>
      <c r="R339">
        <f>IFERROR(INDEX(REDOSLIJED!A:A,MATCH(PlanMasine[[#This Row],[KPL]],REDOSLIJED!B:B,0)),MAX(REDOSLIJED!A:A)+1)</f>
        <v>45</v>
      </c>
      <c r="S339" s="9">
        <f>SUM($M$2:M339)</f>
        <v>12.613750000000005</v>
      </c>
      <c r="T339" s="3">
        <f>PlanMasine[[#This Row],[Datum SAS]]-1</f>
        <v>45816</v>
      </c>
      <c r="U339">
        <f>WEEKDAY(PlanMasine[[#This Row],[ZAVRŠETAK MAŠINSKE]],2)</f>
        <v>7</v>
      </c>
      <c r="V339" s="3">
        <f>IF(WEEKDAY(PlanMasine[[#This Row],[Datum SAS]]-1,2)=7,PlanMasine[[#This Row],[Datum SAS]]-3,PlanMasine[[#This Row],[Datum SAS]]-1)</f>
        <v>45814</v>
      </c>
      <c r="W339">
        <f>WEEKNUM(PlanMasine[[#This Row],[Column2]],1)</f>
        <v>23</v>
      </c>
    </row>
    <row r="340" spans="1:23" x14ac:dyDescent="0.35">
      <c r="A340">
        <v>1020126</v>
      </c>
      <c r="B340">
        <v>1</v>
      </c>
      <c r="C340">
        <v>1020134</v>
      </c>
      <c r="D340" t="s">
        <v>1763</v>
      </c>
      <c r="E340">
        <v>30</v>
      </c>
      <c r="F340">
        <v>2</v>
      </c>
      <c r="G340">
        <v>0</v>
      </c>
      <c r="H340">
        <v>0</v>
      </c>
      <c r="I340" t="s">
        <v>24</v>
      </c>
      <c r="J340" t="s">
        <v>597</v>
      </c>
      <c r="K340" t="s">
        <v>1937</v>
      </c>
      <c r="L340" s="3">
        <v>45838</v>
      </c>
      <c r="M340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1.0416666666666666E-2</v>
      </c>
      <c r="N340" s="3">
        <v>45817</v>
      </c>
      <c r="O340" s="5">
        <f>IFERROR((PlanMasine[[#This Row],[Norma]]/PlanMasine[[#This Row],[Q]])*(PlanMasine[[#This Row],[Q]]/SUMIF(C:C,PlanMasine[[#This Row],[RN]],B:B)*PlanMasine[[#This Row],[KPLQ]]),0)</f>
        <v>15</v>
      </c>
      <c r="P340">
        <v>182182</v>
      </c>
      <c r="Q340">
        <f>COUNTIF(PROMJENA!A:A,PlanMasine[[#This Row],[KPL]]&amp;"-"&amp;PlanMasine[[#This Row],[RN]])</f>
        <v>0</v>
      </c>
      <c r="R340">
        <f>IFERROR(INDEX(REDOSLIJED!A:A,MATCH(PlanMasine[[#This Row],[KPL]],REDOSLIJED!B:B,0)),MAX(REDOSLIJED!A:A)+1)</f>
        <v>45</v>
      </c>
      <c r="S340" s="9">
        <f>SUM($M$2:M340)</f>
        <v>12.624166666666671</v>
      </c>
      <c r="T340" s="3">
        <f>PlanMasine[[#This Row],[Datum SAS]]-1</f>
        <v>45816</v>
      </c>
      <c r="U340">
        <f>WEEKDAY(PlanMasine[[#This Row],[ZAVRŠETAK MAŠINSKE]],2)</f>
        <v>7</v>
      </c>
      <c r="V340" s="3">
        <f>IF(WEEKDAY(PlanMasine[[#This Row],[Datum SAS]]-1,2)=7,PlanMasine[[#This Row],[Datum SAS]]-3,PlanMasine[[#This Row],[Datum SAS]]-1)</f>
        <v>45814</v>
      </c>
      <c r="W340">
        <f>WEEKNUM(PlanMasine[[#This Row],[Column2]],1)</f>
        <v>23</v>
      </c>
    </row>
    <row r="341" spans="1:23" x14ac:dyDescent="0.35">
      <c r="A341">
        <v>1020127</v>
      </c>
      <c r="B341">
        <v>1</v>
      </c>
      <c r="C341">
        <v>1020128</v>
      </c>
      <c r="D341" t="s">
        <v>611</v>
      </c>
      <c r="E341">
        <v>30</v>
      </c>
      <c r="F341">
        <v>2</v>
      </c>
      <c r="G341">
        <v>0</v>
      </c>
      <c r="H341">
        <v>0</v>
      </c>
      <c r="I341" t="s">
        <v>24</v>
      </c>
      <c r="J341" t="s">
        <v>597</v>
      </c>
      <c r="K341" t="s">
        <v>1937</v>
      </c>
      <c r="L341" s="3">
        <v>45838</v>
      </c>
      <c r="M341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1.0416666666666666E-2</v>
      </c>
      <c r="N341" s="3">
        <v>45817</v>
      </c>
      <c r="O341" s="5">
        <f>IFERROR((PlanMasine[[#This Row],[Norma]]/PlanMasine[[#This Row],[Q]])*(PlanMasine[[#This Row],[Q]]/SUMIF(C:C,PlanMasine[[#This Row],[RN]],B:B)*PlanMasine[[#This Row],[KPLQ]]),0)</f>
        <v>15</v>
      </c>
      <c r="P341">
        <v>182176</v>
      </c>
      <c r="Q341">
        <f>COUNTIF(PROMJENA!A:A,PlanMasine[[#This Row],[KPL]]&amp;"-"&amp;PlanMasine[[#This Row],[RN]])</f>
        <v>0</v>
      </c>
      <c r="R341">
        <f>IFERROR(INDEX(REDOSLIJED!A:A,MATCH(PlanMasine[[#This Row],[KPL]],REDOSLIJED!B:B,0)),MAX(REDOSLIJED!A:A)+1)</f>
        <v>45</v>
      </c>
      <c r="S341" s="9">
        <f>SUM($M$2:M341)</f>
        <v>12.634583333333337</v>
      </c>
      <c r="T341" s="3">
        <f>PlanMasine[[#This Row],[Datum SAS]]-1</f>
        <v>45816</v>
      </c>
      <c r="U341">
        <f>WEEKDAY(PlanMasine[[#This Row],[ZAVRŠETAK MAŠINSKE]],2)</f>
        <v>7</v>
      </c>
      <c r="V341" s="3">
        <f>IF(WEEKDAY(PlanMasine[[#This Row],[Datum SAS]]-1,2)=7,PlanMasine[[#This Row],[Datum SAS]]-3,PlanMasine[[#This Row],[Datum SAS]]-1)</f>
        <v>45814</v>
      </c>
      <c r="W341">
        <f>WEEKNUM(PlanMasine[[#This Row],[Column2]],1)</f>
        <v>23</v>
      </c>
    </row>
    <row r="342" spans="1:23" x14ac:dyDescent="0.35">
      <c r="A342">
        <v>1020127</v>
      </c>
      <c r="B342">
        <v>1</v>
      </c>
      <c r="C342">
        <v>1020133</v>
      </c>
      <c r="D342" t="s">
        <v>1762</v>
      </c>
      <c r="E342">
        <v>30</v>
      </c>
      <c r="F342">
        <v>2</v>
      </c>
      <c r="G342">
        <v>0</v>
      </c>
      <c r="H342">
        <v>0</v>
      </c>
      <c r="I342" t="s">
        <v>24</v>
      </c>
      <c r="J342" t="s">
        <v>597</v>
      </c>
      <c r="K342" t="s">
        <v>1937</v>
      </c>
      <c r="L342" s="3">
        <v>45838</v>
      </c>
      <c r="M342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1.0416666666666666E-2</v>
      </c>
      <c r="N342" s="3">
        <v>45817</v>
      </c>
      <c r="O342" s="5">
        <f>IFERROR((PlanMasine[[#This Row],[Norma]]/PlanMasine[[#This Row],[Q]])*(PlanMasine[[#This Row],[Q]]/SUMIF(C:C,PlanMasine[[#This Row],[RN]],B:B)*PlanMasine[[#This Row],[KPLQ]]),0)</f>
        <v>15</v>
      </c>
      <c r="P342">
        <v>182181</v>
      </c>
      <c r="Q342">
        <f>COUNTIF(PROMJENA!A:A,PlanMasine[[#This Row],[KPL]]&amp;"-"&amp;PlanMasine[[#This Row],[RN]])</f>
        <v>0</v>
      </c>
      <c r="R342">
        <f>IFERROR(INDEX(REDOSLIJED!A:A,MATCH(PlanMasine[[#This Row],[KPL]],REDOSLIJED!B:B,0)),MAX(REDOSLIJED!A:A)+1)</f>
        <v>45</v>
      </c>
      <c r="S342" s="9">
        <f>SUM($M$2:M342)</f>
        <v>12.645000000000003</v>
      </c>
      <c r="T342" s="3">
        <f>PlanMasine[[#This Row],[Datum SAS]]-1</f>
        <v>45816</v>
      </c>
      <c r="U342">
        <f>WEEKDAY(PlanMasine[[#This Row],[ZAVRŠETAK MAŠINSKE]],2)</f>
        <v>7</v>
      </c>
      <c r="V342" s="3">
        <f>IF(WEEKDAY(PlanMasine[[#This Row],[Datum SAS]]-1,2)=7,PlanMasine[[#This Row],[Datum SAS]]-3,PlanMasine[[#This Row],[Datum SAS]]-1)</f>
        <v>45814</v>
      </c>
      <c r="W342">
        <f>WEEKNUM(PlanMasine[[#This Row],[Column2]],1)</f>
        <v>23</v>
      </c>
    </row>
    <row r="343" spans="1:23" x14ac:dyDescent="0.35">
      <c r="A343">
        <v>1020127</v>
      </c>
      <c r="B343">
        <v>1</v>
      </c>
      <c r="C343">
        <v>1020134</v>
      </c>
      <c r="D343" t="s">
        <v>1763</v>
      </c>
      <c r="E343">
        <v>30</v>
      </c>
      <c r="F343">
        <v>2</v>
      </c>
      <c r="G343">
        <v>0</v>
      </c>
      <c r="H343">
        <v>0</v>
      </c>
      <c r="I343" t="s">
        <v>24</v>
      </c>
      <c r="J343" t="s">
        <v>597</v>
      </c>
      <c r="K343" t="s">
        <v>1937</v>
      </c>
      <c r="L343" s="3">
        <v>45838</v>
      </c>
      <c r="M343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1.0416666666666666E-2</v>
      </c>
      <c r="N343" s="3">
        <v>45817</v>
      </c>
      <c r="O343" s="5">
        <f>IFERROR((PlanMasine[[#This Row],[Norma]]/PlanMasine[[#This Row],[Q]])*(PlanMasine[[#This Row],[Q]]/SUMIF(C:C,PlanMasine[[#This Row],[RN]],B:B)*PlanMasine[[#This Row],[KPLQ]]),0)</f>
        <v>15</v>
      </c>
      <c r="P343">
        <v>182182</v>
      </c>
      <c r="Q343">
        <f>COUNTIF(PROMJENA!A:A,PlanMasine[[#This Row],[KPL]]&amp;"-"&amp;PlanMasine[[#This Row],[RN]])</f>
        <v>0</v>
      </c>
      <c r="R343">
        <f>IFERROR(INDEX(REDOSLIJED!A:A,MATCH(PlanMasine[[#This Row],[KPL]],REDOSLIJED!B:B,0)),MAX(REDOSLIJED!A:A)+1)</f>
        <v>45</v>
      </c>
      <c r="S343" s="9">
        <f>SUM($M$2:M343)</f>
        <v>12.655416666666669</v>
      </c>
      <c r="T343" s="3">
        <f>PlanMasine[[#This Row],[Datum SAS]]-1</f>
        <v>45816</v>
      </c>
      <c r="U343">
        <f>WEEKDAY(PlanMasine[[#This Row],[ZAVRŠETAK MAŠINSKE]],2)</f>
        <v>7</v>
      </c>
      <c r="V343" s="3">
        <f>IF(WEEKDAY(PlanMasine[[#This Row],[Datum SAS]]-1,2)=7,PlanMasine[[#This Row],[Datum SAS]]-3,PlanMasine[[#This Row],[Datum SAS]]-1)</f>
        <v>45814</v>
      </c>
      <c r="W343">
        <f>WEEKNUM(PlanMasine[[#This Row],[Column2]],1)</f>
        <v>23</v>
      </c>
    </row>
    <row r="344" spans="1:23" x14ac:dyDescent="0.35">
      <c r="A344">
        <v>1020127</v>
      </c>
      <c r="B344">
        <v>1</v>
      </c>
      <c r="C344">
        <v>1020135</v>
      </c>
      <c r="D344" t="s">
        <v>1765</v>
      </c>
      <c r="E344">
        <v>26</v>
      </c>
      <c r="F344">
        <v>2</v>
      </c>
      <c r="G344">
        <v>0</v>
      </c>
      <c r="H344">
        <v>0</v>
      </c>
      <c r="I344" t="s">
        <v>24</v>
      </c>
      <c r="J344" t="s">
        <v>597</v>
      </c>
      <c r="K344" t="s">
        <v>1937</v>
      </c>
      <c r="L344" s="3">
        <v>45838</v>
      </c>
      <c r="M344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9.0277777777777769E-3</v>
      </c>
      <c r="N344" s="3">
        <v>45817</v>
      </c>
      <c r="O344" s="5">
        <f>IFERROR((PlanMasine[[#This Row],[Norma]]/PlanMasine[[#This Row],[Q]])*(PlanMasine[[#This Row],[Q]]/SUMIF(C:C,PlanMasine[[#This Row],[RN]],B:B)*PlanMasine[[#This Row],[KPLQ]]),0)</f>
        <v>13</v>
      </c>
      <c r="P344">
        <v>182183</v>
      </c>
      <c r="Q344">
        <f>COUNTIF(PROMJENA!A:A,PlanMasine[[#This Row],[KPL]]&amp;"-"&amp;PlanMasine[[#This Row],[RN]])</f>
        <v>0</v>
      </c>
      <c r="R344">
        <f>IFERROR(INDEX(REDOSLIJED!A:A,MATCH(PlanMasine[[#This Row],[KPL]],REDOSLIJED!B:B,0)),MAX(REDOSLIJED!A:A)+1)</f>
        <v>45</v>
      </c>
      <c r="S344" s="9">
        <f>SUM($M$2:M344)</f>
        <v>12.664444444444447</v>
      </c>
      <c r="T344" s="3">
        <f>PlanMasine[[#This Row],[Datum SAS]]-1</f>
        <v>45816</v>
      </c>
      <c r="U344">
        <f>WEEKDAY(PlanMasine[[#This Row],[ZAVRŠETAK MAŠINSKE]],2)</f>
        <v>7</v>
      </c>
      <c r="V344" s="3">
        <f>IF(WEEKDAY(PlanMasine[[#This Row],[Datum SAS]]-1,2)=7,PlanMasine[[#This Row],[Datum SAS]]-3,PlanMasine[[#This Row],[Datum SAS]]-1)</f>
        <v>45814</v>
      </c>
      <c r="W344">
        <f>WEEKNUM(PlanMasine[[#This Row],[Column2]],1)</f>
        <v>23</v>
      </c>
    </row>
    <row r="345" spans="1:23" x14ac:dyDescent="0.35">
      <c r="A345">
        <v>1020127</v>
      </c>
      <c r="B345">
        <v>1</v>
      </c>
      <c r="C345">
        <v>1020136</v>
      </c>
      <c r="D345" t="s">
        <v>1764</v>
      </c>
      <c r="E345">
        <v>30</v>
      </c>
      <c r="F345">
        <v>2</v>
      </c>
      <c r="G345">
        <v>0</v>
      </c>
      <c r="H345">
        <v>0</v>
      </c>
      <c r="I345" t="s">
        <v>24</v>
      </c>
      <c r="J345" t="s">
        <v>597</v>
      </c>
      <c r="K345" t="s">
        <v>1937</v>
      </c>
      <c r="L345" s="3">
        <v>45838</v>
      </c>
      <c r="M345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1.0416666666666666E-2</v>
      </c>
      <c r="N345" s="3">
        <v>45817</v>
      </c>
      <c r="O345" s="5">
        <f>IFERROR((PlanMasine[[#This Row],[Norma]]/PlanMasine[[#This Row],[Q]])*(PlanMasine[[#This Row],[Q]]/SUMIF(C:C,PlanMasine[[#This Row],[RN]],B:B)*PlanMasine[[#This Row],[KPLQ]]),0)</f>
        <v>15</v>
      </c>
      <c r="P345">
        <v>182184</v>
      </c>
      <c r="Q345">
        <f>COUNTIF(PROMJENA!A:A,PlanMasine[[#This Row],[KPL]]&amp;"-"&amp;PlanMasine[[#This Row],[RN]])</f>
        <v>0</v>
      </c>
      <c r="R345">
        <f>IFERROR(INDEX(REDOSLIJED!A:A,MATCH(PlanMasine[[#This Row],[KPL]],REDOSLIJED!B:B,0)),MAX(REDOSLIJED!A:A)+1)</f>
        <v>45</v>
      </c>
      <c r="S345" s="9">
        <f>SUM($M$2:M345)</f>
        <v>12.674861111111113</v>
      </c>
      <c r="T345" s="3">
        <f>PlanMasine[[#This Row],[Datum SAS]]-1</f>
        <v>45816</v>
      </c>
      <c r="U345">
        <f>WEEKDAY(PlanMasine[[#This Row],[ZAVRŠETAK MAŠINSKE]],2)</f>
        <v>7</v>
      </c>
      <c r="V345" s="3">
        <f>IF(WEEKDAY(PlanMasine[[#This Row],[Datum SAS]]-1,2)=7,PlanMasine[[#This Row],[Datum SAS]]-3,PlanMasine[[#This Row],[Datum SAS]]-1)</f>
        <v>45814</v>
      </c>
      <c r="W345">
        <f>WEEKNUM(PlanMasine[[#This Row],[Column2]],1)</f>
        <v>23</v>
      </c>
    </row>
    <row r="346" spans="1:23" x14ac:dyDescent="0.35">
      <c r="A346">
        <v>1020159</v>
      </c>
      <c r="B346">
        <v>1</v>
      </c>
      <c r="C346">
        <v>1020163</v>
      </c>
      <c r="D346" t="s">
        <v>1082</v>
      </c>
      <c r="E346">
        <v>300</v>
      </c>
      <c r="F346">
        <v>4</v>
      </c>
      <c r="G346">
        <v>0</v>
      </c>
      <c r="H346">
        <v>0</v>
      </c>
      <c r="I346" t="s">
        <v>24</v>
      </c>
      <c r="J346" t="s">
        <v>597</v>
      </c>
      <c r="K346" t="s">
        <v>1938</v>
      </c>
      <c r="L346" s="3">
        <v>45838</v>
      </c>
      <c r="M346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5.2083333333333336E-2</v>
      </c>
      <c r="N346" s="3">
        <v>45817</v>
      </c>
      <c r="O346" s="5">
        <f>IFERROR((PlanMasine[[#This Row],[Norma]]/PlanMasine[[#This Row],[Q]])*(PlanMasine[[#This Row],[Q]]/SUMIF(C:C,PlanMasine[[#This Row],[RN]],B:B)*PlanMasine[[#This Row],[KPLQ]]),0)</f>
        <v>75</v>
      </c>
      <c r="P346">
        <v>166301</v>
      </c>
      <c r="Q346">
        <f>COUNTIF(PROMJENA!A:A,PlanMasine[[#This Row],[KPL]]&amp;"-"&amp;PlanMasine[[#This Row],[RN]])</f>
        <v>0</v>
      </c>
      <c r="R346">
        <f>IFERROR(INDEX(REDOSLIJED!A:A,MATCH(PlanMasine[[#This Row],[KPL]],REDOSLIJED!B:B,0)),MAX(REDOSLIJED!A:A)+1)</f>
        <v>45</v>
      </c>
      <c r="S346" s="9">
        <f>SUM($M$2:M346)</f>
        <v>12.726944444444447</v>
      </c>
      <c r="T346" s="3">
        <f>PlanMasine[[#This Row],[Datum SAS]]-1</f>
        <v>45816</v>
      </c>
      <c r="U346">
        <f>WEEKDAY(PlanMasine[[#This Row],[ZAVRŠETAK MAŠINSKE]],2)</f>
        <v>7</v>
      </c>
      <c r="V346" s="3">
        <f>IF(WEEKDAY(PlanMasine[[#This Row],[Datum SAS]]-1,2)=7,PlanMasine[[#This Row],[Datum SAS]]-3,PlanMasine[[#This Row],[Datum SAS]]-1)</f>
        <v>45814</v>
      </c>
      <c r="W346">
        <f>WEEKNUM(PlanMasine[[#This Row],[Column2]],1)</f>
        <v>23</v>
      </c>
    </row>
    <row r="347" spans="1:23" x14ac:dyDescent="0.35">
      <c r="A347">
        <v>1020159</v>
      </c>
      <c r="B347">
        <v>1</v>
      </c>
      <c r="C347">
        <v>1020164</v>
      </c>
      <c r="D347" t="s">
        <v>669</v>
      </c>
      <c r="E347">
        <v>360</v>
      </c>
      <c r="F347">
        <v>4</v>
      </c>
      <c r="G347">
        <v>0</v>
      </c>
      <c r="H347">
        <v>0</v>
      </c>
      <c r="I347" t="s">
        <v>24</v>
      </c>
      <c r="J347" t="s">
        <v>597</v>
      </c>
      <c r="K347" t="s">
        <v>1938</v>
      </c>
      <c r="L347" s="3">
        <v>45838</v>
      </c>
      <c r="M347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6.25E-2</v>
      </c>
      <c r="N347" s="3">
        <v>45817</v>
      </c>
      <c r="O347" s="5">
        <f>IFERROR((PlanMasine[[#This Row],[Norma]]/PlanMasine[[#This Row],[Q]])*(PlanMasine[[#This Row],[Q]]/SUMIF(C:C,PlanMasine[[#This Row],[RN]],B:B)*PlanMasine[[#This Row],[KPLQ]]),0)</f>
        <v>90</v>
      </c>
      <c r="P347">
        <v>166302</v>
      </c>
      <c r="Q347">
        <f>COUNTIF(PROMJENA!A:A,PlanMasine[[#This Row],[KPL]]&amp;"-"&amp;PlanMasine[[#This Row],[RN]])</f>
        <v>0</v>
      </c>
      <c r="R347">
        <f>IFERROR(INDEX(REDOSLIJED!A:A,MATCH(PlanMasine[[#This Row],[KPL]],REDOSLIJED!B:B,0)),MAX(REDOSLIJED!A:A)+1)</f>
        <v>45</v>
      </c>
      <c r="S347" s="9">
        <f>SUM($M$2:M347)</f>
        <v>12.789444444444447</v>
      </c>
      <c r="T347" s="3">
        <f>PlanMasine[[#This Row],[Datum SAS]]-1</f>
        <v>45816</v>
      </c>
      <c r="U347">
        <f>WEEKDAY(PlanMasine[[#This Row],[ZAVRŠETAK MAŠINSKE]],2)</f>
        <v>7</v>
      </c>
      <c r="V347" s="3">
        <f>IF(WEEKDAY(PlanMasine[[#This Row],[Datum SAS]]-1,2)=7,PlanMasine[[#This Row],[Datum SAS]]-3,PlanMasine[[#This Row],[Datum SAS]]-1)</f>
        <v>45814</v>
      </c>
      <c r="W347">
        <f>WEEKNUM(PlanMasine[[#This Row],[Column2]],1)</f>
        <v>23</v>
      </c>
    </row>
    <row r="348" spans="1:23" x14ac:dyDescent="0.35">
      <c r="A348">
        <v>1020159</v>
      </c>
      <c r="B348">
        <v>1</v>
      </c>
      <c r="C348">
        <v>1020165</v>
      </c>
      <c r="D348" t="s">
        <v>450</v>
      </c>
      <c r="E348">
        <v>1440</v>
      </c>
      <c r="F348">
        <v>4</v>
      </c>
      <c r="G348">
        <v>1</v>
      </c>
      <c r="H348">
        <v>360</v>
      </c>
      <c r="I348" t="s">
        <v>24</v>
      </c>
      <c r="J348" t="s">
        <v>597</v>
      </c>
      <c r="K348" t="s">
        <v>1938</v>
      </c>
      <c r="L348" s="3">
        <v>45838</v>
      </c>
      <c r="M348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0.25</v>
      </c>
      <c r="N348" s="3">
        <v>45817</v>
      </c>
      <c r="O348" s="5">
        <f>IFERROR((PlanMasine[[#This Row],[Norma]]/PlanMasine[[#This Row],[Q]])*(PlanMasine[[#This Row],[Q]]/SUMIF(C:C,PlanMasine[[#This Row],[RN]],B:B)*PlanMasine[[#This Row],[KPLQ]]),0)</f>
        <v>360</v>
      </c>
      <c r="P348">
        <v>166303</v>
      </c>
      <c r="Q348">
        <f>COUNTIF(PROMJENA!A:A,PlanMasine[[#This Row],[KPL]]&amp;"-"&amp;PlanMasine[[#This Row],[RN]])</f>
        <v>0</v>
      </c>
      <c r="R348">
        <f>IFERROR(INDEX(REDOSLIJED!A:A,MATCH(PlanMasine[[#This Row],[KPL]],REDOSLIJED!B:B,0)),MAX(REDOSLIJED!A:A)+1)</f>
        <v>45</v>
      </c>
      <c r="S348" s="9">
        <f>SUM($M$2:M348)</f>
        <v>13.039444444444447</v>
      </c>
      <c r="T348" s="3">
        <f>PlanMasine[[#This Row],[Datum SAS]]-1</f>
        <v>45816</v>
      </c>
      <c r="U348">
        <f>WEEKDAY(PlanMasine[[#This Row],[ZAVRŠETAK MAŠINSKE]],2)</f>
        <v>7</v>
      </c>
      <c r="V348" s="3">
        <f>IF(WEEKDAY(PlanMasine[[#This Row],[Datum SAS]]-1,2)=7,PlanMasine[[#This Row],[Datum SAS]]-3,PlanMasine[[#This Row],[Datum SAS]]-1)</f>
        <v>45814</v>
      </c>
      <c r="W348">
        <f>WEEKNUM(PlanMasine[[#This Row],[Column2]],1)</f>
        <v>23</v>
      </c>
    </row>
    <row r="349" spans="1:23" x14ac:dyDescent="0.35">
      <c r="A349">
        <v>1020160</v>
      </c>
      <c r="B349">
        <v>1</v>
      </c>
      <c r="C349">
        <v>1020165</v>
      </c>
      <c r="D349" t="s">
        <v>450</v>
      </c>
      <c r="E349">
        <v>1440</v>
      </c>
      <c r="F349">
        <v>4</v>
      </c>
      <c r="G349">
        <v>1</v>
      </c>
      <c r="H349">
        <v>360</v>
      </c>
      <c r="I349" t="s">
        <v>24</v>
      </c>
      <c r="J349" t="s">
        <v>597</v>
      </c>
      <c r="K349" t="s">
        <v>1938</v>
      </c>
      <c r="L349" s="3">
        <v>45838</v>
      </c>
      <c r="M349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0.25</v>
      </c>
      <c r="N349" s="3">
        <v>45817</v>
      </c>
      <c r="O349" s="5">
        <f>IFERROR((PlanMasine[[#This Row],[Norma]]/PlanMasine[[#This Row],[Q]])*(PlanMasine[[#This Row],[Q]]/SUMIF(C:C,PlanMasine[[#This Row],[RN]],B:B)*PlanMasine[[#This Row],[KPLQ]]),0)</f>
        <v>360</v>
      </c>
      <c r="P349">
        <v>166303</v>
      </c>
      <c r="Q349">
        <f>COUNTIF(PROMJENA!A:A,PlanMasine[[#This Row],[KPL]]&amp;"-"&amp;PlanMasine[[#This Row],[RN]])</f>
        <v>0</v>
      </c>
      <c r="R349">
        <f>IFERROR(INDEX(REDOSLIJED!A:A,MATCH(PlanMasine[[#This Row],[KPL]],REDOSLIJED!B:B,0)),MAX(REDOSLIJED!A:A)+1)</f>
        <v>45</v>
      </c>
      <c r="S349" s="9">
        <f>SUM($M$2:M349)</f>
        <v>13.289444444444447</v>
      </c>
      <c r="T349" s="3">
        <f>PlanMasine[[#This Row],[Datum SAS]]-1</f>
        <v>45816</v>
      </c>
      <c r="U349">
        <f>WEEKDAY(PlanMasine[[#This Row],[ZAVRŠETAK MAŠINSKE]],2)</f>
        <v>7</v>
      </c>
      <c r="V349" s="3">
        <f>IF(WEEKDAY(PlanMasine[[#This Row],[Datum SAS]]-1,2)=7,PlanMasine[[#This Row],[Datum SAS]]-3,PlanMasine[[#This Row],[Datum SAS]]-1)</f>
        <v>45814</v>
      </c>
      <c r="W349">
        <f>WEEKNUM(PlanMasine[[#This Row],[Column2]],1)</f>
        <v>23</v>
      </c>
    </row>
    <row r="350" spans="1:23" x14ac:dyDescent="0.35">
      <c r="A350">
        <v>1020160</v>
      </c>
      <c r="B350">
        <v>1</v>
      </c>
      <c r="C350">
        <v>1020164</v>
      </c>
      <c r="D350" t="s">
        <v>669</v>
      </c>
      <c r="E350">
        <v>360</v>
      </c>
      <c r="F350">
        <v>4</v>
      </c>
      <c r="G350">
        <v>0</v>
      </c>
      <c r="H350">
        <v>0</v>
      </c>
      <c r="I350" t="s">
        <v>24</v>
      </c>
      <c r="J350" t="s">
        <v>597</v>
      </c>
      <c r="K350" t="s">
        <v>1938</v>
      </c>
      <c r="L350" s="3">
        <v>45838</v>
      </c>
      <c r="M350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6.25E-2</v>
      </c>
      <c r="N350" s="3">
        <v>45817</v>
      </c>
      <c r="O350" s="5">
        <f>IFERROR((PlanMasine[[#This Row],[Norma]]/PlanMasine[[#This Row],[Q]])*(PlanMasine[[#This Row],[Q]]/SUMIF(C:C,PlanMasine[[#This Row],[RN]],B:B)*PlanMasine[[#This Row],[KPLQ]]),0)</f>
        <v>90</v>
      </c>
      <c r="P350">
        <v>166302</v>
      </c>
      <c r="Q350">
        <f>COUNTIF(PROMJENA!A:A,PlanMasine[[#This Row],[KPL]]&amp;"-"&amp;PlanMasine[[#This Row],[RN]])</f>
        <v>0</v>
      </c>
      <c r="R350">
        <f>IFERROR(INDEX(REDOSLIJED!A:A,MATCH(PlanMasine[[#This Row],[KPL]],REDOSLIJED!B:B,0)),MAX(REDOSLIJED!A:A)+1)</f>
        <v>45</v>
      </c>
      <c r="S350" s="9">
        <f>SUM($M$2:M350)</f>
        <v>13.351944444444447</v>
      </c>
      <c r="T350" s="3">
        <f>PlanMasine[[#This Row],[Datum SAS]]-1</f>
        <v>45816</v>
      </c>
      <c r="U350">
        <f>WEEKDAY(PlanMasine[[#This Row],[ZAVRŠETAK MAŠINSKE]],2)</f>
        <v>7</v>
      </c>
      <c r="V350" s="3">
        <f>IF(WEEKDAY(PlanMasine[[#This Row],[Datum SAS]]-1,2)=7,PlanMasine[[#This Row],[Datum SAS]]-3,PlanMasine[[#This Row],[Datum SAS]]-1)</f>
        <v>45814</v>
      </c>
      <c r="W350">
        <f>WEEKNUM(PlanMasine[[#This Row],[Column2]],1)</f>
        <v>23</v>
      </c>
    </row>
    <row r="351" spans="1:23" x14ac:dyDescent="0.35">
      <c r="A351">
        <v>1020160</v>
      </c>
      <c r="B351">
        <v>1</v>
      </c>
      <c r="C351">
        <v>1020163</v>
      </c>
      <c r="D351" t="s">
        <v>1082</v>
      </c>
      <c r="E351">
        <v>300</v>
      </c>
      <c r="F351">
        <v>4</v>
      </c>
      <c r="G351">
        <v>0</v>
      </c>
      <c r="H351">
        <v>0</v>
      </c>
      <c r="I351" t="s">
        <v>24</v>
      </c>
      <c r="J351" t="s">
        <v>597</v>
      </c>
      <c r="K351" t="s">
        <v>1938</v>
      </c>
      <c r="L351" s="3">
        <v>45838</v>
      </c>
      <c r="M351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5.2083333333333336E-2</v>
      </c>
      <c r="N351" s="3">
        <v>45817</v>
      </c>
      <c r="O351" s="5">
        <f>IFERROR((PlanMasine[[#This Row],[Norma]]/PlanMasine[[#This Row],[Q]])*(PlanMasine[[#This Row],[Q]]/SUMIF(C:C,PlanMasine[[#This Row],[RN]],B:B)*PlanMasine[[#This Row],[KPLQ]]),0)</f>
        <v>75</v>
      </c>
      <c r="P351">
        <v>166301</v>
      </c>
      <c r="Q351">
        <f>COUNTIF(PROMJENA!A:A,PlanMasine[[#This Row],[KPL]]&amp;"-"&amp;PlanMasine[[#This Row],[RN]])</f>
        <v>0</v>
      </c>
      <c r="R351">
        <f>IFERROR(INDEX(REDOSLIJED!A:A,MATCH(PlanMasine[[#This Row],[KPL]],REDOSLIJED!B:B,0)),MAX(REDOSLIJED!A:A)+1)</f>
        <v>45</v>
      </c>
      <c r="S351" s="9">
        <f>SUM($M$2:M351)</f>
        <v>13.404027777777781</v>
      </c>
      <c r="T351" s="3">
        <f>PlanMasine[[#This Row],[Datum SAS]]-1</f>
        <v>45816</v>
      </c>
      <c r="U351">
        <f>WEEKDAY(PlanMasine[[#This Row],[ZAVRŠETAK MAŠINSKE]],2)</f>
        <v>7</v>
      </c>
      <c r="V351" s="3">
        <f>IF(WEEKDAY(PlanMasine[[#This Row],[Datum SAS]]-1,2)=7,PlanMasine[[#This Row],[Datum SAS]]-3,PlanMasine[[#This Row],[Datum SAS]]-1)</f>
        <v>45814</v>
      </c>
      <c r="W351">
        <f>WEEKNUM(PlanMasine[[#This Row],[Column2]],1)</f>
        <v>23</v>
      </c>
    </row>
    <row r="352" spans="1:23" x14ac:dyDescent="0.35">
      <c r="A352">
        <v>1020161</v>
      </c>
      <c r="B352">
        <v>1</v>
      </c>
      <c r="C352">
        <v>1020163</v>
      </c>
      <c r="D352" t="s">
        <v>1082</v>
      </c>
      <c r="E352">
        <v>300</v>
      </c>
      <c r="F352">
        <v>4</v>
      </c>
      <c r="G352">
        <v>0</v>
      </c>
      <c r="H352">
        <v>0</v>
      </c>
      <c r="I352" t="s">
        <v>24</v>
      </c>
      <c r="J352" t="s">
        <v>597</v>
      </c>
      <c r="K352" t="s">
        <v>1938</v>
      </c>
      <c r="L352" s="3">
        <v>45838</v>
      </c>
      <c r="M352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5.2083333333333336E-2</v>
      </c>
      <c r="N352" s="3">
        <v>45817</v>
      </c>
      <c r="O352" s="5">
        <f>IFERROR((PlanMasine[[#This Row],[Norma]]/PlanMasine[[#This Row],[Q]])*(PlanMasine[[#This Row],[Q]]/SUMIF(C:C,PlanMasine[[#This Row],[RN]],B:B)*PlanMasine[[#This Row],[KPLQ]]),0)</f>
        <v>75</v>
      </c>
      <c r="P352">
        <v>166301</v>
      </c>
      <c r="Q352">
        <f>COUNTIF(PROMJENA!A:A,PlanMasine[[#This Row],[KPL]]&amp;"-"&amp;PlanMasine[[#This Row],[RN]])</f>
        <v>0</v>
      </c>
      <c r="R352">
        <f>IFERROR(INDEX(REDOSLIJED!A:A,MATCH(PlanMasine[[#This Row],[KPL]],REDOSLIJED!B:B,0)),MAX(REDOSLIJED!A:A)+1)</f>
        <v>45</v>
      </c>
      <c r="S352" s="9">
        <f>SUM($M$2:M352)</f>
        <v>13.456111111111115</v>
      </c>
      <c r="T352" s="3">
        <f>PlanMasine[[#This Row],[Datum SAS]]-1</f>
        <v>45816</v>
      </c>
      <c r="U352">
        <f>WEEKDAY(PlanMasine[[#This Row],[ZAVRŠETAK MAŠINSKE]],2)</f>
        <v>7</v>
      </c>
      <c r="V352" s="3">
        <f>IF(WEEKDAY(PlanMasine[[#This Row],[Datum SAS]]-1,2)=7,PlanMasine[[#This Row],[Datum SAS]]-3,PlanMasine[[#This Row],[Datum SAS]]-1)</f>
        <v>45814</v>
      </c>
      <c r="W352">
        <f>WEEKNUM(PlanMasine[[#This Row],[Column2]],1)</f>
        <v>23</v>
      </c>
    </row>
    <row r="353" spans="1:23" x14ac:dyDescent="0.35">
      <c r="A353">
        <v>1020161</v>
      </c>
      <c r="B353">
        <v>1</v>
      </c>
      <c r="C353">
        <v>1020164</v>
      </c>
      <c r="D353" t="s">
        <v>669</v>
      </c>
      <c r="E353">
        <v>360</v>
      </c>
      <c r="F353">
        <v>4</v>
      </c>
      <c r="G353">
        <v>0</v>
      </c>
      <c r="H353">
        <v>0</v>
      </c>
      <c r="I353" t="s">
        <v>24</v>
      </c>
      <c r="J353" t="s">
        <v>597</v>
      </c>
      <c r="K353" t="s">
        <v>1938</v>
      </c>
      <c r="L353" s="3">
        <v>45838</v>
      </c>
      <c r="M353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6.25E-2</v>
      </c>
      <c r="N353" s="3">
        <v>45817</v>
      </c>
      <c r="O353" s="5">
        <f>IFERROR((PlanMasine[[#This Row],[Norma]]/PlanMasine[[#This Row],[Q]])*(PlanMasine[[#This Row],[Q]]/SUMIF(C:C,PlanMasine[[#This Row],[RN]],B:B)*PlanMasine[[#This Row],[KPLQ]]),0)</f>
        <v>90</v>
      </c>
      <c r="P353">
        <v>166302</v>
      </c>
      <c r="Q353">
        <f>COUNTIF(PROMJENA!A:A,PlanMasine[[#This Row],[KPL]]&amp;"-"&amp;PlanMasine[[#This Row],[RN]])</f>
        <v>0</v>
      </c>
      <c r="R353">
        <f>IFERROR(INDEX(REDOSLIJED!A:A,MATCH(PlanMasine[[#This Row],[KPL]],REDOSLIJED!B:B,0)),MAX(REDOSLIJED!A:A)+1)</f>
        <v>45</v>
      </c>
      <c r="S353" s="9">
        <f>SUM($M$2:M353)</f>
        <v>13.518611111111115</v>
      </c>
      <c r="T353" s="3">
        <f>PlanMasine[[#This Row],[Datum SAS]]-1</f>
        <v>45816</v>
      </c>
      <c r="U353">
        <f>WEEKDAY(PlanMasine[[#This Row],[ZAVRŠETAK MAŠINSKE]],2)</f>
        <v>7</v>
      </c>
      <c r="V353" s="3">
        <f>IF(WEEKDAY(PlanMasine[[#This Row],[Datum SAS]]-1,2)=7,PlanMasine[[#This Row],[Datum SAS]]-3,PlanMasine[[#This Row],[Datum SAS]]-1)</f>
        <v>45814</v>
      </c>
      <c r="W353">
        <f>WEEKNUM(PlanMasine[[#This Row],[Column2]],1)</f>
        <v>23</v>
      </c>
    </row>
    <row r="354" spans="1:23" x14ac:dyDescent="0.35">
      <c r="A354">
        <v>1020161</v>
      </c>
      <c r="B354">
        <v>1</v>
      </c>
      <c r="C354">
        <v>1020165</v>
      </c>
      <c r="D354" t="s">
        <v>450</v>
      </c>
      <c r="E354">
        <v>1440</v>
      </c>
      <c r="F354">
        <v>4</v>
      </c>
      <c r="G354">
        <v>1</v>
      </c>
      <c r="H354">
        <v>360</v>
      </c>
      <c r="I354" t="s">
        <v>24</v>
      </c>
      <c r="J354" t="s">
        <v>597</v>
      </c>
      <c r="K354" t="s">
        <v>1938</v>
      </c>
      <c r="L354" s="3">
        <v>45838</v>
      </c>
      <c r="M354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0.25</v>
      </c>
      <c r="N354" s="3">
        <v>45817</v>
      </c>
      <c r="O354" s="5">
        <f>IFERROR((PlanMasine[[#This Row],[Norma]]/PlanMasine[[#This Row],[Q]])*(PlanMasine[[#This Row],[Q]]/SUMIF(C:C,PlanMasine[[#This Row],[RN]],B:B)*PlanMasine[[#This Row],[KPLQ]]),0)</f>
        <v>360</v>
      </c>
      <c r="P354">
        <v>166303</v>
      </c>
      <c r="Q354">
        <f>COUNTIF(PROMJENA!A:A,PlanMasine[[#This Row],[KPL]]&amp;"-"&amp;PlanMasine[[#This Row],[RN]])</f>
        <v>0</v>
      </c>
      <c r="R354">
        <f>IFERROR(INDEX(REDOSLIJED!A:A,MATCH(PlanMasine[[#This Row],[KPL]],REDOSLIJED!B:B,0)),MAX(REDOSLIJED!A:A)+1)</f>
        <v>45</v>
      </c>
      <c r="S354" s="9">
        <f>SUM($M$2:M354)</f>
        <v>13.768611111111115</v>
      </c>
      <c r="T354" s="3">
        <f>PlanMasine[[#This Row],[Datum SAS]]-1</f>
        <v>45816</v>
      </c>
      <c r="U354">
        <f>WEEKDAY(PlanMasine[[#This Row],[ZAVRŠETAK MAŠINSKE]],2)</f>
        <v>7</v>
      </c>
      <c r="V354" s="3">
        <f>IF(WEEKDAY(PlanMasine[[#This Row],[Datum SAS]]-1,2)=7,PlanMasine[[#This Row],[Datum SAS]]-3,PlanMasine[[#This Row],[Datum SAS]]-1)</f>
        <v>45814</v>
      </c>
      <c r="W354">
        <f>WEEKNUM(PlanMasine[[#This Row],[Column2]],1)</f>
        <v>23</v>
      </c>
    </row>
    <row r="355" spans="1:23" x14ac:dyDescent="0.35">
      <c r="A355">
        <v>1020162</v>
      </c>
      <c r="B355">
        <v>1</v>
      </c>
      <c r="C355">
        <v>1020164</v>
      </c>
      <c r="D355" t="s">
        <v>669</v>
      </c>
      <c r="E355">
        <v>360</v>
      </c>
      <c r="F355">
        <v>4</v>
      </c>
      <c r="G355">
        <v>0</v>
      </c>
      <c r="H355">
        <v>0</v>
      </c>
      <c r="I355" t="s">
        <v>24</v>
      </c>
      <c r="J355" t="s">
        <v>597</v>
      </c>
      <c r="K355" t="s">
        <v>1938</v>
      </c>
      <c r="L355" s="3">
        <v>45838</v>
      </c>
      <c r="M355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6.25E-2</v>
      </c>
      <c r="N355" s="3">
        <v>45817</v>
      </c>
      <c r="O355" s="5">
        <f>IFERROR((PlanMasine[[#This Row],[Norma]]/PlanMasine[[#This Row],[Q]])*(PlanMasine[[#This Row],[Q]]/SUMIF(C:C,PlanMasine[[#This Row],[RN]],B:B)*PlanMasine[[#This Row],[KPLQ]]),0)</f>
        <v>90</v>
      </c>
      <c r="P355">
        <v>166302</v>
      </c>
      <c r="Q355">
        <f>COUNTIF(PROMJENA!A:A,PlanMasine[[#This Row],[KPL]]&amp;"-"&amp;PlanMasine[[#This Row],[RN]])</f>
        <v>0</v>
      </c>
      <c r="R355">
        <f>IFERROR(INDEX(REDOSLIJED!A:A,MATCH(PlanMasine[[#This Row],[KPL]],REDOSLIJED!B:B,0)),MAX(REDOSLIJED!A:A)+1)</f>
        <v>45</v>
      </c>
      <c r="S355" s="9">
        <f>SUM($M$2:M355)</f>
        <v>13.831111111111115</v>
      </c>
      <c r="T355" s="3">
        <f>PlanMasine[[#This Row],[Datum SAS]]-1</f>
        <v>45816</v>
      </c>
      <c r="U355">
        <f>WEEKDAY(PlanMasine[[#This Row],[ZAVRŠETAK MAŠINSKE]],2)</f>
        <v>7</v>
      </c>
      <c r="V355" s="3">
        <f>IF(WEEKDAY(PlanMasine[[#This Row],[Datum SAS]]-1,2)=7,PlanMasine[[#This Row],[Datum SAS]]-3,PlanMasine[[#This Row],[Datum SAS]]-1)</f>
        <v>45814</v>
      </c>
      <c r="W355">
        <f>WEEKNUM(PlanMasine[[#This Row],[Column2]],1)</f>
        <v>23</v>
      </c>
    </row>
    <row r="356" spans="1:23" x14ac:dyDescent="0.35">
      <c r="A356">
        <v>1020162</v>
      </c>
      <c r="B356">
        <v>1</v>
      </c>
      <c r="C356">
        <v>1020163</v>
      </c>
      <c r="D356" t="s">
        <v>1082</v>
      </c>
      <c r="E356">
        <v>300</v>
      </c>
      <c r="F356">
        <v>4</v>
      </c>
      <c r="G356">
        <v>0</v>
      </c>
      <c r="H356">
        <v>0</v>
      </c>
      <c r="I356" t="s">
        <v>24</v>
      </c>
      <c r="J356" t="s">
        <v>597</v>
      </c>
      <c r="K356" t="s">
        <v>1938</v>
      </c>
      <c r="L356" s="3">
        <v>45838</v>
      </c>
      <c r="M356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5.2083333333333336E-2</v>
      </c>
      <c r="N356" s="3">
        <v>45817</v>
      </c>
      <c r="O356" s="5">
        <f>IFERROR((PlanMasine[[#This Row],[Norma]]/PlanMasine[[#This Row],[Q]])*(PlanMasine[[#This Row],[Q]]/SUMIF(C:C,PlanMasine[[#This Row],[RN]],B:B)*PlanMasine[[#This Row],[KPLQ]]),0)</f>
        <v>75</v>
      </c>
      <c r="P356">
        <v>166301</v>
      </c>
      <c r="Q356">
        <f>COUNTIF(PROMJENA!A:A,PlanMasine[[#This Row],[KPL]]&amp;"-"&amp;PlanMasine[[#This Row],[RN]])</f>
        <v>0</v>
      </c>
      <c r="R356">
        <f>IFERROR(INDEX(REDOSLIJED!A:A,MATCH(PlanMasine[[#This Row],[KPL]],REDOSLIJED!B:B,0)),MAX(REDOSLIJED!A:A)+1)</f>
        <v>45</v>
      </c>
      <c r="S356" s="9">
        <f>SUM($M$2:M356)</f>
        <v>13.883194444444449</v>
      </c>
      <c r="T356" s="3">
        <f>PlanMasine[[#This Row],[Datum SAS]]-1</f>
        <v>45816</v>
      </c>
      <c r="U356">
        <f>WEEKDAY(PlanMasine[[#This Row],[ZAVRŠETAK MAŠINSKE]],2)</f>
        <v>7</v>
      </c>
      <c r="V356" s="3">
        <f>IF(WEEKDAY(PlanMasine[[#This Row],[Datum SAS]]-1,2)=7,PlanMasine[[#This Row],[Datum SAS]]-3,PlanMasine[[#This Row],[Datum SAS]]-1)</f>
        <v>45814</v>
      </c>
      <c r="W356">
        <f>WEEKNUM(PlanMasine[[#This Row],[Column2]],1)</f>
        <v>23</v>
      </c>
    </row>
    <row r="357" spans="1:23" x14ac:dyDescent="0.35">
      <c r="A357">
        <v>1020162</v>
      </c>
      <c r="B357">
        <v>1</v>
      </c>
      <c r="C357">
        <v>1020165</v>
      </c>
      <c r="D357" t="s">
        <v>450</v>
      </c>
      <c r="E357">
        <v>1440</v>
      </c>
      <c r="F357">
        <v>4</v>
      </c>
      <c r="G357">
        <v>1</v>
      </c>
      <c r="H357">
        <v>360</v>
      </c>
      <c r="I357" t="s">
        <v>24</v>
      </c>
      <c r="J357" t="s">
        <v>597</v>
      </c>
      <c r="K357" t="s">
        <v>1938</v>
      </c>
      <c r="L357" s="3">
        <v>45838</v>
      </c>
      <c r="M357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0.25</v>
      </c>
      <c r="N357" s="3">
        <v>45817</v>
      </c>
      <c r="O357" s="5">
        <f>IFERROR((PlanMasine[[#This Row],[Norma]]/PlanMasine[[#This Row],[Q]])*(PlanMasine[[#This Row],[Q]]/SUMIF(C:C,PlanMasine[[#This Row],[RN]],B:B)*PlanMasine[[#This Row],[KPLQ]]),0)</f>
        <v>360</v>
      </c>
      <c r="P357">
        <v>166303</v>
      </c>
      <c r="Q357">
        <f>COUNTIF(PROMJENA!A:A,PlanMasine[[#This Row],[KPL]]&amp;"-"&amp;PlanMasine[[#This Row],[RN]])</f>
        <v>0</v>
      </c>
      <c r="R357">
        <f>IFERROR(INDEX(REDOSLIJED!A:A,MATCH(PlanMasine[[#This Row],[KPL]],REDOSLIJED!B:B,0)),MAX(REDOSLIJED!A:A)+1)</f>
        <v>45</v>
      </c>
      <c r="S357" s="9">
        <f>SUM($M$2:M357)</f>
        <v>14.133194444444449</v>
      </c>
      <c r="T357" s="3">
        <f>PlanMasine[[#This Row],[Datum SAS]]-1</f>
        <v>45816</v>
      </c>
      <c r="U357">
        <f>WEEKDAY(PlanMasine[[#This Row],[ZAVRŠETAK MAŠINSKE]],2)</f>
        <v>7</v>
      </c>
      <c r="V357" s="3">
        <f>IF(WEEKDAY(PlanMasine[[#This Row],[Datum SAS]]-1,2)=7,PlanMasine[[#This Row],[Datum SAS]]-3,PlanMasine[[#This Row],[Datum SAS]]-1)</f>
        <v>45814</v>
      </c>
      <c r="W357">
        <f>WEEKNUM(PlanMasine[[#This Row],[Column2]],1)</f>
        <v>23</v>
      </c>
    </row>
    <row r="358" spans="1:23" x14ac:dyDescent="0.35">
      <c r="A358">
        <v>1020412</v>
      </c>
      <c r="B358">
        <v>1</v>
      </c>
      <c r="C358">
        <v>1020458</v>
      </c>
      <c r="D358" t="s">
        <v>1766</v>
      </c>
      <c r="E358">
        <v>30</v>
      </c>
      <c r="F358">
        <v>1</v>
      </c>
      <c r="G358">
        <v>0</v>
      </c>
      <c r="H358">
        <v>0</v>
      </c>
      <c r="I358" t="s">
        <v>24</v>
      </c>
      <c r="J358" t="s">
        <v>597</v>
      </c>
      <c r="K358" t="s">
        <v>1939</v>
      </c>
      <c r="L358" s="3">
        <v>45838</v>
      </c>
      <c r="M358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2.0833333333333332E-2</v>
      </c>
      <c r="N358" s="3">
        <v>45817</v>
      </c>
      <c r="O358" s="5">
        <f>IFERROR((PlanMasine[[#This Row],[Norma]]/PlanMasine[[#This Row],[Q]])*(PlanMasine[[#This Row],[Q]]/SUMIF(C:C,PlanMasine[[#This Row],[RN]],B:B)*PlanMasine[[#This Row],[KPLQ]]),0)</f>
        <v>30</v>
      </c>
      <c r="P358">
        <v>151168</v>
      </c>
      <c r="Q358">
        <f>COUNTIF(PROMJENA!A:A,PlanMasine[[#This Row],[KPL]]&amp;"-"&amp;PlanMasine[[#This Row],[RN]])</f>
        <v>0</v>
      </c>
      <c r="R358">
        <f>IFERROR(INDEX(REDOSLIJED!A:A,MATCH(PlanMasine[[#This Row],[KPL]],REDOSLIJED!B:B,0)),MAX(REDOSLIJED!A:A)+1)</f>
        <v>45</v>
      </c>
      <c r="S358" s="9">
        <f>SUM($M$2:M358)</f>
        <v>14.154027777777783</v>
      </c>
      <c r="T358" s="3">
        <f>PlanMasine[[#This Row],[Datum SAS]]-1</f>
        <v>45816</v>
      </c>
      <c r="U358">
        <f>WEEKDAY(PlanMasine[[#This Row],[ZAVRŠETAK MAŠINSKE]],2)</f>
        <v>7</v>
      </c>
      <c r="V358" s="3">
        <f>IF(WEEKDAY(PlanMasine[[#This Row],[Datum SAS]]-1,2)=7,PlanMasine[[#This Row],[Datum SAS]]-3,PlanMasine[[#This Row],[Datum SAS]]-1)</f>
        <v>45814</v>
      </c>
      <c r="W358">
        <f>WEEKNUM(PlanMasine[[#This Row],[Column2]],1)</f>
        <v>23</v>
      </c>
    </row>
    <row r="359" spans="1:23" x14ac:dyDescent="0.35">
      <c r="A359">
        <v>1020412</v>
      </c>
      <c r="B359">
        <v>1</v>
      </c>
      <c r="C359">
        <v>1020457</v>
      </c>
      <c r="D359" t="s">
        <v>1767</v>
      </c>
      <c r="E359">
        <v>30</v>
      </c>
      <c r="F359">
        <v>1</v>
      </c>
      <c r="G359">
        <v>0</v>
      </c>
      <c r="H359">
        <v>0</v>
      </c>
      <c r="I359" t="s">
        <v>24</v>
      </c>
      <c r="J359" t="s">
        <v>597</v>
      </c>
      <c r="K359" t="s">
        <v>1939</v>
      </c>
      <c r="L359" s="3">
        <v>45838</v>
      </c>
      <c r="M359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2.0833333333333332E-2</v>
      </c>
      <c r="N359" s="3">
        <v>45817</v>
      </c>
      <c r="O359" s="5">
        <f>IFERROR((PlanMasine[[#This Row],[Norma]]/PlanMasine[[#This Row],[Q]])*(PlanMasine[[#This Row],[Q]]/SUMIF(C:C,PlanMasine[[#This Row],[RN]],B:B)*PlanMasine[[#This Row],[KPLQ]]),0)</f>
        <v>30</v>
      </c>
      <c r="P359">
        <v>151167</v>
      </c>
      <c r="Q359">
        <f>COUNTIF(PROMJENA!A:A,PlanMasine[[#This Row],[KPL]]&amp;"-"&amp;PlanMasine[[#This Row],[RN]])</f>
        <v>0</v>
      </c>
      <c r="R359">
        <f>IFERROR(INDEX(REDOSLIJED!A:A,MATCH(PlanMasine[[#This Row],[KPL]],REDOSLIJED!B:B,0)),MAX(REDOSLIJED!A:A)+1)</f>
        <v>45</v>
      </c>
      <c r="S359" s="9">
        <f>SUM($M$2:M359)</f>
        <v>14.174861111111117</v>
      </c>
      <c r="T359" s="3">
        <f>PlanMasine[[#This Row],[Datum SAS]]-1</f>
        <v>45816</v>
      </c>
      <c r="U359">
        <f>WEEKDAY(PlanMasine[[#This Row],[ZAVRŠETAK MAŠINSKE]],2)</f>
        <v>7</v>
      </c>
      <c r="V359" s="3">
        <f>IF(WEEKDAY(PlanMasine[[#This Row],[Datum SAS]]-1,2)=7,PlanMasine[[#This Row],[Datum SAS]]-3,PlanMasine[[#This Row],[Datum SAS]]-1)</f>
        <v>45814</v>
      </c>
      <c r="W359">
        <f>WEEKNUM(PlanMasine[[#This Row],[Column2]],1)</f>
        <v>23</v>
      </c>
    </row>
    <row r="360" spans="1:23" x14ac:dyDescent="0.35">
      <c r="A360">
        <v>1021433</v>
      </c>
      <c r="B360">
        <v>1</v>
      </c>
      <c r="C360">
        <v>1021438</v>
      </c>
      <c r="D360" t="s">
        <v>1940</v>
      </c>
      <c r="E360">
        <v>30</v>
      </c>
      <c r="F360">
        <v>2</v>
      </c>
      <c r="G360">
        <v>0</v>
      </c>
      <c r="H360">
        <v>0</v>
      </c>
      <c r="I360" t="s">
        <v>24</v>
      </c>
      <c r="J360" t="s">
        <v>597</v>
      </c>
      <c r="K360" t="s">
        <v>1941</v>
      </c>
      <c r="L360" s="3">
        <v>45832</v>
      </c>
      <c r="M360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2.0833333333333332E-2</v>
      </c>
      <c r="N360" s="3">
        <v>45817</v>
      </c>
      <c r="O360" s="5">
        <f>IFERROR((PlanMasine[[#This Row],[Norma]]/PlanMasine[[#This Row],[Q]])*(PlanMasine[[#This Row],[Q]]/SUMIF(C:C,PlanMasine[[#This Row],[RN]],B:B)*PlanMasine[[#This Row],[KPLQ]]),0)</f>
        <v>30</v>
      </c>
      <c r="P360">
        <v>231551</v>
      </c>
      <c r="Q360">
        <f>COUNTIF(PROMJENA!A:A,PlanMasine[[#This Row],[KPL]]&amp;"-"&amp;PlanMasine[[#This Row],[RN]])</f>
        <v>0</v>
      </c>
      <c r="R360">
        <f>IFERROR(INDEX(REDOSLIJED!A:A,MATCH(PlanMasine[[#This Row],[KPL]],REDOSLIJED!B:B,0)),MAX(REDOSLIJED!A:A)+1)</f>
        <v>45</v>
      </c>
      <c r="S360" s="9">
        <f>SUM($M$2:M360)</f>
        <v>14.195694444444451</v>
      </c>
      <c r="T360" s="3">
        <f>PlanMasine[[#This Row],[Datum SAS]]-1</f>
        <v>45816</v>
      </c>
      <c r="U360">
        <f>WEEKDAY(PlanMasine[[#This Row],[ZAVRŠETAK MAŠINSKE]],2)</f>
        <v>7</v>
      </c>
      <c r="V360" s="3">
        <f>IF(WEEKDAY(PlanMasine[[#This Row],[Datum SAS]]-1,2)=7,PlanMasine[[#This Row],[Datum SAS]]-3,PlanMasine[[#This Row],[Datum SAS]]-1)</f>
        <v>45814</v>
      </c>
      <c r="W360">
        <f>WEEKNUM(PlanMasine[[#This Row],[Column2]],1)</f>
        <v>23</v>
      </c>
    </row>
    <row r="361" spans="1:23" x14ac:dyDescent="0.35">
      <c r="A361">
        <v>1021433</v>
      </c>
      <c r="B361">
        <v>1</v>
      </c>
      <c r="C361">
        <v>1021439</v>
      </c>
      <c r="D361" t="s">
        <v>1942</v>
      </c>
      <c r="E361">
        <v>30</v>
      </c>
      <c r="F361">
        <v>1</v>
      </c>
      <c r="G361">
        <v>0</v>
      </c>
      <c r="H361">
        <v>0</v>
      </c>
      <c r="I361" t="s">
        <v>24</v>
      </c>
      <c r="J361" t="s">
        <v>597</v>
      </c>
      <c r="K361" t="s">
        <v>1941</v>
      </c>
      <c r="L361" s="3">
        <v>45832</v>
      </c>
      <c r="M361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2.0833333333333332E-2</v>
      </c>
      <c r="N361" s="3">
        <v>45817</v>
      </c>
      <c r="O361" s="5">
        <f>IFERROR((PlanMasine[[#This Row],[Norma]]/PlanMasine[[#This Row],[Q]])*(PlanMasine[[#This Row],[Q]]/SUMIF(C:C,PlanMasine[[#This Row],[RN]],B:B)*PlanMasine[[#This Row],[KPLQ]]),0)</f>
        <v>30</v>
      </c>
      <c r="P361">
        <v>231552</v>
      </c>
      <c r="Q361">
        <f>COUNTIF(PROMJENA!A:A,PlanMasine[[#This Row],[KPL]]&amp;"-"&amp;PlanMasine[[#This Row],[RN]])</f>
        <v>0</v>
      </c>
      <c r="R361">
        <f>IFERROR(INDEX(REDOSLIJED!A:A,MATCH(PlanMasine[[#This Row],[KPL]],REDOSLIJED!B:B,0)),MAX(REDOSLIJED!A:A)+1)</f>
        <v>45</v>
      </c>
      <c r="S361" s="9">
        <f>SUM($M$2:M361)</f>
        <v>14.216527777777785</v>
      </c>
      <c r="T361" s="3">
        <f>PlanMasine[[#This Row],[Datum SAS]]-1</f>
        <v>45816</v>
      </c>
      <c r="U361">
        <f>WEEKDAY(PlanMasine[[#This Row],[ZAVRŠETAK MAŠINSKE]],2)</f>
        <v>7</v>
      </c>
      <c r="V361" s="3">
        <f>IF(WEEKDAY(PlanMasine[[#This Row],[Datum SAS]]-1,2)=7,PlanMasine[[#This Row],[Datum SAS]]-3,PlanMasine[[#This Row],[Datum SAS]]-1)</f>
        <v>45814</v>
      </c>
      <c r="W361">
        <f>WEEKNUM(PlanMasine[[#This Row],[Column2]],1)</f>
        <v>23</v>
      </c>
    </row>
    <row r="362" spans="1:23" x14ac:dyDescent="0.35">
      <c r="A362">
        <v>1021441</v>
      </c>
      <c r="B362">
        <v>1</v>
      </c>
      <c r="C362">
        <v>1021446</v>
      </c>
      <c r="D362" t="s">
        <v>1943</v>
      </c>
      <c r="E362">
        <v>30</v>
      </c>
      <c r="F362">
        <v>2</v>
      </c>
      <c r="G362">
        <v>0</v>
      </c>
      <c r="H362">
        <v>0</v>
      </c>
      <c r="I362" t="s">
        <v>24</v>
      </c>
      <c r="J362" t="s">
        <v>597</v>
      </c>
      <c r="K362" t="s">
        <v>1944</v>
      </c>
      <c r="L362" s="3">
        <v>45832</v>
      </c>
      <c r="M362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2.0833333333333332E-2</v>
      </c>
      <c r="N362" s="3">
        <v>45817</v>
      </c>
      <c r="O362" s="5">
        <f>IFERROR((PlanMasine[[#This Row],[Norma]]/PlanMasine[[#This Row],[Q]])*(PlanMasine[[#This Row],[Q]]/SUMIF(C:C,PlanMasine[[#This Row],[RN]],B:B)*PlanMasine[[#This Row],[KPLQ]]),0)</f>
        <v>30</v>
      </c>
      <c r="P362">
        <v>231559</v>
      </c>
      <c r="Q362">
        <f>COUNTIF(PROMJENA!A:A,PlanMasine[[#This Row],[KPL]]&amp;"-"&amp;PlanMasine[[#This Row],[RN]])</f>
        <v>0</v>
      </c>
      <c r="R362">
        <f>IFERROR(INDEX(REDOSLIJED!A:A,MATCH(PlanMasine[[#This Row],[KPL]],REDOSLIJED!B:B,0)),MAX(REDOSLIJED!A:A)+1)</f>
        <v>45</v>
      </c>
      <c r="S362" s="9">
        <f>SUM($M$2:M362)</f>
        <v>14.237361111111118</v>
      </c>
      <c r="T362" s="3">
        <f>PlanMasine[[#This Row],[Datum SAS]]-1</f>
        <v>45816</v>
      </c>
      <c r="U362">
        <f>WEEKDAY(PlanMasine[[#This Row],[ZAVRŠETAK MAŠINSKE]],2)</f>
        <v>7</v>
      </c>
      <c r="V362" s="3">
        <f>IF(WEEKDAY(PlanMasine[[#This Row],[Datum SAS]]-1,2)=7,PlanMasine[[#This Row],[Datum SAS]]-3,PlanMasine[[#This Row],[Datum SAS]]-1)</f>
        <v>45814</v>
      </c>
      <c r="W362">
        <f>WEEKNUM(PlanMasine[[#This Row],[Column2]],1)</f>
        <v>23</v>
      </c>
    </row>
    <row r="363" spans="1:23" x14ac:dyDescent="0.35">
      <c r="A363">
        <v>1021441</v>
      </c>
      <c r="B363">
        <v>1</v>
      </c>
      <c r="C363">
        <v>1021447</v>
      </c>
      <c r="D363" t="s">
        <v>1945</v>
      </c>
      <c r="E363">
        <v>30</v>
      </c>
      <c r="F363">
        <v>1</v>
      </c>
      <c r="G363">
        <v>0</v>
      </c>
      <c r="H363">
        <v>0</v>
      </c>
      <c r="I363" t="s">
        <v>24</v>
      </c>
      <c r="J363" t="s">
        <v>597</v>
      </c>
      <c r="K363" t="s">
        <v>1944</v>
      </c>
      <c r="L363" s="3">
        <v>45832</v>
      </c>
      <c r="M363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2.0833333333333332E-2</v>
      </c>
      <c r="N363" s="3">
        <v>45817</v>
      </c>
      <c r="O363" s="5">
        <f>IFERROR((PlanMasine[[#This Row],[Norma]]/PlanMasine[[#This Row],[Q]])*(PlanMasine[[#This Row],[Q]]/SUMIF(C:C,PlanMasine[[#This Row],[RN]],B:B)*PlanMasine[[#This Row],[KPLQ]]),0)</f>
        <v>30</v>
      </c>
      <c r="P363">
        <v>231560</v>
      </c>
      <c r="Q363">
        <f>COUNTIF(PROMJENA!A:A,PlanMasine[[#This Row],[KPL]]&amp;"-"&amp;PlanMasine[[#This Row],[RN]])</f>
        <v>0</v>
      </c>
      <c r="R363">
        <f>IFERROR(INDEX(REDOSLIJED!A:A,MATCH(PlanMasine[[#This Row],[KPL]],REDOSLIJED!B:B,0)),MAX(REDOSLIJED!A:A)+1)</f>
        <v>45</v>
      </c>
      <c r="S363" s="9">
        <f>SUM($M$2:M363)</f>
        <v>14.258194444444452</v>
      </c>
      <c r="T363" s="3">
        <f>PlanMasine[[#This Row],[Datum SAS]]-1</f>
        <v>45816</v>
      </c>
      <c r="U363">
        <f>WEEKDAY(PlanMasine[[#This Row],[ZAVRŠETAK MAŠINSKE]],2)</f>
        <v>7</v>
      </c>
      <c r="V363" s="3">
        <f>IF(WEEKDAY(PlanMasine[[#This Row],[Datum SAS]]-1,2)=7,PlanMasine[[#This Row],[Datum SAS]]-3,PlanMasine[[#This Row],[Datum SAS]]-1)</f>
        <v>45814</v>
      </c>
      <c r="W363">
        <f>WEEKNUM(PlanMasine[[#This Row],[Column2]],1)</f>
        <v>23</v>
      </c>
    </row>
    <row r="364" spans="1:23" x14ac:dyDescent="0.35">
      <c r="A364">
        <v>1021990</v>
      </c>
      <c r="B364">
        <v>1</v>
      </c>
      <c r="C364">
        <v>1021910</v>
      </c>
      <c r="D364" t="s">
        <v>1612</v>
      </c>
      <c r="E364">
        <v>120</v>
      </c>
      <c r="F364">
        <v>6</v>
      </c>
      <c r="G364">
        <v>0</v>
      </c>
      <c r="H364">
        <v>0</v>
      </c>
      <c r="I364" t="s">
        <v>24</v>
      </c>
      <c r="J364" t="s">
        <v>597</v>
      </c>
      <c r="K364" t="s">
        <v>1946</v>
      </c>
      <c r="L364" s="3">
        <v>45820</v>
      </c>
      <c r="M364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1.3888888888888888E-2</v>
      </c>
      <c r="N364" s="3">
        <v>45817</v>
      </c>
      <c r="O364" s="5">
        <f>IFERROR((PlanMasine[[#This Row],[Norma]]/PlanMasine[[#This Row],[Q]])*(PlanMasine[[#This Row],[Q]]/SUMIF(C:C,PlanMasine[[#This Row],[RN]],B:B)*PlanMasine[[#This Row],[KPLQ]]),0)</f>
        <v>20</v>
      </c>
      <c r="P364">
        <v>215459</v>
      </c>
      <c r="Q364">
        <f>COUNTIF(PROMJENA!A:A,PlanMasine[[#This Row],[KPL]]&amp;"-"&amp;PlanMasine[[#This Row],[RN]])</f>
        <v>0</v>
      </c>
      <c r="R364">
        <f>IFERROR(INDEX(REDOSLIJED!A:A,MATCH(PlanMasine[[#This Row],[KPL]],REDOSLIJED!B:B,0)),MAX(REDOSLIJED!A:A)+1)</f>
        <v>45</v>
      </c>
      <c r="S364" s="9">
        <f>SUM($M$2:M364)</f>
        <v>14.272083333333342</v>
      </c>
      <c r="T364" s="3">
        <f>PlanMasine[[#This Row],[Datum SAS]]-1</f>
        <v>45816</v>
      </c>
      <c r="U364">
        <f>WEEKDAY(PlanMasine[[#This Row],[ZAVRŠETAK MAŠINSKE]],2)</f>
        <v>7</v>
      </c>
      <c r="V364" s="3">
        <f>IF(WEEKDAY(PlanMasine[[#This Row],[Datum SAS]]-1,2)=7,PlanMasine[[#This Row],[Datum SAS]]-3,PlanMasine[[#This Row],[Datum SAS]]-1)</f>
        <v>45814</v>
      </c>
      <c r="W364">
        <f>WEEKNUM(PlanMasine[[#This Row],[Column2]],1)</f>
        <v>23</v>
      </c>
    </row>
    <row r="365" spans="1:23" x14ac:dyDescent="0.35">
      <c r="A365">
        <v>1021990</v>
      </c>
      <c r="B365">
        <v>1</v>
      </c>
      <c r="C365">
        <v>1021911</v>
      </c>
      <c r="D365" t="s">
        <v>1623</v>
      </c>
      <c r="E365">
        <v>180</v>
      </c>
      <c r="F365">
        <v>6</v>
      </c>
      <c r="G365">
        <v>0</v>
      </c>
      <c r="H365">
        <v>0</v>
      </c>
      <c r="I365" t="s">
        <v>24</v>
      </c>
      <c r="J365" t="s">
        <v>597</v>
      </c>
      <c r="K365" t="s">
        <v>1946</v>
      </c>
      <c r="L365" s="3">
        <v>45820</v>
      </c>
      <c r="M365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2.0833333333333332E-2</v>
      </c>
      <c r="N365" s="3">
        <v>45817</v>
      </c>
      <c r="O365" s="5">
        <f>IFERROR((PlanMasine[[#This Row],[Norma]]/PlanMasine[[#This Row],[Q]])*(PlanMasine[[#This Row],[Q]]/SUMIF(C:C,PlanMasine[[#This Row],[RN]],B:B)*PlanMasine[[#This Row],[KPLQ]]),0)</f>
        <v>30</v>
      </c>
      <c r="P365">
        <v>215460</v>
      </c>
      <c r="Q365">
        <f>COUNTIF(PROMJENA!A:A,PlanMasine[[#This Row],[KPL]]&amp;"-"&amp;PlanMasine[[#This Row],[RN]])</f>
        <v>0</v>
      </c>
      <c r="R365">
        <f>IFERROR(INDEX(REDOSLIJED!A:A,MATCH(PlanMasine[[#This Row],[KPL]],REDOSLIJED!B:B,0)),MAX(REDOSLIJED!A:A)+1)</f>
        <v>45</v>
      </c>
      <c r="S365" s="9">
        <f>SUM($M$2:M365)</f>
        <v>14.292916666666676</v>
      </c>
      <c r="T365" s="3">
        <f>PlanMasine[[#This Row],[Datum SAS]]-1</f>
        <v>45816</v>
      </c>
      <c r="U365">
        <f>WEEKDAY(PlanMasine[[#This Row],[ZAVRŠETAK MAŠINSKE]],2)</f>
        <v>7</v>
      </c>
      <c r="V365" s="3">
        <f>IF(WEEKDAY(PlanMasine[[#This Row],[Datum SAS]]-1,2)=7,PlanMasine[[#This Row],[Datum SAS]]-3,PlanMasine[[#This Row],[Datum SAS]]-1)</f>
        <v>45814</v>
      </c>
      <c r="W365">
        <f>WEEKNUM(PlanMasine[[#This Row],[Column2]],1)</f>
        <v>23</v>
      </c>
    </row>
    <row r="366" spans="1:23" x14ac:dyDescent="0.35">
      <c r="A366">
        <v>1021990</v>
      </c>
      <c r="B366">
        <v>1</v>
      </c>
      <c r="C366">
        <v>1021953</v>
      </c>
      <c r="D366" t="s">
        <v>1710</v>
      </c>
      <c r="E366">
        <v>90</v>
      </c>
      <c r="F366">
        <v>6</v>
      </c>
      <c r="G366">
        <v>0</v>
      </c>
      <c r="H366">
        <v>0</v>
      </c>
      <c r="I366" t="s">
        <v>24</v>
      </c>
      <c r="J366" t="s">
        <v>597</v>
      </c>
      <c r="K366" t="s">
        <v>1946</v>
      </c>
      <c r="L366" s="3">
        <v>45820</v>
      </c>
      <c r="M366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1.0416666666666666E-2</v>
      </c>
      <c r="N366" s="3">
        <v>45817</v>
      </c>
      <c r="O366" s="5">
        <f>IFERROR((PlanMasine[[#This Row],[Norma]]/PlanMasine[[#This Row],[Q]])*(PlanMasine[[#This Row],[Q]]/SUMIF(C:C,PlanMasine[[#This Row],[RN]],B:B)*PlanMasine[[#This Row],[KPLQ]]),0)</f>
        <v>15</v>
      </c>
      <c r="P366">
        <v>215507</v>
      </c>
      <c r="Q366">
        <f>COUNTIF(PROMJENA!A:A,PlanMasine[[#This Row],[KPL]]&amp;"-"&amp;PlanMasine[[#This Row],[RN]])</f>
        <v>0</v>
      </c>
      <c r="R366">
        <f>IFERROR(INDEX(REDOSLIJED!A:A,MATCH(PlanMasine[[#This Row],[KPL]],REDOSLIJED!B:B,0)),MAX(REDOSLIJED!A:A)+1)</f>
        <v>45</v>
      </c>
      <c r="S366" s="9">
        <f>SUM($M$2:M366)</f>
        <v>14.303333333333342</v>
      </c>
      <c r="T366" s="3">
        <f>PlanMasine[[#This Row],[Datum SAS]]-1</f>
        <v>45816</v>
      </c>
      <c r="U366">
        <f>WEEKDAY(PlanMasine[[#This Row],[ZAVRŠETAK MAŠINSKE]],2)</f>
        <v>7</v>
      </c>
      <c r="V366" s="3">
        <f>IF(WEEKDAY(PlanMasine[[#This Row],[Datum SAS]]-1,2)=7,PlanMasine[[#This Row],[Datum SAS]]-3,PlanMasine[[#This Row],[Datum SAS]]-1)</f>
        <v>45814</v>
      </c>
      <c r="W366">
        <f>WEEKNUM(PlanMasine[[#This Row],[Column2]],1)</f>
        <v>23</v>
      </c>
    </row>
    <row r="367" spans="1:23" x14ac:dyDescent="0.35">
      <c r="A367">
        <v>1021991</v>
      </c>
      <c r="B367">
        <v>1</v>
      </c>
      <c r="C367">
        <v>1021911</v>
      </c>
      <c r="D367" t="s">
        <v>1623</v>
      </c>
      <c r="E367">
        <v>180</v>
      </c>
      <c r="F367">
        <v>6</v>
      </c>
      <c r="G367">
        <v>0</v>
      </c>
      <c r="H367">
        <v>0</v>
      </c>
      <c r="I367" t="s">
        <v>24</v>
      </c>
      <c r="J367" t="s">
        <v>597</v>
      </c>
      <c r="K367" t="s">
        <v>1946</v>
      </c>
      <c r="L367" s="3">
        <v>45820</v>
      </c>
      <c r="M367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2.0833333333333332E-2</v>
      </c>
      <c r="N367" s="3">
        <v>45817</v>
      </c>
      <c r="O367" s="5">
        <f>IFERROR((PlanMasine[[#This Row],[Norma]]/PlanMasine[[#This Row],[Q]])*(PlanMasine[[#This Row],[Q]]/SUMIF(C:C,PlanMasine[[#This Row],[RN]],B:B)*PlanMasine[[#This Row],[KPLQ]]),0)</f>
        <v>30</v>
      </c>
      <c r="P367">
        <v>215460</v>
      </c>
      <c r="Q367">
        <f>COUNTIF(PROMJENA!A:A,PlanMasine[[#This Row],[KPL]]&amp;"-"&amp;PlanMasine[[#This Row],[RN]])</f>
        <v>0</v>
      </c>
      <c r="R367">
        <f>IFERROR(INDEX(REDOSLIJED!A:A,MATCH(PlanMasine[[#This Row],[KPL]],REDOSLIJED!B:B,0)),MAX(REDOSLIJED!A:A)+1)</f>
        <v>45</v>
      </c>
      <c r="S367" s="9">
        <f>SUM($M$2:M367)</f>
        <v>14.324166666666676</v>
      </c>
      <c r="T367" s="3">
        <f>PlanMasine[[#This Row],[Datum SAS]]-1</f>
        <v>45816</v>
      </c>
      <c r="U367">
        <f>WEEKDAY(PlanMasine[[#This Row],[ZAVRŠETAK MAŠINSKE]],2)</f>
        <v>7</v>
      </c>
      <c r="V367" s="3">
        <f>IF(WEEKDAY(PlanMasine[[#This Row],[Datum SAS]]-1,2)=7,PlanMasine[[#This Row],[Datum SAS]]-3,PlanMasine[[#This Row],[Datum SAS]]-1)</f>
        <v>45814</v>
      </c>
      <c r="W367">
        <f>WEEKNUM(PlanMasine[[#This Row],[Column2]],1)</f>
        <v>23</v>
      </c>
    </row>
    <row r="368" spans="1:23" x14ac:dyDescent="0.35">
      <c r="A368">
        <v>1021991</v>
      </c>
      <c r="B368">
        <v>1</v>
      </c>
      <c r="C368">
        <v>1021910</v>
      </c>
      <c r="D368" t="s">
        <v>1612</v>
      </c>
      <c r="E368">
        <v>120</v>
      </c>
      <c r="F368">
        <v>6</v>
      </c>
      <c r="G368">
        <v>0</v>
      </c>
      <c r="H368">
        <v>0</v>
      </c>
      <c r="I368" t="s">
        <v>24</v>
      </c>
      <c r="J368" t="s">
        <v>597</v>
      </c>
      <c r="K368" t="s">
        <v>1946</v>
      </c>
      <c r="L368" s="3">
        <v>45820</v>
      </c>
      <c r="M368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1.3888888888888888E-2</v>
      </c>
      <c r="N368" s="3">
        <v>45817</v>
      </c>
      <c r="O368" s="5">
        <f>IFERROR((PlanMasine[[#This Row],[Norma]]/PlanMasine[[#This Row],[Q]])*(PlanMasine[[#This Row],[Q]]/SUMIF(C:C,PlanMasine[[#This Row],[RN]],B:B)*PlanMasine[[#This Row],[KPLQ]]),0)</f>
        <v>20</v>
      </c>
      <c r="P368">
        <v>215459</v>
      </c>
      <c r="Q368">
        <f>COUNTIF(PROMJENA!A:A,PlanMasine[[#This Row],[KPL]]&amp;"-"&amp;PlanMasine[[#This Row],[RN]])</f>
        <v>0</v>
      </c>
      <c r="R368">
        <f>IFERROR(INDEX(REDOSLIJED!A:A,MATCH(PlanMasine[[#This Row],[KPL]],REDOSLIJED!B:B,0)),MAX(REDOSLIJED!A:A)+1)</f>
        <v>45</v>
      </c>
      <c r="S368" s="9">
        <f>SUM($M$2:M368)</f>
        <v>14.338055555555565</v>
      </c>
      <c r="T368" s="3">
        <f>PlanMasine[[#This Row],[Datum SAS]]-1</f>
        <v>45816</v>
      </c>
      <c r="U368">
        <f>WEEKDAY(PlanMasine[[#This Row],[ZAVRŠETAK MAŠINSKE]],2)</f>
        <v>7</v>
      </c>
      <c r="V368" s="3">
        <f>IF(WEEKDAY(PlanMasine[[#This Row],[Datum SAS]]-1,2)=7,PlanMasine[[#This Row],[Datum SAS]]-3,PlanMasine[[#This Row],[Datum SAS]]-1)</f>
        <v>45814</v>
      </c>
      <c r="W368">
        <f>WEEKNUM(PlanMasine[[#This Row],[Column2]],1)</f>
        <v>23</v>
      </c>
    </row>
    <row r="369" spans="1:23" x14ac:dyDescent="0.35">
      <c r="A369">
        <v>1021991</v>
      </c>
      <c r="B369">
        <v>1</v>
      </c>
      <c r="C369">
        <v>1021953</v>
      </c>
      <c r="D369" t="s">
        <v>1710</v>
      </c>
      <c r="E369">
        <v>90</v>
      </c>
      <c r="F369">
        <v>6</v>
      </c>
      <c r="G369">
        <v>0</v>
      </c>
      <c r="H369">
        <v>0</v>
      </c>
      <c r="I369" t="s">
        <v>24</v>
      </c>
      <c r="J369" t="s">
        <v>597</v>
      </c>
      <c r="K369" t="s">
        <v>1946</v>
      </c>
      <c r="L369" s="3">
        <v>45820</v>
      </c>
      <c r="M369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1.0416666666666666E-2</v>
      </c>
      <c r="N369" s="3">
        <v>45817</v>
      </c>
      <c r="O369" s="5">
        <f>IFERROR((PlanMasine[[#This Row],[Norma]]/PlanMasine[[#This Row],[Q]])*(PlanMasine[[#This Row],[Q]]/SUMIF(C:C,PlanMasine[[#This Row],[RN]],B:B)*PlanMasine[[#This Row],[KPLQ]]),0)</f>
        <v>15</v>
      </c>
      <c r="P369">
        <v>215507</v>
      </c>
      <c r="Q369">
        <f>COUNTIF(PROMJENA!A:A,PlanMasine[[#This Row],[KPL]]&amp;"-"&amp;PlanMasine[[#This Row],[RN]])</f>
        <v>0</v>
      </c>
      <c r="R369">
        <f>IFERROR(INDEX(REDOSLIJED!A:A,MATCH(PlanMasine[[#This Row],[KPL]],REDOSLIJED!B:B,0)),MAX(REDOSLIJED!A:A)+1)</f>
        <v>45</v>
      </c>
      <c r="S369" s="9">
        <f>SUM($M$2:M369)</f>
        <v>14.348472222222231</v>
      </c>
      <c r="T369" s="3">
        <f>PlanMasine[[#This Row],[Datum SAS]]-1</f>
        <v>45816</v>
      </c>
      <c r="U369">
        <f>WEEKDAY(PlanMasine[[#This Row],[ZAVRŠETAK MAŠINSKE]],2)</f>
        <v>7</v>
      </c>
      <c r="V369" s="3">
        <f>IF(WEEKDAY(PlanMasine[[#This Row],[Datum SAS]]-1,2)=7,PlanMasine[[#This Row],[Datum SAS]]-3,PlanMasine[[#This Row],[Datum SAS]]-1)</f>
        <v>45814</v>
      </c>
      <c r="W369">
        <f>WEEKNUM(PlanMasine[[#This Row],[Column2]],1)</f>
        <v>23</v>
      </c>
    </row>
    <row r="370" spans="1:23" x14ac:dyDescent="0.35">
      <c r="A370">
        <v>1021992</v>
      </c>
      <c r="B370">
        <v>1</v>
      </c>
      <c r="C370">
        <v>1021953</v>
      </c>
      <c r="D370" t="s">
        <v>1710</v>
      </c>
      <c r="E370">
        <v>90</v>
      </c>
      <c r="F370">
        <v>6</v>
      </c>
      <c r="G370">
        <v>0</v>
      </c>
      <c r="H370">
        <v>0</v>
      </c>
      <c r="I370" t="s">
        <v>24</v>
      </c>
      <c r="J370" t="s">
        <v>597</v>
      </c>
      <c r="K370" t="s">
        <v>1946</v>
      </c>
      <c r="L370" s="3">
        <v>45820</v>
      </c>
      <c r="M370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1.0416666666666666E-2</v>
      </c>
      <c r="N370" s="3">
        <v>45817</v>
      </c>
      <c r="O370" s="5">
        <f>IFERROR((PlanMasine[[#This Row],[Norma]]/PlanMasine[[#This Row],[Q]])*(PlanMasine[[#This Row],[Q]]/SUMIF(C:C,PlanMasine[[#This Row],[RN]],B:B)*PlanMasine[[#This Row],[KPLQ]]),0)</f>
        <v>15</v>
      </c>
      <c r="P370">
        <v>215507</v>
      </c>
      <c r="Q370">
        <f>COUNTIF(PROMJENA!A:A,PlanMasine[[#This Row],[KPL]]&amp;"-"&amp;PlanMasine[[#This Row],[RN]])</f>
        <v>0</v>
      </c>
      <c r="R370">
        <f>IFERROR(INDEX(REDOSLIJED!A:A,MATCH(PlanMasine[[#This Row],[KPL]],REDOSLIJED!B:B,0)),MAX(REDOSLIJED!A:A)+1)</f>
        <v>45</v>
      </c>
      <c r="S370" s="9">
        <f>SUM($M$2:M370)</f>
        <v>14.358888888888897</v>
      </c>
      <c r="T370" s="3">
        <f>PlanMasine[[#This Row],[Datum SAS]]-1</f>
        <v>45816</v>
      </c>
      <c r="U370">
        <f>WEEKDAY(PlanMasine[[#This Row],[ZAVRŠETAK MAŠINSKE]],2)</f>
        <v>7</v>
      </c>
      <c r="V370" s="3">
        <f>IF(WEEKDAY(PlanMasine[[#This Row],[Datum SAS]]-1,2)=7,PlanMasine[[#This Row],[Datum SAS]]-3,PlanMasine[[#This Row],[Datum SAS]]-1)</f>
        <v>45814</v>
      </c>
      <c r="W370">
        <f>WEEKNUM(PlanMasine[[#This Row],[Column2]],1)</f>
        <v>23</v>
      </c>
    </row>
    <row r="371" spans="1:23" x14ac:dyDescent="0.35">
      <c r="A371">
        <v>1021992</v>
      </c>
      <c r="B371">
        <v>1</v>
      </c>
      <c r="C371">
        <v>1021911</v>
      </c>
      <c r="D371" t="s">
        <v>1623</v>
      </c>
      <c r="E371">
        <v>180</v>
      </c>
      <c r="F371">
        <v>6</v>
      </c>
      <c r="G371">
        <v>0</v>
      </c>
      <c r="H371">
        <v>0</v>
      </c>
      <c r="I371" t="s">
        <v>24</v>
      </c>
      <c r="J371" t="s">
        <v>597</v>
      </c>
      <c r="K371" t="s">
        <v>1946</v>
      </c>
      <c r="L371" s="3">
        <v>45820</v>
      </c>
      <c r="M371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2.0833333333333332E-2</v>
      </c>
      <c r="N371" s="3">
        <v>45817</v>
      </c>
      <c r="O371" s="5">
        <f>IFERROR((PlanMasine[[#This Row],[Norma]]/PlanMasine[[#This Row],[Q]])*(PlanMasine[[#This Row],[Q]]/SUMIF(C:C,PlanMasine[[#This Row],[RN]],B:B)*PlanMasine[[#This Row],[KPLQ]]),0)</f>
        <v>30</v>
      </c>
      <c r="P371">
        <v>215460</v>
      </c>
      <c r="Q371">
        <f>COUNTIF(PROMJENA!A:A,PlanMasine[[#This Row],[KPL]]&amp;"-"&amp;PlanMasine[[#This Row],[RN]])</f>
        <v>0</v>
      </c>
      <c r="R371">
        <f>IFERROR(INDEX(REDOSLIJED!A:A,MATCH(PlanMasine[[#This Row],[KPL]],REDOSLIJED!B:B,0)),MAX(REDOSLIJED!A:A)+1)</f>
        <v>45</v>
      </c>
      <c r="S371" s="9">
        <f>SUM($M$2:M371)</f>
        <v>14.379722222222231</v>
      </c>
      <c r="T371" s="3">
        <f>PlanMasine[[#This Row],[Datum SAS]]-1</f>
        <v>45816</v>
      </c>
      <c r="U371">
        <f>WEEKDAY(PlanMasine[[#This Row],[ZAVRŠETAK MAŠINSKE]],2)</f>
        <v>7</v>
      </c>
      <c r="V371" s="3">
        <f>IF(WEEKDAY(PlanMasine[[#This Row],[Datum SAS]]-1,2)=7,PlanMasine[[#This Row],[Datum SAS]]-3,PlanMasine[[#This Row],[Datum SAS]]-1)</f>
        <v>45814</v>
      </c>
      <c r="W371">
        <f>WEEKNUM(PlanMasine[[#This Row],[Column2]],1)</f>
        <v>23</v>
      </c>
    </row>
    <row r="372" spans="1:23" x14ac:dyDescent="0.35">
      <c r="A372">
        <v>1021992</v>
      </c>
      <c r="B372">
        <v>1</v>
      </c>
      <c r="C372">
        <v>1021910</v>
      </c>
      <c r="D372" t="s">
        <v>1612</v>
      </c>
      <c r="E372">
        <v>120</v>
      </c>
      <c r="F372">
        <v>6</v>
      </c>
      <c r="G372">
        <v>0</v>
      </c>
      <c r="H372">
        <v>0</v>
      </c>
      <c r="I372" t="s">
        <v>24</v>
      </c>
      <c r="J372" t="s">
        <v>597</v>
      </c>
      <c r="K372" t="s">
        <v>1946</v>
      </c>
      <c r="L372" s="3">
        <v>45820</v>
      </c>
      <c r="M372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1.3888888888888888E-2</v>
      </c>
      <c r="N372" s="3">
        <v>45817</v>
      </c>
      <c r="O372" s="5">
        <f>IFERROR((PlanMasine[[#This Row],[Norma]]/PlanMasine[[#This Row],[Q]])*(PlanMasine[[#This Row],[Q]]/SUMIF(C:C,PlanMasine[[#This Row],[RN]],B:B)*PlanMasine[[#This Row],[KPLQ]]),0)</f>
        <v>20</v>
      </c>
      <c r="P372">
        <v>215459</v>
      </c>
      <c r="Q372">
        <f>COUNTIF(PROMJENA!A:A,PlanMasine[[#This Row],[KPL]]&amp;"-"&amp;PlanMasine[[#This Row],[RN]])</f>
        <v>0</v>
      </c>
      <c r="R372">
        <f>IFERROR(INDEX(REDOSLIJED!A:A,MATCH(PlanMasine[[#This Row],[KPL]],REDOSLIJED!B:B,0)),MAX(REDOSLIJED!A:A)+1)</f>
        <v>45</v>
      </c>
      <c r="S372" s="9">
        <f>SUM($M$2:M372)</f>
        <v>14.39361111111112</v>
      </c>
      <c r="T372" s="3">
        <f>PlanMasine[[#This Row],[Datum SAS]]-1</f>
        <v>45816</v>
      </c>
      <c r="U372">
        <f>WEEKDAY(PlanMasine[[#This Row],[ZAVRŠETAK MAŠINSKE]],2)</f>
        <v>7</v>
      </c>
      <c r="V372" s="3">
        <f>IF(WEEKDAY(PlanMasine[[#This Row],[Datum SAS]]-1,2)=7,PlanMasine[[#This Row],[Datum SAS]]-3,PlanMasine[[#This Row],[Datum SAS]]-1)</f>
        <v>45814</v>
      </c>
      <c r="W372">
        <f>WEEKNUM(PlanMasine[[#This Row],[Column2]],1)</f>
        <v>23</v>
      </c>
    </row>
    <row r="373" spans="1:23" x14ac:dyDescent="0.35">
      <c r="A373">
        <v>1021993</v>
      </c>
      <c r="B373">
        <v>1</v>
      </c>
      <c r="C373">
        <v>1021953</v>
      </c>
      <c r="D373" t="s">
        <v>1710</v>
      </c>
      <c r="E373">
        <v>90</v>
      </c>
      <c r="F373">
        <v>6</v>
      </c>
      <c r="G373">
        <v>0</v>
      </c>
      <c r="H373">
        <v>0</v>
      </c>
      <c r="I373" t="s">
        <v>24</v>
      </c>
      <c r="J373" t="s">
        <v>597</v>
      </c>
      <c r="K373" t="s">
        <v>1946</v>
      </c>
      <c r="L373" s="3">
        <v>45820</v>
      </c>
      <c r="M373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1.0416666666666666E-2</v>
      </c>
      <c r="N373" s="3">
        <v>45817</v>
      </c>
      <c r="O373" s="5">
        <f>IFERROR((PlanMasine[[#This Row],[Norma]]/PlanMasine[[#This Row],[Q]])*(PlanMasine[[#This Row],[Q]]/SUMIF(C:C,PlanMasine[[#This Row],[RN]],B:B)*PlanMasine[[#This Row],[KPLQ]]),0)</f>
        <v>15</v>
      </c>
      <c r="P373">
        <v>215507</v>
      </c>
      <c r="Q373">
        <f>COUNTIF(PROMJENA!A:A,PlanMasine[[#This Row],[KPL]]&amp;"-"&amp;PlanMasine[[#This Row],[RN]])</f>
        <v>0</v>
      </c>
      <c r="R373">
        <f>IFERROR(INDEX(REDOSLIJED!A:A,MATCH(PlanMasine[[#This Row],[KPL]],REDOSLIJED!B:B,0)),MAX(REDOSLIJED!A:A)+1)</f>
        <v>45</v>
      </c>
      <c r="S373" s="9">
        <f>SUM($M$2:M373)</f>
        <v>14.404027777777786</v>
      </c>
      <c r="T373" s="3">
        <f>PlanMasine[[#This Row],[Datum SAS]]-1</f>
        <v>45816</v>
      </c>
      <c r="U373">
        <f>WEEKDAY(PlanMasine[[#This Row],[ZAVRŠETAK MAŠINSKE]],2)</f>
        <v>7</v>
      </c>
      <c r="V373" s="3">
        <f>IF(WEEKDAY(PlanMasine[[#This Row],[Datum SAS]]-1,2)=7,PlanMasine[[#This Row],[Datum SAS]]-3,PlanMasine[[#This Row],[Datum SAS]]-1)</f>
        <v>45814</v>
      </c>
      <c r="W373">
        <f>WEEKNUM(PlanMasine[[#This Row],[Column2]],1)</f>
        <v>23</v>
      </c>
    </row>
    <row r="374" spans="1:23" x14ac:dyDescent="0.35">
      <c r="A374">
        <v>1021993</v>
      </c>
      <c r="B374">
        <v>1</v>
      </c>
      <c r="C374">
        <v>1021910</v>
      </c>
      <c r="D374" t="s">
        <v>1612</v>
      </c>
      <c r="E374">
        <v>120</v>
      </c>
      <c r="F374">
        <v>6</v>
      </c>
      <c r="G374">
        <v>0</v>
      </c>
      <c r="H374">
        <v>0</v>
      </c>
      <c r="I374" t="s">
        <v>24</v>
      </c>
      <c r="J374" t="s">
        <v>597</v>
      </c>
      <c r="K374" t="s">
        <v>1946</v>
      </c>
      <c r="L374" s="3">
        <v>45820</v>
      </c>
      <c r="M374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1.3888888888888888E-2</v>
      </c>
      <c r="N374" s="3">
        <v>45817</v>
      </c>
      <c r="O374" s="5">
        <f>IFERROR((PlanMasine[[#This Row],[Norma]]/PlanMasine[[#This Row],[Q]])*(PlanMasine[[#This Row],[Q]]/SUMIF(C:C,PlanMasine[[#This Row],[RN]],B:B)*PlanMasine[[#This Row],[KPLQ]]),0)</f>
        <v>20</v>
      </c>
      <c r="P374">
        <v>215459</v>
      </c>
      <c r="Q374">
        <f>COUNTIF(PROMJENA!A:A,PlanMasine[[#This Row],[KPL]]&amp;"-"&amp;PlanMasine[[#This Row],[RN]])</f>
        <v>0</v>
      </c>
      <c r="R374">
        <f>IFERROR(INDEX(REDOSLIJED!A:A,MATCH(PlanMasine[[#This Row],[KPL]],REDOSLIJED!B:B,0)),MAX(REDOSLIJED!A:A)+1)</f>
        <v>45</v>
      </c>
      <c r="S374" s="9">
        <f>SUM($M$2:M374)</f>
        <v>14.417916666666676</v>
      </c>
      <c r="T374" s="3">
        <f>PlanMasine[[#This Row],[Datum SAS]]-1</f>
        <v>45816</v>
      </c>
      <c r="U374">
        <f>WEEKDAY(PlanMasine[[#This Row],[ZAVRŠETAK MAŠINSKE]],2)</f>
        <v>7</v>
      </c>
      <c r="V374" s="3">
        <f>IF(WEEKDAY(PlanMasine[[#This Row],[Datum SAS]]-1,2)=7,PlanMasine[[#This Row],[Datum SAS]]-3,PlanMasine[[#This Row],[Datum SAS]]-1)</f>
        <v>45814</v>
      </c>
      <c r="W374">
        <f>WEEKNUM(PlanMasine[[#This Row],[Column2]],1)</f>
        <v>23</v>
      </c>
    </row>
    <row r="375" spans="1:23" x14ac:dyDescent="0.35">
      <c r="A375">
        <v>1021993</v>
      </c>
      <c r="B375">
        <v>1</v>
      </c>
      <c r="C375">
        <v>1021911</v>
      </c>
      <c r="D375" t="s">
        <v>1623</v>
      </c>
      <c r="E375">
        <v>180</v>
      </c>
      <c r="F375">
        <v>6</v>
      </c>
      <c r="G375">
        <v>0</v>
      </c>
      <c r="H375">
        <v>0</v>
      </c>
      <c r="I375" t="s">
        <v>24</v>
      </c>
      <c r="J375" t="s">
        <v>597</v>
      </c>
      <c r="K375" t="s">
        <v>1946</v>
      </c>
      <c r="L375" s="3">
        <v>45820</v>
      </c>
      <c r="M375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2.0833333333333332E-2</v>
      </c>
      <c r="N375" s="3">
        <v>45817</v>
      </c>
      <c r="O375" s="5">
        <f>IFERROR((PlanMasine[[#This Row],[Norma]]/PlanMasine[[#This Row],[Q]])*(PlanMasine[[#This Row],[Q]]/SUMIF(C:C,PlanMasine[[#This Row],[RN]],B:B)*PlanMasine[[#This Row],[KPLQ]]),0)</f>
        <v>30</v>
      </c>
      <c r="P375">
        <v>215460</v>
      </c>
      <c r="Q375">
        <f>COUNTIF(PROMJENA!A:A,PlanMasine[[#This Row],[KPL]]&amp;"-"&amp;PlanMasine[[#This Row],[RN]])</f>
        <v>0</v>
      </c>
      <c r="R375">
        <f>IFERROR(INDEX(REDOSLIJED!A:A,MATCH(PlanMasine[[#This Row],[KPL]],REDOSLIJED!B:B,0)),MAX(REDOSLIJED!A:A)+1)</f>
        <v>45</v>
      </c>
      <c r="S375" s="9">
        <f>SUM($M$2:M375)</f>
        <v>14.43875000000001</v>
      </c>
      <c r="T375" s="3">
        <f>PlanMasine[[#This Row],[Datum SAS]]-1</f>
        <v>45816</v>
      </c>
      <c r="U375">
        <f>WEEKDAY(PlanMasine[[#This Row],[ZAVRŠETAK MAŠINSKE]],2)</f>
        <v>7</v>
      </c>
      <c r="V375" s="3">
        <f>IF(WEEKDAY(PlanMasine[[#This Row],[Datum SAS]]-1,2)=7,PlanMasine[[#This Row],[Datum SAS]]-3,PlanMasine[[#This Row],[Datum SAS]]-1)</f>
        <v>45814</v>
      </c>
      <c r="W375">
        <f>WEEKNUM(PlanMasine[[#This Row],[Column2]],1)</f>
        <v>23</v>
      </c>
    </row>
    <row r="376" spans="1:23" x14ac:dyDescent="0.35">
      <c r="A376">
        <v>1021994</v>
      </c>
      <c r="B376">
        <v>1</v>
      </c>
      <c r="C376">
        <v>1021910</v>
      </c>
      <c r="D376" t="s">
        <v>1612</v>
      </c>
      <c r="E376">
        <v>120</v>
      </c>
      <c r="F376">
        <v>6</v>
      </c>
      <c r="G376">
        <v>0</v>
      </c>
      <c r="H376">
        <v>0</v>
      </c>
      <c r="I376" t="s">
        <v>24</v>
      </c>
      <c r="J376" t="s">
        <v>597</v>
      </c>
      <c r="K376" t="s">
        <v>1946</v>
      </c>
      <c r="L376" s="3">
        <v>45820</v>
      </c>
      <c r="M376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1.3888888888888888E-2</v>
      </c>
      <c r="N376" s="3">
        <v>45817</v>
      </c>
      <c r="O376" s="5">
        <f>IFERROR((PlanMasine[[#This Row],[Norma]]/PlanMasine[[#This Row],[Q]])*(PlanMasine[[#This Row],[Q]]/SUMIF(C:C,PlanMasine[[#This Row],[RN]],B:B)*PlanMasine[[#This Row],[KPLQ]]),0)</f>
        <v>20</v>
      </c>
      <c r="P376">
        <v>215459</v>
      </c>
      <c r="Q376">
        <f>COUNTIF(PROMJENA!A:A,PlanMasine[[#This Row],[KPL]]&amp;"-"&amp;PlanMasine[[#This Row],[RN]])</f>
        <v>0</v>
      </c>
      <c r="R376">
        <f>IFERROR(INDEX(REDOSLIJED!A:A,MATCH(PlanMasine[[#This Row],[KPL]],REDOSLIJED!B:B,0)),MAX(REDOSLIJED!A:A)+1)</f>
        <v>45</v>
      </c>
      <c r="S376" s="9">
        <f>SUM($M$2:M376)</f>
        <v>14.452638888888899</v>
      </c>
      <c r="T376" s="3">
        <f>PlanMasine[[#This Row],[Datum SAS]]-1</f>
        <v>45816</v>
      </c>
      <c r="U376">
        <f>WEEKDAY(PlanMasine[[#This Row],[ZAVRŠETAK MAŠINSKE]],2)</f>
        <v>7</v>
      </c>
      <c r="V376" s="3">
        <f>IF(WEEKDAY(PlanMasine[[#This Row],[Datum SAS]]-1,2)=7,PlanMasine[[#This Row],[Datum SAS]]-3,PlanMasine[[#This Row],[Datum SAS]]-1)</f>
        <v>45814</v>
      </c>
      <c r="W376">
        <f>WEEKNUM(PlanMasine[[#This Row],[Column2]],1)</f>
        <v>23</v>
      </c>
    </row>
    <row r="377" spans="1:23" x14ac:dyDescent="0.35">
      <c r="A377">
        <v>1021994</v>
      </c>
      <c r="B377">
        <v>1</v>
      </c>
      <c r="C377">
        <v>1021911</v>
      </c>
      <c r="D377" t="s">
        <v>1623</v>
      </c>
      <c r="E377">
        <v>180</v>
      </c>
      <c r="F377">
        <v>6</v>
      </c>
      <c r="G377">
        <v>0</v>
      </c>
      <c r="H377">
        <v>0</v>
      </c>
      <c r="I377" t="s">
        <v>24</v>
      </c>
      <c r="J377" t="s">
        <v>597</v>
      </c>
      <c r="K377" t="s">
        <v>1946</v>
      </c>
      <c r="L377" s="3">
        <v>45820</v>
      </c>
      <c r="M377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2.0833333333333332E-2</v>
      </c>
      <c r="N377" s="3">
        <v>45817</v>
      </c>
      <c r="O377" s="5">
        <f>IFERROR((PlanMasine[[#This Row],[Norma]]/PlanMasine[[#This Row],[Q]])*(PlanMasine[[#This Row],[Q]]/SUMIF(C:C,PlanMasine[[#This Row],[RN]],B:B)*PlanMasine[[#This Row],[KPLQ]]),0)</f>
        <v>30</v>
      </c>
      <c r="P377">
        <v>215460</v>
      </c>
      <c r="Q377">
        <f>COUNTIF(PROMJENA!A:A,PlanMasine[[#This Row],[KPL]]&amp;"-"&amp;PlanMasine[[#This Row],[RN]])</f>
        <v>0</v>
      </c>
      <c r="R377">
        <f>IFERROR(INDEX(REDOSLIJED!A:A,MATCH(PlanMasine[[#This Row],[KPL]],REDOSLIJED!B:B,0)),MAX(REDOSLIJED!A:A)+1)</f>
        <v>45</v>
      </c>
      <c r="S377" s="9">
        <f>SUM($M$2:M377)</f>
        <v>14.473472222222233</v>
      </c>
      <c r="T377" s="3">
        <f>PlanMasine[[#This Row],[Datum SAS]]-1</f>
        <v>45816</v>
      </c>
      <c r="U377">
        <f>WEEKDAY(PlanMasine[[#This Row],[ZAVRŠETAK MAŠINSKE]],2)</f>
        <v>7</v>
      </c>
      <c r="V377" s="3">
        <f>IF(WEEKDAY(PlanMasine[[#This Row],[Datum SAS]]-1,2)=7,PlanMasine[[#This Row],[Datum SAS]]-3,PlanMasine[[#This Row],[Datum SAS]]-1)</f>
        <v>45814</v>
      </c>
      <c r="W377">
        <f>WEEKNUM(PlanMasine[[#This Row],[Column2]],1)</f>
        <v>23</v>
      </c>
    </row>
    <row r="378" spans="1:23" x14ac:dyDescent="0.35">
      <c r="A378">
        <v>1021994</v>
      </c>
      <c r="B378">
        <v>1</v>
      </c>
      <c r="C378">
        <v>1021953</v>
      </c>
      <c r="D378" t="s">
        <v>1710</v>
      </c>
      <c r="E378">
        <v>90</v>
      </c>
      <c r="F378">
        <v>6</v>
      </c>
      <c r="G378">
        <v>0</v>
      </c>
      <c r="H378">
        <v>0</v>
      </c>
      <c r="I378" t="s">
        <v>24</v>
      </c>
      <c r="J378" t="s">
        <v>597</v>
      </c>
      <c r="K378" t="s">
        <v>1946</v>
      </c>
      <c r="L378" s="3">
        <v>45820</v>
      </c>
      <c r="M378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1.0416666666666666E-2</v>
      </c>
      <c r="N378" s="3">
        <v>45817</v>
      </c>
      <c r="O378" s="5">
        <f>IFERROR((PlanMasine[[#This Row],[Norma]]/PlanMasine[[#This Row],[Q]])*(PlanMasine[[#This Row],[Q]]/SUMIF(C:C,PlanMasine[[#This Row],[RN]],B:B)*PlanMasine[[#This Row],[KPLQ]]),0)</f>
        <v>15</v>
      </c>
      <c r="P378">
        <v>215507</v>
      </c>
      <c r="Q378">
        <f>COUNTIF(PROMJENA!A:A,PlanMasine[[#This Row],[KPL]]&amp;"-"&amp;PlanMasine[[#This Row],[RN]])</f>
        <v>0</v>
      </c>
      <c r="R378">
        <f>IFERROR(INDEX(REDOSLIJED!A:A,MATCH(PlanMasine[[#This Row],[KPL]],REDOSLIJED!B:B,0)),MAX(REDOSLIJED!A:A)+1)</f>
        <v>45</v>
      </c>
      <c r="S378" s="9">
        <f>SUM($M$2:M378)</f>
        <v>14.483888888888899</v>
      </c>
      <c r="T378" s="3">
        <f>PlanMasine[[#This Row],[Datum SAS]]-1</f>
        <v>45816</v>
      </c>
      <c r="U378">
        <f>WEEKDAY(PlanMasine[[#This Row],[ZAVRŠETAK MAŠINSKE]],2)</f>
        <v>7</v>
      </c>
      <c r="V378" s="3">
        <f>IF(WEEKDAY(PlanMasine[[#This Row],[Datum SAS]]-1,2)=7,PlanMasine[[#This Row],[Datum SAS]]-3,PlanMasine[[#This Row],[Datum SAS]]-1)</f>
        <v>45814</v>
      </c>
      <c r="W378">
        <f>WEEKNUM(PlanMasine[[#This Row],[Column2]],1)</f>
        <v>23</v>
      </c>
    </row>
    <row r="379" spans="1:23" x14ac:dyDescent="0.35">
      <c r="A379">
        <v>1021995</v>
      </c>
      <c r="B379">
        <v>1</v>
      </c>
      <c r="C379">
        <v>1021953</v>
      </c>
      <c r="D379" t="s">
        <v>1710</v>
      </c>
      <c r="E379">
        <v>90</v>
      </c>
      <c r="F379">
        <v>6</v>
      </c>
      <c r="G379">
        <v>0</v>
      </c>
      <c r="H379">
        <v>0</v>
      </c>
      <c r="I379" t="s">
        <v>24</v>
      </c>
      <c r="J379" t="s">
        <v>597</v>
      </c>
      <c r="K379" t="s">
        <v>1946</v>
      </c>
      <c r="L379" s="3">
        <v>45820</v>
      </c>
      <c r="M379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1.0416666666666666E-2</v>
      </c>
      <c r="N379" s="3">
        <v>45817</v>
      </c>
      <c r="O379" s="5">
        <f>IFERROR((PlanMasine[[#This Row],[Norma]]/PlanMasine[[#This Row],[Q]])*(PlanMasine[[#This Row],[Q]]/SUMIF(C:C,PlanMasine[[#This Row],[RN]],B:B)*PlanMasine[[#This Row],[KPLQ]]),0)</f>
        <v>15</v>
      </c>
      <c r="P379">
        <v>215507</v>
      </c>
      <c r="Q379">
        <f>COUNTIF(PROMJENA!A:A,PlanMasine[[#This Row],[KPL]]&amp;"-"&amp;PlanMasine[[#This Row],[RN]])</f>
        <v>0</v>
      </c>
      <c r="R379">
        <f>IFERROR(INDEX(REDOSLIJED!A:A,MATCH(PlanMasine[[#This Row],[KPL]],REDOSLIJED!B:B,0)),MAX(REDOSLIJED!A:A)+1)</f>
        <v>45</v>
      </c>
      <c r="S379" s="9">
        <f>SUM($M$2:M379)</f>
        <v>14.494305555555565</v>
      </c>
      <c r="T379" s="3">
        <f>PlanMasine[[#This Row],[Datum SAS]]-1</f>
        <v>45816</v>
      </c>
      <c r="U379">
        <f>WEEKDAY(PlanMasine[[#This Row],[ZAVRŠETAK MAŠINSKE]],2)</f>
        <v>7</v>
      </c>
      <c r="V379" s="3">
        <f>IF(WEEKDAY(PlanMasine[[#This Row],[Datum SAS]]-1,2)=7,PlanMasine[[#This Row],[Datum SAS]]-3,PlanMasine[[#This Row],[Datum SAS]]-1)</f>
        <v>45814</v>
      </c>
      <c r="W379">
        <f>WEEKNUM(PlanMasine[[#This Row],[Column2]],1)</f>
        <v>23</v>
      </c>
    </row>
    <row r="380" spans="1:23" x14ac:dyDescent="0.35">
      <c r="A380">
        <v>1021995</v>
      </c>
      <c r="B380">
        <v>1</v>
      </c>
      <c r="C380">
        <v>1021911</v>
      </c>
      <c r="D380" t="s">
        <v>1623</v>
      </c>
      <c r="E380">
        <v>180</v>
      </c>
      <c r="F380">
        <v>6</v>
      </c>
      <c r="G380">
        <v>0</v>
      </c>
      <c r="H380">
        <v>0</v>
      </c>
      <c r="I380" t="s">
        <v>24</v>
      </c>
      <c r="J380" t="s">
        <v>597</v>
      </c>
      <c r="K380" t="s">
        <v>1946</v>
      </c>
      <c r="L380" s="3">
        <v>45820</v>
      </c>
      <c r="M380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2.0833333333333332E-2</v>
      </c>
      <c r="N380" s="3">
        <v>45817</v>
      </c>
      <c r="O380" s="5">
        <f>IFERROR((PlanMasine[[#This Row],[Norma]]/PlanMasine[[#This Row],[Q]])*(PlanMasine[[#This Row],[Q]]/SUMIF(C:C,PlanMasine[[#This Row],[RN]],B:B)*PlanMasine[[#This Row],[KPLQ]]),0)</f>
        <v>30</v>
      </c>
      <c r="P380">
        <v>215460</v>
      </c>
      <c r="Q380">
        <f>COUNTIF(PROMJENA!A:A,PlanMasine[[#This Row],[KPL]]&amp;"-"&amp;PlanMasine[[#This Row],[RN]])</f>
        <v>0</v>
      </c>
      <c r="R380">
        <f>IFERROR(INDEX(REDOSLIJED!A:A,MATCH(PlanMasine[[#This Row],[KPL]],REDOSLIJED!B:B,0)),MAX(REDOSLIJED!A:A)+1)</f>
        <v>45</v>
      </c>
      <c r="S380" s="9">
        <f>SUM($M$2:M380)</f>
        <v>14.515138888888899</v>
      </c>
      <c r="T380" s="3">
        <f>PlanMasine[[#This Row],[Datum SAS]]-1</f>
        <v>45816</v>
      </c>
      <c r="U380">
        <f>WEEKDAY(PlanMasine[[#This Row],[ZAVRŠETAK MAŠINSKE]],2)</f>
        <v>7</v>
      </c>
      <c r="V380" s="3">
        <f>IF(WEEKDAY(PlanMasine[[#This Row],[Datum SAS]]-1,2)=7,PlanMasine[[#This Row],[Datum SAS]]-3,PlanMasine[[#This Row],[Datum SAS]]-1)</f>
        <v>45814</v>
      </c>
      <c r="W380">
        <f>WEEKNUM(PlanMasine[[#This Row],[Column2]],1)</f>
        <v>23</v>
      </c>
    </row>
    <row r="381" spans="1:23" x14ac:dyDescent="0.35">
      <c r="A381">
        <v>1021995</v>
      </c>
      <c r="B381">
        <v>1</v>
      </c>
      <c r="C381">
        <v>1021910</v>
      </c>
      <c r="D381" t="s">
        <v>1612</v>
      </c>
      <c r="E381">
        <v>120</v>
      </c>
      <c r="F381">
        <v>6</v>
      </c>
      <c r="G381">
        <v>0</v>
      </c>
      <c r="H381">
        <v>0</v>
      </c>
      <c r="I381" t="s">
        <v>24</v>
      </c>
      <c r="J381" t="s">
        <v>597</v>
      </c>
      <c r="K381" t="s">
        <v>1946</v>
      </c>
      <c r="L381" s="3">
        <v>45820</v>
      </c>
      <c r="M381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1.3888888888888888E-2</v>
      </c>
      <c r="N381" s="3">
        <v>45817</v>
      </c>
      <c r="O381" s="5">
        <f>IFERROR((PlanMasine[[#This Row],[Norma]]/PlanMasine[[#This Row],[Q]])*(PlanMasine[[#This Row],[Q]]/SUMIF(C:C,PlanMasine[[#This Row],[RN]],B:B)*PlanMasine[[#This Row],[KPLQ]]),0)</f>
        <v>20</v>
      </c>
      <c r="P381">
        <v>215459</v>
      </c>
      <c r="Q381">
        <f>COUNTIF(PROMJENA!A:A,PlanMasine[[#This Row],[KPL]]&amp;"-"&amp;PlanMasine[[#This Row],[RN]])</f>
        <v>0</v>
      </c>
      <c r="R381">
        <f>IFERROR(INDEX(REDOSLIJED!A:A,MATCH(PlanMasine[[#This Row],[KPL]],REDOSLIJED!B:B,0)),MAX(REDOSLIJED!A:A)+1)</f>
        <v>45</v>
      </c>
      <c r="S381" s="9">
        <f>SUM($M$2:M381)</f>
        <v>14.529027777777788</v>
      </c>
      <c r="T381" s="3">
        <f>PlanMasine[[#This Row],[Datum SAS]]-1</f>
        <v>45816</v>
      </c>
      <c r="U381">
        <f>WEEKDAY(PlanMasine[[#This Row],[ZAVRŠETAK MAŠINSKE]],2)</f>
        <v>7</v>
      </c>
      <c r="V381" s="3">
        <f>IF(WEEKDAY(PlanMasine[[#This Row],[Datum SAS]]-1,2)=7,PlanMasine[[#This Row],[Datum SAS]]-3,PlanMasine[[#This Row],[Datum SAS]]-1)</f>
        <v>45814</v>
      </c>
      <c r="W381">
        <f>WEEKNUM(PlanMasine[[#This Row],[Column2]],1)</f>
        <v>23</v>
      </c>
    </row>
    <row r="382" spans="1:23" x14ac:dyDescent="0.35">
      <c r="A382">
        <v>1022087</v>
      </c>
      <c r="B382">
        <v>1</v>
      </c>
      <c r="C382">
        <v>1022089</v>
      </c>
      <c r="D382" t="s">
        <v>1947</v>
      </c>
      <c r="E382">
        <v>15</v>
      </c>
      <c r="F382">
        <v>1</v>
      </c>
      <c r="G382">
        <v>0</v>
      </c>
      <c r="H382">
        <v>0</v>
      </c>
      <c r="I382" t="s">
        <v>24</v>
      </c>
      <c r="J382" t="s">
        <v>597</v>
      </c>
      <c r="K382" t="s">
        <v>1948</v>
      </c>
      <c r="L382" s="3">
        <v>45832</v>
      </c>
      <c r="M382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1.0416666666666666E-2</v>
      </c>
      <c r="N382" s="3">
        <v>45817</v>
      </c>
      <c r="O382" s="5">
        <f>IFERROR((PlanMasine[[#This Row],[Norma]]/PlanMasine[[#This Row],[Q]])*(PlanMasine[[#This Row],[Q]]/SUMIF(C:C,PlanMasine[[#This Row],[RN]],B:B)*PlanMasine[[#This Row],[KPLQ]]),0)</f>
        <v>15</v>
      </c>
      <c r="P382">
        <v>215347</v>
      </c>
      <c r="Q382">
        <f>COUNTIF(PROMJENA!A:A,PlanMasine[[#This Row],[KPL]]&amp;"-"&amp;PlanMasine[[#This Row],[RN]])</f>
        <v>0</v>
      </c>
      <c r="R382">
        <f>IFERROR(INDEX(REDOSLIJED!A:A,MATCH(PlanMasine[[#This Row],[KPL]],REDOSLIJED!B:B,0)),MAX(REDOSLIJED!A:A)+1)</f>
        <v>45</v>
      </c>
      <c r="S382" s="9">
        <f>SUM($M$2:M382)</f>
        <v>14.539444444444454</v>
      </c>
      <c r="T382" s="3">
        <f>PlanMasine[[#This Row],[Datum SAS]]-1</f>
        <v>45816</v>
      </c>
      <c r="U382">
        <f>WEEKDAY(PlanMasine[[#This Row],[ZAVRŠETAK MAŠINSKE]],2)</f>
        <v>7</v>
      </c>
      <c r="V382" s="3">
        <f>IF(WEEKDAY(PlanMasine[[#This Row],[Datum SAS]]-1,2)=7,PlanMasine[[#This Row],[Datum SAS]]-3,PlanMasine[[#This Row],[Datum SAS]]-1)</f>
        <v>45814</v>
      </c>
      <c r="W382">
        <f>WEEKNUM(PlanMasine[[#This Row],[Column2]],1)</f>
        <v>23</v>
      </c>
    </row>
    <row r="383" spans="1:23" x14ac:dyDescent="0.35">
      <c r="A383">
        <v>1022410</v>
      </c>
      <c r="B383">
        <v>10</v>
      </c>
      <c r="C383">
        <v>1022418</v>
      </c>
      <c r="D383" t="s">
        <v>1308</v>
      </c>
      <c r="E383">
        <v>100.1</v>
      </c>
      <c r="F383">
        <v>10</v>
      </c>
      <c r="G383">
        <v>0</v>
      </c>
      <c r="H383">
        <v>0</v>
      </c>
      <c r="I383" t="s">
        <v>24</v>
      </c>
      <c r="J383" t="s">
        <v>597</v>
      </c>
      <c r="K383" t="s">
        <v>1949</v>
      </c>
      <c r="L383" s="3">
        <v>45846</v>
      </c>
      <c r="M383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6.9513888888888889E-2</v>
      </c>
      <c r="N383" s="3">
        <v>45817</v>
      </c>
      <c r="O383" s="5">
        <f>IFERROR((PlanMasine[[#This Row],[Norma]]/PlanMasine[[#This Row],[Q]])*(PlanMasine[[#This Row],[Q]]/SUMIF(C:C,PlanMasine[[#This Row],[RN]],B:B)*PlanMasine[[#This Row],[KPLQ]]),0)</f>
        <v>100.1</v>
      </c>
      <c r="P383">
        <v>202327</v>
      </c>
      <c r="Q383">
        <f>COUNTIF(PROMJENA!A:A,PlanMasine[[#This Row],[KPL]]&amp;"-"&amp;PlanMasine[[#This Row],[RN]])</f>
        <v>0</v>
      </c>
      <c r="R383">
        <f>IFERROR(INDEX(REDOSLIJED!A:A,MATCH(PlanMasine[[#This Row],[KPL]],REDOSLIJED!B:B,0)),MAX(REDOSLIJED!A:A)+1)</f>
        <v>45</v>
      </c>
      <c r="S383" s="9">
        <f>SUM($M$2:M383)</f>
        <v>14.608958333333343</v>
      </c>
      <c r="T383" s="3">
        <f>PlanMasine[[#This Row],[Datum SAS]]-1</f>
        <v>45816</v>
      </c>
      <c r="U383">
        <f>WEEKDAY(PlanMasine[[#This Row],[ZAVRŠETAK MAŠINSKE]],2)</f>
        <v>7</v>
      </c>
      <c r="V383" s="3">
        <f>IF(WEEKDAY(PlanMasine[[#This Row],[Datum SAS]]-1,2)=7,PlanMasine[[#This Row],[Datum SAS]]-3,PlanMasine[[#This Row],[Datum SAS]]-1)</f>
        <v>45814</v>
      </c>
      <c r="W383">
        <f>WEEKNUM(PlanMasine[[#This Row],[Column2]],1)</f>
        <v>23</v>
      </c>
    </row>
    <row r="384" spans="1:23" x14ac:dyDescent="0.35">
      <c r="A384">
        <v>1022410</v>
      </c>
      <c r="B384">
        <v>10</v>
      </c>
      <c r="C384">
        <v>1022412</v>
      </c>
      <c r="D384" t="s">
        <v>1307</v>
      </c>
      <c r="E384">
        <v>250.1</v>
      </c>
      <c r="F384">
        <v>10</v>
      </c>
      <c r="G384">
        <v>0</v>
      </c>
      <c r="H384">
        <v>0</v>
      </c>
      <c r="I384" t="s">
        <v>24</v>
      </c>
      <c r="J384" t="s">
        <v>597</v>
      </c>
      <c r="K384" t="s">
        <v>1949</v>
      </c>
      <c r="L384" s="3">
        <v>45846</v>
      </c>
      <c r="M384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0.17368055555555556</v>
      </c>
      <c r="N384" s="3">
        <v>45817</v>
      </c>
      <c r="O384" s="5">
        <f>IFERROR((PlanMasine[[#This Row],[Norma]]/PlanMasine[[#This Row],[Q]])*(PlanMasine[[#This Row],[Q]]/SUMIF(C:C,PlanMasine[[#This Row],[RN]],B:B)*PlanMasine[[#This Row],[KPLQ]]),0)</f>
        <v>250.09999999999997</v>
      </c>
      <c r="P384">
        <v>202321</v>
      </c>
      <c r="Q384">
        <f>COUNTIF(PROMJENA!A:A,PlanMasine[[#This Row],[KPL]]&amp;"-"&amp;PlanMasine[[#This Row],[RN]])</f>
        <v>0</v>
      </c>
      <c r="R384">
        <f>IFERROR(INDEX(REDOSLIJED!A:A,MATCH(PlanMasine[[#This Row],[KPL]],REDOSLIJED!B:B,0)),MAX(REDOSLIJED!A:A)+1)</f>
        <v>45</v>
      </c>
      <c r="S384" s="9">
        <f>SUM($M$2:M384)</f>
        <v>14.782638888888899</v>
      </c>
      <c r="T384" s="3">
        <f>PlanMasine[[#This Row],[Datum SAS]]-1</f>
        <v>45816</v>
      </c>
      <c r="U384">
        <f>WEEKDAY(PlanMasine[[#This Row],[ZAVRŠETAK MAŠINSKE]],2)</f>
        <v>7</v>
      </c>
      <c r="V384" s="3">
        <f>IF(WEEKDAY(PlanMasine[[#This Row],[Datum SAS]]-1,2)=7,PlanMasine[[#This Row],[Datum SAS]]-3,PlanMasine[[#This Row],[Datum SAS]]-1)</f>
        <v>45814</v>
      </c>
      <c r="W384">
        <f>WEEKNUM(PlanMasine[[#This Row],[Column2]],1)</f>
        <v>23</v>
      </c>
    </row>
    <row r="385" spans="1:23" x14ac:dyDescent="0.35">
      <c r="A385">
        <v>1022410</v>
      </c>
      <c r="B385">
        <v>10</v>
      </c>
      <c r="C385">
        <v>1022414</v>
      </c>
      <c r="D385" t="s">
        <v>1305</v>
      </c>
      <c r="E385">
        <v>550.1</v>
      </c>
      <c r="F385">
        <v>10</v>
      </c>
      <c r="G385">
        <v>0</v>
      </c>
      <c r="H385">
        <v>0</v>
      </c>
      <c r="I385" t="s">
        <v>24</v>
      </c>
      <c r="J385" t="s">
        <v>597</v>
      </c>
      <c r="K385" t="s">
        <v>1949</v>
      </c>
      <c r="L385" s="3">
        <v>45846</v>
      </c>
      <c r="M385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0.38201388888888893</v>
      </c>
      <c r="N385" s="3">
        <v>45817</v>
      </c>
      <c r="O385" s="5">
        <f>IFERROR((PlanMasine[[#This Row],[Norma]]/PlanMasine[[#This Row],[Q]])*(PlanMasine[[#This Row],[Q]]/SUMIF(C:C,PlanMasine[[#This Row],[RN]],B:B)*PlanMasine[[#This Row],[KPLQ]]),0)</f>
        <v>550.1</v>
      </c>
      <c r="P385">
        <v>202323</v>
      </c>
      <c r="Q385">
        <f>COUNTIF(PROMJENA!A:A,PlanMasine[[#This Row],[KPL]]&amp;"-"&amp;PlanMasine[[#This Row],[RN]])</f>
        <v>0</v>
      </c>
      <c r="R385">
        <f>IFERROR(INDEX(REDOSLIJED!A:A,MATCH(PlanMasine[[#This Row],[KPL]],REDOSLIJED!B:B,0)),MAX(REDOSLIJED!A:A)+1)</f>
        <v>45</v>
      </c>
      <c r="S385" s="9">
        <f>SUM($M$2:M385)</f>
        <v>15.164652777777787</v>
      </c>
      <c r="T385" s="3">
        <f>PlanMasine[[#This Row],[Datum SAS]]-1</f>
        <v>45816</v>
      </c>
      <c r="U385">
        <f>WEEKDAY(PlanMasine[[#This Row],[ZAVRŠETAK MAŠINSKE]],2)</f>
        <v>7</v>
      </c>
      <c r="V385" s="3">
        <f>IF(WEEKDAY(PlanMasine[[#This Row],[Datum SAS]]-1,2)=7,PlanMasine[[#This Row],[Datum SAS]]-3,PlanMasine[[#This Row],[Datum SAS]]-1)</f>
        <v>45814</v>
      </c>
      <c r="W385">
        <f>WEEKNUM(PlanMasine[[#This Row],[Column2]],1)</f>
        <v>23</v>
      </c>
    </row>
    <row r="386" spans="1:23" x14ac:dyDescent="0.35">
      <c r="A386">
        <v>1022410</v>
      </c>
      <c r="B386">
        <v>10</v>
      </c>
      <c r="C386">
        <v>1022421</v>
      </c>
      <c r="D386" t="s">
        <v>1306</v>
      </c>
      <c r="E386">
        <v>120</v>
      </c>
      <c r="F386">
        <v>10</v>
      </c>
      <c r="G386">
        <v>0</v>
      </c>
      <c r="H386">
        <v>0</v>
      </c>
      <c r="I386" t="s">
        <v>24</v>
      </c>
      <c r="J386" t="s">
        <v>597</v>
      </c>
      <c r="K386" t="s">
        <v>1949</v>
      </c>
      <c r="L386" s="3">
        <v>45846</v>
      </c>
      <c r="M386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8.3333333333333329E-2</v>
      </c>
      <c r="N386" s="3">
        <v>45817</v>
      </c>
      <c r="O386" s="5">
        <f>IFERROR((PlanMasine[[#This Row],[Norma]]/PlanMasine[[#This Row],[Q]])*(PlanMasine[[#This Row],[Q]]/SUMIF(C:C,PlanMasine[[#This Row],[RN]],B:B)*PlanMasine[[#This Row],[KPLQ]]),0)</f>
        <v>120</v>
      </c>
      <c r="P386">
        <v>202330</v>
      </c>
      <c r="Q386">
        <f>COUNTIF(PROMJENA!A:A,PlanMasine[[#This Row],[KPL]]&amp;"-"&amp;PlanMasine[[#This Row],[RN]])</f>
        <v>0</v>
      </c>
      <c r="R386">
        <f>IFERROR(INDEX(REDOSLIJED!A:A,MATCH(PlanMasine[[#This Row],[KPL]],REDOSLIJED!B:B,0)),MAX(REDOSLIJED!A:A)+1)</f>
        <v>45</v>
      </c>
      <c r="S386" s="9">
        <f>SUM($M$2:M386)</f>
        <v>15.247986111111121</v>
      </c>
      <c r="T386" s="3">
        <f>PlanMasine[[#This Row],[Datum SAS]]-1</f>
        <v>45816</v>
      </c>
      <c r="U386">
        <f>WEEKDAY(PlanMasine[[#This Row],[ZAVRŠETAK MAŠINSKE]],2)</f>
        <v>7</v>
      </c>
      <c r="V386" s="3">
        <f>IF(WEEKDAY(PlanMasine[[#This Row],[Datum SAS]]-1,2)=7,PlanMasine[[#This Row],[Datum SAS]]-3,PlanMasine[[#This Row],[Datum SAS]]-1)</f>
        <v>45814</v>
      </c>
      <c r="W386">
        <f>WEEKNUM(PlanMasine[[#This Row],[Column2]],1)</f>
        <v>23</v>
      </c>
    </row>
    <row r="387" spans="1:23" x14ac:dyDescent="0.35">
      <c r="A387">
        <v>1022600</v>
      </c>
      <c r="B387">
        <v>10</v>
      </c>
      <c r="C387">
        <v>1022618</v>
      </c>
      <c r="D387" t="s">
        <v>1950</v>
      </c>
      <c r="E387">
        <v>600</v>
      </c>
      <c r="F387">
        <v>20</v>
      </c>
      <c r="G387">
        <v>0</v>
      </c>
      <c r="H387">
        <v>0</v>
      </c>
      <c r="I387" t="s">
        <v>24</v>
      </c>
      <c r="J387" t="s">
        <v>597</v>
      </c>
      <c r="K387" t="s">
        <v>1951</v>
      </c>
      <c r="L387" s="3">
        <v>45838</v>
      </c>
      <c r="M387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0.41666666666666669</v>
      </c>
      <c r="N387" s="3">
        <v>45817</v>
      </c>
      <c r="O387" s="5">
        <f>IFERROR((PlanMasine[[#This Row],[Norma]]/PlanMasine[[#This Row],[Q]])*(PlanMasine[[#This Row],[Q]]/SUMIF(C:C,PlanMasine[[#This Row],[RN]],B:B)*PlanMasine[[#This Row],[KPLQ]]),0)</f>
        <v>600</v>
      </c>
      <c r="P387">
        <v>225418</v>
      </c>
      <c r="Q387">
        <f>COUNTIF(PROMJENA!A:A,PlanMasine[[#This Row],[KPL]]&amp;"-"&amp;PlanMasine[[#This Row],[RN]])</f>
        <v>0</v>
      </c>
      <c r="R387">
        <f>IFERROR(INDEX(REDOSLIJED!A:A,MATCH(PlanMasine[[#This Row],[KPL]],REDOSLIJED!B:B,0)),MAX(REDOSLIJED!A:A)+1)</f>
        <v>45</v>
      </c>
      <c r="S387" s="9">
        <f>SUM($M$2:M387)</f>
        <v>15.664652777777787</v>
      </c>
      <c r="T387" s="3">
        <f>PlanMasine[[#This Row],[Datum SAS]]-1</f>
        <v>45816</v>
      </c>
      <c r="U387">
        <f>WEEKDAY(PlanMasine[[#This Row],[ZAVRŠETAK MAŠINSKE]],2)</f>
        <v>7</v>
      </c>
      <c r="V387" s="3">
        <f>IF(WEEKDAY(PlanMasine[[#This Row],[Datum SAS]]-1,2)=7,PlanMasine[[#This Row],[Datum SAS]]-3,PlanMasine[[#This Row],[Datum SAS]]-1)</f>
        <v>45814</v>
      </c>
      <c r="W387">
        <f>WEEKNUM(PlanMasine[[#This Row],[Column2]],1)</f>
        <v>23</v>
      </c>
    </row>
    <row r="388" spans="1:23" x14ac:dyDescent="0.35">
      <c r="A388">
        <v>1022621</v>
      </c>
      <c r="B388">
        <v>10</v>
      </c>
      <c r="C388">
        <v>1022639</v>
      </c>
      <c r="D388" t="s">
        <v>1952</v>
      </c>
      <c r="E388">
        <v>400</v>
      </c>
      <c r="F388">
        <v>20</v>
      </c>
      <c r="G388">
        <v>0</v>
      </c>
      <c r="H388">
        <v>0</v>
      </c>
      <c r="I388" t="s">
        <v>24</v>
      </c>
      <c r="J388" t="s">
        <v>597</v>
      </c>
      <c r="K388" t="s">
        <v>1953</v>
      </c>
      <c r="L388" s="3">
        <v>45838</v>
      </c>
      <c r="M388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0.27777777777777779</v>
      </c>
      <c r="N388" s="3">
        <v>45817</v>
      </c>
      <c r="O388" s="5">
        <f>IFERROR((PlanMasine[[#This Row],[Norma]]/PlanMasine[[#This Row],[Q]])*(PlanMasine[[#This Row],[Q]]/SUMIF(C:C,PlanMasine[[#This Row],[RN]],B:B)*PlanMasine[[#This Row],[KPLQ]]),0)</f>
        <v>400</v>
      </c>
      <c r="P388">
        <v>225419</v>
      </c>
      <c r="Q388">
        <f>COUNTIF(PROMJENA!A:A,PlanMasine[[#This Row],[KPL]]&amp;"-"&amp;PlanMasine[[#This Row],[RN]])</f>
        <v>0</v>
      </c>
      <c r="R388">
        <f>IFERROR(INDEX(REDOSLIJED!A:A,MATCH(PlanMasine[[#This Row],[KPL]],REDOSLIJED!B:B,0)),MAX(REDOSLIJED!A:A)+1)</f>
        <v>45</v>
      </c>
      <c r="S388" s="9">
        <f>SUM($M$2:M388)</f>
        <v>15.942430555555566</v>
      </c>
      <c r="T388" s="3">
        <f>PlanMasine[[#This Row],[Datum SAS]]-1</f>
        <v>45816</v>
      </c>
      <c r="U388">
        <f>WEEKDAY(PlanMasine[[#This Row],[ZAVRŠETAK MAŠINSKE]],2)</f>
        <v>7</v>
      </c>
      <c r="V388" s="3">
        <f>IF(WEEKDAY(PlanMasine[[#This Row],[Datum SAS]]-1,2)=7,PlanMasine[[#This Row],[Datum SAS]]-3,PlanMasine[[#This Row],[Datum SAS]]-1)</f>
        <v>45814</v>
      </c>
      <c r="W388">
        <f>WEEKNUM(PlanMasine[[#This Row],[Column2]],1)</f>
        <v>23</v>
      </c>
    </row>
    <row r="389" spans="1:23" x14ac:dyDescent="0.35">
      <c r="A389">
        <v>1024436</v>
      </c>
      <c r="B389">
        <v>1</v>
      </c>
      <c r="C389">
        <v>1024431</v>
      </c>
      <c r="D389" t="s">
        <v>239</v>
      </c>
      <c r="E389">
        <v>10</v>
      </c>
      <c r="F389">
        <v>1</v>
      </c>
      <c r="G389">
        <v>0</v>
      </c>
      <c r="H389">
        <v>0</v>
      </c>
      <c r="I389" t="s">
        <v>24</v>
      </c>
      <c r="J389" t="s">
        <v>597</v>
      </c>
      <c r="K389" t="s">
        <v>1954</v>
      </c>
      <c r="L389" s="3">
        <v>45828</v>
      </c>
      <c r="M389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6.9444444444444441E-3</v>
      </c>
      <c r="N389" s="3">
        <v>45817</v>
      </c>
      <c r="O389" s="5">
        <f>IFERROR((PlanMasine[[#This Row],[Norma]]/PlanMasine[[#This Row],[Q]])*(PlanMasine[[#This Row],[Q]]/SUMIF(C:C,PlanMasine[[#This Row],[RN]],B:B)*PlanMasine[[#This Row],[KPLQ]]),0)</f>
        <v>10</v>
      </c>
      <c r="P389">
        <v>155692</v>
      </c>
      <c r="Q389">
        <f>COUNTIF(PROMJENA!A:A,PlanMasine[[#This Row],[KPL]]&amp;"-"&amp;PlanMasine[[#This Row],[RN]])</f>
        <v>0</v>
      </c>
      <c r="R389">
        <f>IFERROR(INDEX(REDOSLIJED!A:A,MATCH(PlanMasine[[#This Row],[KPL]],REDOSLIJED!B:B,0)),MAX(REDOSLIJED!A:A)+1)</f>
        <v>45</v>
      </c>
      <c r="S389" s="9">
        <f>SUM($M$2:M389)</f>
        <v>15.949375000000011</v>
      </c>
      <c r="T389" s="3">
        <f>PlanMasine[[#This Row],[Datum SAS]]-1</f>
        <v>45816</v>
      </c>
      <c r="U389">
        <f>WEEKDAY(PlanMasine[[#This Row],[ZAVRŠETAK MAŠINSKE]],2)</f>
        <v>7</v>
      </c>
      <c r="V389" s="3">
        <f>IF(WEEKDAY(PlanMasine[[#This Row],[Datum SAS]]-1,2)=7,PlanMasine[[#This Row],[Datum SAS]]-3,PlanMasine[[#This Row],[Datum SAS]]-1)</f>
        <v>45814</v>
      </c>
      <c r="W389">
        <f>WEEKNUM(PlanMasine[[#This Row],[Column2]],1)</f>
        <v>23</v>
      </c>
    </row>
    <row r="390" spans="1:23" x14ac:dyDescent="0.35">
      <c r="A390">
        <v>1025612</v>
      </c>
      <c r="B390">
        <v>1</v>
      </c>
      <c r="C390">
        <v>1025629</v>
      </c>
      <c r="D390" t="s">
        <v>1474</v>
      </c>
      <c r="E390">
        <v>15</v>
      </c>
      <c r="F390">
        <v>1</v>
      </c>
      <c r="G390">
        <v>0</v>
      </c>
      <c r="H390">
        <v>0</v>
      </c>
      <c r="I390" t="s">
        <v>24</v>
      </c>
      <c r="J390" t="s">
        <v>597</v>
      </c>
      <c r="K390" t="s">
        <v>1955</v>
      </c>
      <c r="L390" s="3">
        <v>45835</v>
      </c>
      <c r="M390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1.0416666666666666E-2</v>
      </c>
      <c r="N390" s="3">
        <v>45817</v>
      </c>
      <c r="O390" s="5">
        <f>IFERROR((PlanMasine[[#This Row],[Norma]]/PlanMasine[[#This Row],[Q]])*(PlanMasine[[#This Row],[Q]]/SUMIF(C:C,PlanMasine[[#This Row],[RN]],B:B)*PlanMasine[[#This Row],[KPLQ]]),0)</f>
        <v>15</v>
      </c>
      <c r="P390">
        <v>198435</v>
      </c>
      <c r="Q390">
        <f>COUNTIF(PROMJENA!A:A,PlanMasine[[#This Row],[KPL]]&amp;"-"&amp;PlanMasine[[#This Row],[RN]])</f>
        <v>0</v>
      </c>
      <c r="R390">
        <f>IFERROR(INDEX(REDOSLIJED!A:A,MATCH(PlanMasine[[#This Row],[KPL]],REDOSLIJED!B:B,0)),MAX(REDOSLIJED!A:A)+1)</f>
        <v>45</v>
      </c>
      <c r="S390" s="9">
        <f>SUM($M$2:M390)</f>
        <v>15.959791666666677</v>
      </c>
      <c r="T390" s="3">
        <f>PlanMasine[[#This Row],[Datum SAS]]-1</f>
        <v>45816</v>
      </c>
      <c r="U390">
        <f>WEEKDAY(PlanMasine[[#This Row],[ZAVRŠETAK MAŠINSKE]],2)</f>
        <v>7</v>
      </c>
      <c r="V390" s="3">
        <f>IF(WEEKDAY(PlanMasine[[#This Row],[Datum SAS]]-1,2)=7,PlanMasine[[#This Row],[Datum SAS]]-3,PlanMasine[[#This Row],[Datum SAS]]-1)</f>
        <v>45814</v>
      </c>
      <c r="W390">
        <f>WEEKNUM(PlanMasine[[#This Row],[Column2]],1)</f>
        <v>23</v>
      </c>
    </row>
    <row r="391" spans="1:23" x14ac:dyDescent="0.35">
      <c r="A391">
        <v>1025612</v>
      </c>
      <c r="B391">
        <v>1</v>
      </c>
      <c r="C391">
        <v>1025632</v>
      </c>
      <c r="D391" t="s">
        <v>1475</v>
      </c>
      <c r="E391">
        <v>15</v>
      </c>
      <c r="F391">
        <v>1</v>
      </c>
      <c r="G391">
        <v>0</v>
      </c>
      <c r="H391">
        <v>0</v>
      </c>
      <c r="I391" t="s">
        <v>24</v>
      </c>
      <c r="J391" t="s">
        <v>597</v>
      </c>
      <c r="K391" t="s">
        <v>1955</v>
      </c>
      <c r="L391" s="3">
        <v>45835</v>
      </c>
      <c r="M391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1.0416666666666666E-2</v>
      </c>
      <c r="N391" s="3">
        <v>45817</v>
      </c>
      <c r="O391" s="5">
        <f>IFERROR((PlanMasine[[#This Row],[Norma]]/PlanMasine[[#This Row],[Q]])*(PlanMasine[[#This Row],[Q]]/SUMIF(C:C,PlanMasine[[#This Row],[RN]],B:B)*PlanMasine[[#This Row],[KPLQ]]),0)</f>
        <v>15</v>
      </c>
      <c r="P391">
        <v>198439</v>
      </c>
      <c r="Q391">
        <f>COUNTIF(PROMJENA!A:A,PlanMasine[[#This Row],[KPL]]&amp;"-"&amp;PlanMasine[[#This Row],[RN]])</f>
        <v>0</v>
      </c>
      <c r="R391">
        <f>IFERROR(INDEX(REDOSLIJED!A:A,MATCH(PlanMasine[[#This Row],[KPL]],REDOSLIJED!B:B,0)),MAX(REDOSLIJED!A:A)+1)</f>
        <v>45</v>
      </c>
      <c r="S391" s="9">
        <f>SUM($M$2:M391)</f>
        <v>15.970208333333343</v>
      </c>
      <c r="T391" s="3">
        <f>PlanMasine[[#This Row],[Datum SAS]]-1</f>
        <v>45816</v>
      </c>
      <c r="U391">
        <f>WEEKDAY(PlanMasine[[#This Row],[ZAVRŠETAK MAŠINSKE]],2)</f>
        <v>7</v>
      </c>
      <c r="V391" s="3">
        <f>IF(WEEKDAY(PlanMasine[[#This Row],[Datum SAS]]-1,2)=7,PlanMasine[[#This Row],[Datum SAS]]-3,PlanMasine[[#This Row],[Datum SAS]]-1)</f>
        <v>45814</v>
      </c>
      <c r="W391">
        <f>WEEKNUM(PlanMasine[[#This Row],[Column2]],1)</f>
        <v>23</v>
      </c>
    </row>
    <row r="392" spans="1:23" x14ac:dyDescent="0.35">
      <c r="A392">
        <v>1025612</v>
      </c>
      <c r="B392">
        <v>1</v>
      </c>
      <c r="C392">
        <v>1025648</v>
      </c>
      <c r="D392" t="s">
        <v>1458</v>
      </c>
      <c r="E392">
        <v>20</v>
      </c>
      <c r="F392">
        <v>2</v>
      </c>
      <c r="G392">
        <v>0</v>
      </c>
      <c r="H392">
        <v>0</v>
      </c>
      <c r="I392" t="s">
        <v>24</v>
      </c>
      <c r="J392" t="s">
        <v>597</v>
      </c>
      <c r="K392" t="s">
        <v>1955</v>
      </c>
      <c r="L392" s="3">
        <v>45835</v>
      </c>
      <c r="M392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1.3888888888888888E-2</v>
      </c>
      <c r="N392" s="3">
        <v>45817</v>
      </c>
      <c r="O392" s="5">
        <f>IFERROR((PlanMasine[[#This Row],[Norma]]/PlanMasine[[#This Row],[Q]])*(PlanMasine[[#This Row],[Q]]/SUMIF(C:C,PlanMasine[[#This Row],[RN]],B:B)*PlanMasine[[#This Row],[KPLQ]]),0)</f>
        <v>20</v>
      </c>
      <c r="P392">
        <v>198457</v>
      </c>
      <c r="Q392">
        <f>COUNTIF(PROMJENA!A:A,PlanMasine[[#This Row],[KPL]]&amp;"-"&amp;PlanMasine[[#This Row],[RN]])</f>
        <v>0</v>
      </c>
      <c r="R392">
        <f>IFERROR(INDEX(REDOSLIJED!A:A,MATCH(PlanMasine[[#This Row],[KPL]],REDOSLIJED!B:B,0)),MAX(REDOSLIJED!A:A)+1)</f>
        <v>45</v>
      </c>
      <c r="S392" s="9">
        <f>SUM($M$2:M392)</f>
        <v>15.984097222222232</v>
      </c>
      <c r="T392" s="3">
        <f>PlanMasine[[#This Row],[Datum SAS]]-1</f>
        <v>45816</v>
      </c>
      <c r="U392">
        <f>WEEKDAY(PlanMasine[[#This Row],[ZAVRŠETAK MAŠINSKE]],2)</f>
        <v>7</v>
      </c>
      <c r="V392" s="3">
        <f>IF(WEEKDAY(PlanMasine[[#This Row],[Datum SAS]]-1,2)=7,PlanMasine[[#This Row],[Datum SAS]]-3,PlanMasine[[#This Row],[Datum SAS]]-1)</f>
        <v>45814</v>
      </c>
      <c r="W392">
        <f>WEEKNUM(PlanMasine[[#This Row],[Column2]],1)</f>
        <v>23</v>
      </c>
    </row>
    <row r="393" spans="1:23" x14ac:dyDescent="0.35">
      <c r="A393">
        <v>1025612</v>
      </c>
      <c r="B393">
        <v>1</v>
      </c>
      <c r="C393">
        <v>1025637</v>
      </c>
      <c r="D393" t="s">
        <v>1476</v>
      </c>
      <c r="E393">
        <v>30</v>
      </c>
      <c r="F393">
        <v>3</v>
      </c>
      <c r="G393">
        <v>0</v>
      </c>
      <c r="H393">
        <v>0</v>
      </c>
      <c r="I393" t="s">
        <v>24</v>
      </c>
      <c r="J393" t="s">
        <v>597</v>
      </c>
      <c r="K393" t="s">
        <v>1955</v>
      </c>
      <c r="L393" s="3">
        <v>45835</v>
      </c>
      <c r="M393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2.0833333333333332E-2</v>
      </c>
      <c r="N393" s="3">
        <v>45817</v>
      </c>
      <c r="O393" s="5">
        <f>IFERROR((PlanMasine[[#This Row],[Norma]]/PlanMasine[[#This Row],[Q]])*(PlanMasine[[#This Row],[Q]]/SUMIF(C:C,PlanMasine[[#This Row],[RN]],B:B)*PlanMasine[[#This Row],[KPLQ]]),0)</f>
        <v>30</v>
      </c>
      <c r="P393">
        <v>198444</v>
      </c>
      <c r="Q393">
        <f>COUNTIF(PROMJENA!A:A,PlanMasine[[#This Row],[KPL]]&amp;"-"&amp;PlanMasine[[#This Row],[RN]])</f>
        <v>0</v>
      </c>
      <c r="R393">
        <f>IFERROR(INDEX(REDOSLIJED!A:A,MATCH(PlanMasine[[#This Row],[KPL]],REDOSLIJED!B:B,0)),MAX(REDOSLIJED!A:A)+1)</f>
        <v>45</v>
      </c>
      <c r="S393" s="9">
        <f>SUM($M$2:M393)</f>
        <v>16.004930555555564</v>
      </c>
      <c r="T393" s="3">
        <f>PlanMasine[[#This Row],[Datum SAS]]-1</f>
        <v>45816</v>
      </c>
      <c r="U393">
        <f>WEEKDAY(PlanMasine[[#This Row],[ZAVRŠETAK MAŠINSKE]],2)</f>
        <v>7</v>
      </c>
      <c r="V393" s="3">
        <f>IF(WEEKDAY(PlanMasine[[#This Row],[Datum SAS]]-1,2)=7,PlanMasine[[#This Row],[Datum SAS]]-3,PlanMasine[[#This Row],[Datum SAS]]-1)</f>
        <v>45814</v>
      </c>
      <c r="W393">
        <f>WEEKNUM(PlanMasine[[#This Row],[Column2]],1)</f>
        <v>23</v>
      </c>
    </row>
    <row r="394" spans="1:23" x14ac:dyDescent="0.35">
      <c r="A394">
        <v>1025612</v>
      </c>
      <c r="B394">
        <v>1</v>
      </c>
      <c r="C394">
        <v>1025645</v>
      </c>
      <c r="D394" t="s">
        <v>1505</v>
      </c>
      <c r="E394">
        <v>20</v>
      </c>
      <c r="F394">
        <v>2</v>
      </c>
      <c r="G394">
        <v>0</v>
      </c>
      <c r="H394">
        <v>0</v>
      </c>
      <c r="I394" t="s">
        <v>24</v>
      </c>
      <c r="J394" t="s">
        <v>597</v>
      </c>
      <c r="K394" t="s">
        <v>1955</v>
      </c>
      <c r="L394" s="3">
        <v>45835</v>
      </c>
      <c r="M394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1.3888888888888888E-2</v>
      </c>
      <c r="N394" s="3">
        <v>45817</v>
      </c>
      <c r="O394" s="5">
        <f>IFERROR((PlanMasine[[#This Row],[Norma]]/PlanMasine[[#This Row],[Q]])*(PlanMasine[[#This Row],[Q]]/SUMIF(C:C,PlanMasine[[#This Row],[RN]],B:B)*PlanMasine[[#This Row],[KPLQ]]),0)</f>
        <v>20</v>
      </c>
      <c r="P394">
        <v>198453</v>
      </c>
      <c r="Q394">
        <f>COUNTIF(PROMJENA!A:A,PlanMasine[[#This Row],[KPL]]&amp;"-"&amp;PlanMasine[[#This Row],[RN]])</f>
        <v>0</v>
      </c>
      <c r="R394">
        <f>IFERROR(INDEX(REDOSLIJED!A:A,MATCH(PlanMasine[[#This Row],[KPL]],REDOSLIJED!B:B,0)),MAX(REDOSLIJED!A:A)+1)</f>
        <v>45</v>
      </c>
      <c r="S394" s="9">
        <f>SUM($M$2:M394)</f>
        <v>16.018819444444453</v>
      </c>
      <c r="T394" s="3">
        <f>PlanMasine[[#This Row],[Datum SAS]]-1</f>
        <v>45816</v>
      </c>
      <c r="U394">
        <f>WEEKDAY(PlanMasine[[#This Row],[ZAVRŠETAK MAŠINSKE]],2)</f>
        <v>7</v>
      </c>
      <c r="V394" s="3">
        <f>IF(WEEKDAY(PlanMasine[[#This Row],[Datum SAS]]-1,2)=7,PlanMasine[[#This Row],[Datum SAS]]-3,PlanMasine[[#This Row],[Datum SAS]]-1)</f>
        <v>45814</v>
      </c>
      <c r="W394">
        <f>WEEKNUM(PlanMasine[[#This Row],[Column2]],1)</f>
        <v>23</v>
      </c>
    </row>
    <row r="395" spans="1:23" x14ac:dyDescent="0.35">
      <c r="A395">
        <v>1025612</v>
      </c>
      <c r="B395">
        <v>1</v>
      </c>
      <c r="C395">
        <v>1025649</v>
      </c>
      <c r="D395" t="s">
        <v>1459</v>
      </c>
      <c r="E395">
        <v>10</v>
      </c>
      <c r="F395">
        <v>1</v>
      </c>
      <c r="G395">
        <v>0</v>
      </c>
      <c r="H395">
        <v>0</v>
      </c>
      <c r="I395" t="s">
        <v>24</v>
      </c>
      <c r="J395" t="s">
        <v>597</v>
      </c>
      <c r="K395" t="s">
        <v>1955</v>
      </c>
      <c r="L395" s="3">
        <v>45835</v>
      </c>
      <c r="M395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6.9444444444444441E-3</v>
      </c>
      <c r="N395" s="3">
        <v>45817</v>
      </c>
      <c r="O395" s="5">
        <f>IFERROR((PlanMasine[[#This Row],[Norma]]/PlanMasine[[#This Row],[Q]])*(PlanMasine[[#This Row],[Q]]/SUMIF(C:C,PlanMasine[[#This Row],[RN]],B:B)*PlanMasine[[#This Row],[KPLQ]]),0)</f>
        <v>10</v>
      </c>
      <c r="P395">
        <v>198458</v>
      </c>
      <c r="Q395">
        <f>COUNTIF(PROMJENA!A:A,PlanMasine[[#This Row],[KPL]]&amp;"-"&amp;PlanMasine[[#This Row],[RN]])</f>
        <v>0</v>
      </c>
      <c r="R395">
        <f>IFERROR(INDEX(REDOSLIJED!A:A,MATCH(PlanMasine[[#This Row],[KPL]],REDOSLIJED!B:B,0)),MAX(REDOSLIJED!A:A)+1)</f>
        <v>45</v>
      </c>
      <c r="S395" s="9">
        <f>SUM($M$2:M395)</f>
        <v>16.025763888888896</v>
      </c>
      <c r="T395" s="3">
        <f>PlanMasine[[#This Row],[Datum SAS]]-1</f>
        <v>45816</v>
      </c>
      <c r="U395">
        <f>WEEKDAY(PlanMasine[[#This Row],[ZAVRŠETAK MAŠINSKE]],2)</f>
        <v>7</v>
      </c>
      <c r="V395" s="3">
        <f>IF(WEEKDAY(PlanMasine[[#This Row],[Datum SAS]]-1,2)=7,PlanMasine[[#This Row],[Datum SAS]]-3,PlanMasine[[#This Row],[Datum SAS]]-1)</f>
        <v>45814</v>
      </c>
      <c r="W395">
        <f>WEEKNUM(PlanMasine[[#This Row],[Column2]],1)</f>
        <v>23</v>
      </c>
    </row>
    <row r="396" spans="1:23" x14ac:dyDescent="0.35">
      <c r="A396">
        <v>1026409</v>
      </c>
      <c r="B396">
        <v>12</v>
      </c>
      <c r="C396">
        <v>1026413</v>
      </c>
      <c r="D396" t="s">
        <v>225</v>
      </c>
      <c r="E396">
        <v>300</v>
      </c>
      <c r="F396">
        <v>12</v>
      </c>
      <c r="G396">
        <v>0</v>
      </c>
      <c r="H396">
        <v>0</v>
      </c>
      <c r="I396" t="s">
        <v>24</v>
      </c>
      <c r="J396" t="s">
        <v>597</v>
      </c>
      <c r="K396" t="s">
        <v>1956</v>
      </c>
      <c r="L396" s="3">
        <v>45852</v>
      </c>
      <c r="M396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0.20833333333333334</v>
      </c>
      <c r="N396" s="3">
        <v>45817</v>
      </c>
      <c r="O396" s="5">
        <f>IFERROR((PlanMasine[[#This Row],[Norma]]/PlanMasine[[#This Row],[Q]])*(PlanMasine[[#This Row],[Q]]/SUMIF(C:C,PlanMasine[[#This Row],[RN]],B:B)*PlanMasine[[#This Row],[KPLQ]]),0)</f>
        <v>300</v>
      </c>
      <c r="P396">
        <v>138053</v>
      </c>
      <c r="Q396">
        <f>COUNTIF(PROMJENA!A:A,PlanMasine[[#This Row],[KPL]]&amp;"-"&amp;PlanMasine[[#This Row],[RN]])</f>
        <v>0</v>
      </c>
      <c r="R396">
        <f>IFERROR(INDEX(REDOSLIJED!A:A,MATCH(PlanMasine[[#This Row],[KPL]],REDOSLIJED!B:B,0)),MAX(REDOSLIJED!A:A)+1)</f>
        <v>45</v>
      </c>
      <c r="S396" s="9">
        <f>SUM($M$2:M396)</f>
        <v>16.234097222222228</v>
      </c>
      <c r="T396" s="3">
        <f>PlanMasine[[#This Row],[Datum SAS]]-1</f>
        <v>45816</v>
      </c>
      <c r="U396">
        <f>WEEKDAY(PlanMasine[[#This Row],[ZAVRŠETAK MAŠINSKE]],2)</f>
        <v>7</v>
      </c>
      <c r="V396" s="3">
        <f>IF(WEEKDAY(PlanMasine[[#This Row],[Datum SAS]]-1,2)=7,PlanMasine[[#This Row],[Datum SAS]]-3,PlanMasine[[#This Row],[Datum SAS]]-1)</f>
        <v>45814</v>
      </c>
      <c r="W396">
        <f>WEEKNUM(PlanMasine[[#This Row],[Column2]],1)</f>
        <v>23</v>
      </c>
    </row>
    <row r="397" spans="1:23" x14ac:dyDescent="0.35">
      <c r="A397">
        <v>1027893</v>
      </c>
      <c r="B397">
        <v>3</v>
      </c>
      <c r="C397">
        <v>1027910</v>
      </c>
      <c r="D397" t="s">
        <v>592</v>
      </c>
      <c r="E397">
        <v>270</v>
      </c>
      <c r="F397">
        <v>9</v>
      </c>
      <c r="G397">
        <v>0</v>
      </c>
      <c r="H397">
        <v>0</v>
      </c>
      <c r="I397" t="s">
        <v>24</v>
      </c>
      <c r="J397" t="s">
        <v>597</v>
      </c>
      <c r="K397" t="s">
        <v>1957</v>
      </c>
      <c r="L397" s="3">
        <v>45849</v>
      </c>
      <c r="M397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0.1875</v>
      </c>
      <c r="N397" s="3">
        <v>45817</v>
      </c>
      <c r="O397" s="5">
        <f>IFERROR((PlanMasine[[#This Row],[Norma]]/PlanMasine[[#This Row],[Q]])*(PlanMasine[[#This Row],[Q]]/SUMIF(C:C,PlanMasine[[#This Row],[RN]],B:B)*PlanMasine[[#This Row],[KPLQ]]),0)</f>
        <v>270</v>
      </c>
      <c r="P397">
        <v>122098</v>
      </c>
      <c r="Q397">
        <f>COUNTIF(PROMJENA!A:A,PlanMasine[[#This Row],[KPL]]&amp;"-"&amp;PlanMasine[[#This Row],[RN]])</f>
        <v>0</v>
      </c>
      <c r="R397">
        <f>IFERROR(INDEX(REDOSLIJED!A:A,MATCH(PlanMasine[[#This Row],[KPL]],REDOSLIJED!B:B,0)),MAX(REDOSLIJED!A:A)+1)</f>
        <v>45</v>
      </c>
      <c r="S397" s="9">
        <f>SUM($M$2:M397)</f>
        <v>16.421597222222228</v>
      </c>
      <c r="T397" s="3">
        <f>PlanMasine[[#This Row],[Datum SAS]]-1</f>
        <v>45816</v>
      </c>
      <c r="U397">
        <f>WEEKDAY(PlanMasine[[#This Row],[ZAVRŠETAK MAŠINSKE]],2)</f>
        <v>7</v>
      </c>
      <c r="V397" s="3">
        <f>IF(WEEKDAY(PlanMasine[[#This Row],[Datum SAS]]-1,2)=7,PlanMasine[[#This Row],[Datum SAS]]-3,PlanMasine[[#This Row],[Datum SAS]]-1)</f>
        <v>45814</v>
      </c>
      <c r="W397">
        <f>WEEKNUM(PlanMasine[[#This Row],[Column2]],1)</f>
        <v>23</v>
      </c>
    </row>
    <row r="398" spans="1:23" x14ac:dyDescent="0.35">
      <c r="A398">
        <v>1027893</v>
      </c>
      <c r="B398">
        <v>3</v>
      </c>
      <c r="C398">
        <v>1027911</v>
      </c>
      <c r="D398" t="s">
        <v>1850</v>
      </c>
      <c r="E398">
        <v>135</v>
      </c>
      <c r="F398">
        <v>3</v>
      </c>
      <c r="G398">
        <v>0</v>
      </c>
      <c r="H398">
        <v>0</v>
      </c>
      <c r="I398" t="s">
        <v>24</v>
      </c>
      <c r="J398" t="s">
        <v>597</v>
      </c>
      <c r="K398" t="s">
        <v>1957</v>
      </c>
      <c r="L398" s="3">
        <v>45849</v>
      </c>
      <c r="M398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9.375E-2</v>
      </c>
      <c r="N398" s="3">
        <v>45817</v>
      </c>
      <c r="O398" s="5">
        <f>IFERROR((PlanMasine[[#This Row],[Norma]]/PlanMasine[[#This Row],[Q]])*(PlanMasine[[#This Row],[Q]]/SUMIF(C:C,PlanMasine[[#This Row],[RN]],B:B)*PlanMasine[[#This Row],[KPLQ]]),0)</f>
        <v>135</v>
      </c>
      <c r="P398">
        <v>122099</v>
      </c>
      <c r="Q398">
        <f>COUNTIF(PROMJENA!A:A,PlanMasine[[#This Row],[KPL]]&amp;"-"&amp;PlanMasine[[#This Row],[RN]])</f>
        <v>0</v>
      </c>
      <c r="R398">
        <f>IFERROR(INDEX(REDOSLIJED!A:A,MATCH(PlanMasine[[#This Row],[KPL]],REDOSLIJED!B:B,0)),MAX(REDOSLIJED!A:A)+1)</f>
        <v>45</v>
      </c>
      <c r="S398" s="9">
        <f>SUM($M$2:M398)</f>
        <v>16.515347222222228</v>
      </c>
      <c r="T398" s="3">
        <f>PlanMasine[[#This Row],[Datum SAS]]-1</f>
        <v>45816</v>
      </c>
      <c r="U398">
        <f>WEEKDAY(PlanMasine[[#This Row],[ZAVRŠETAK MAŠINSKE]],2)</f>
        <v>7</v>
      </c>
      <c r="V398" s="3">
        <f>IF(WEEKDAY(PlanMasine[[#This Row],[Datum SAS]]-1,2)=7,PlanMasine[[#This Row],[Datum SAS]]-3,PlanMasine[[#This Row],[Datum SAS]]-1)</f>
        <v>45814</v>
      </c>
      <c r="W398">
        <f>WEEKNUM(PlanMasine[[#This Row],[Column2]],1)</f>
        <v>23</v>
      </c>
    </row>
    <row r="399" spans="1:23" x14ac:dyDescent="0.35">
      <c r="A399">
        <v>1027916</v>
      </c>
      <c r="B399">
        <v>1</v>
      </c>
      <c r="C399">
        <v>1027931</v>
      </c>
      <c r="D399" t="s">
        <v>1790</v>
      </c>
      <c r="E399">
        <v>20</v>
      </c>
      <c r="F399">
        <v>1</v>
      </c>
      <c r="G399">
        <v>0</v>
      </c>
      <c r="H399">
        <v>0</v>
      </c>
      <c r="I399" t="s">
        <v>24</v>
      </c>
      <c r="J399" t="s">
        <v>597</v>
      </c>
      <c r="K399" t="s">
        <v>1958</v>
      </c>
      <c r="L399" s="3">
        <v>45849</v>
      </c>
      <c r="M399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1.3888888888888888E-2</v>
      </c>
      <c r="N399" s="3">
        <v>45817</v>
      </c>
      <c r="O399" s="5">
        <f>IFERROR((PlanMasine[[#This Row],[Norma]]/PlanMasine[[#This Row],[Q]])*(PlanMasine[[#This Row],[Q]]/SUMIF(C:C,PlanMasine[[#This Row],[RN]],B:B)*PlanMasine[[#This Row],[KPLQ]]),0)</f>
        <v>20</v>
      </c>
      <c r="P399">
        <v>206091</v>
      </c>
      <c r="Q399">
        <f>COUNTIF(PROMJENA!A:A,PlanMasine[[#This Row],[KPL]]&amp;"-"&amp;PlanMasine[[#This Row],[RN]])</f>
        <v>0</v>
      </c>
      <c r="R399">
        <f>IFERROR(INDEX(REDOSLIJED!A:A,MATCH(PlanMasine[[#This Row],[KPL]],REDOSLIJED!B:B,0)),MAX(REDOSLIJED!A:A)+1)</f>
        <v>45</v>
      </c>
      <c r="S399" s="9">
        <f>SUM($M$2:M399)</f>
        <v>16.529236111111118</v>
      </c>
      <c r="T399" s="3">
        <f>PlanMasine[[#This Row],[Datum SAS]]-1</f>
        <v>45816</v>
      </c>
      <c r="U399">
        <f>WEEKDAY(PlanMasine[[#This Row],[ZAVRŠETAK MAŠINSKE]],2)</f>
        <v>7</v>
      </c>
      <c r="V399" s="3">
        <f>IF(WEEKDAY(PlanMasine[[#This Row],[Datum SAS]]-1,2)=7,PlanMasine[[#This Row],[Datum SAS]]-3,PlanMasine[[#This Row],[Datum SAS]]-1)</f>
        <v>45814</v>
      </c>
      <c r="W399">
        <f>WEEKNUM(PlanMasine[[#This Row],[Column2]],1)</f>
        <v>23</v>
      </c>
    </row>
    <row r="400" spans="1:23" x14ac:dyDescent="0.35">
      <c r="A400">
        <v>1028257</v>
      </c>
      <c r="B400">
        <v>2</v>
      </c>
      <c r="C400">
        <v>1028258</v>
      </c>
      <c r="D400" t="s">
        <v>1959</v>
      </c>
      <c r="E400">
        <v>40</v>
      </c>
      <c r="F400">
        <v>2</v>
      </c>
      <c r="G400">
        <v>0</v>
      </c>
      <c r="H400">
        <v>0</v>
      </c>
      <c r="I400" t="s">
        <v>24</v>
      </c>
      <c r="J400" t="s">
        <v>597</v>
      </c>
      <c r="K400" t="s">
        <v>1960</v>
      </c>
      <c r="L400" s="3">
        <v>45840</v>
      </c>
      <c r="M400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2.7777777777777776E-2</v>
      </c>
      <c r="N400" s="3">
        <v>45817</v>
      </c>
      <c r="O400" s="5">
        <f>IFERROR((PlanMasine[[#This Row],[Norma]]/PlanMasine[[#This Row],[Q]])*(PlanMasine[[#This Row],[Q]]/SUMIF(C:C,PlanMasine[[#This Row],[RN]],B:B)*PlanMasine[[#This Row],[KPLQ]]),0)</f>
        <v>40</v>
      </c>
      <c r="P400">
        <v>233004</v>
      </c>
      <c r="Q400">
        <f>COUNTIF(PROMJENA!A:A,PlanMasine[[#This Row],[KPL]]&amp;"-"&amp;PlanMasine[[#This Row],[RN]])</f>
        <v>0</v>
      </c>
      <c r="R400">
        <f>IFERROR(INDEX(REDOSLIJED!A:A,MATCH(PlanMasine[[#This Row],[KPL]],REDOSLIJED!B:B,0)),MAX(REDOSLIJED!A:A)+1)</f>
        <v>45</v>
      </c>
      <c r="S400" s="9">
        <f>SUM($M$2:M400)</f>
        <v>16.557013888888896</v>
      </c>
      <c r="T400" s="3">
        <f>PlanMasine[[#This Row],[Datum SAS]]-1</f>
        <v>45816</v>
      </c>
      <c r="U400">
        <f>WEEKDAY(PlanMasine[[#This Row],[ZAVRŠETAK MAŠINSKE]],2)</f>
        <v>7</v>
      </c>
      <c r="V400" s="3">
        <f>IF(WEEKDAY(PlanMasine[[#This Row],[Datum SAS]]-1,2)=7,PlanMasine[[#This Row],[Datum SAS]]-3,PlanMasine[[#This Row],[Datum SAS]]-1)</f>
        <v>45814</v>
      </c>
      <c r="W400">
        <f>WEEKNUM(PlanMasine[[#This Row],[Column2]],1)</f>
        <v>23</v>
      </c>
    </row>
    <row r="401" spans="1:23" x14ac:dyDescent="0.35">
      <c r="A401">
        <v>1019638</v>
      </c>
      <c r="B401">
        <v>1</v>
      </c>
      <c r="C401">
        <v>1019681</v>
      </c>
      <c r="D401" t="s">
        <v>1961</v>
      </c>
      <c r="E401">
        <v>90</v>
      </c>
      <c r="F401">
        <v>6</v>
      </c>
      <c r="G401">
        <v>0</v>
      </c>
      <c r="H401">
        <v>0</v>
      </c>
      <c r="I401" t="s">
        <v>24</v>
      </c>
      <c r="J401" t="s">
        <v>597</v>
      </c>
      <c r="K401" t="s">
        <v>1962</v>
      </c>
      <c r="L401" s="3">
        <v>45841</v>
      </c>
      <c r="M401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1.0416666666666666E-2</v>
      </c>
      <c r="N401" s="3">
        <v>45818</v>
      </c>
      <c r="O401" s="5">
        <f>IFERROR((PlanMasine[[#This Row],[Norma]]/PlanMasine[[#This Row],[Q]])*(PlanMasine[[#This Row],[Q]]/SUMIF(C:C,PlanMasine[[#This Row],[RN]],B:B)*PlanMasine[[#This Row],[KPLQ]]),0)</f>
        <v>15</v>
      </c>
      <c r="P401">
        <v>215844</v>
      </c>
      <c r="Q401">
        <f>COUNTIF(PROMJENA!A:A,PlanMasine[[#This Row],[KPL]]&amp;"-"&amp;PlanMasine[[#This Row],[RN]])</f>
        <v>0</v>
      </c>
      <c r="R401">
        <f>IFERROR(INDEX(REDOSLIJED!A:A,MATCH(PlanMasine[[#This Row],[KPL]],REDOSLIJED!B:B,0)),MAX(REDOSLIJED!A:A)+1)</f>
        <v>45</v>
      </c>
      <c r="S401" s="9">
        <f>SUM($M$2:M401)</f>
        <v>16.567430555555564</v>
      </c>
      <c r="T401" s="3">
        <f>PlanMasine[[#This Row],[Datum SAS]]-1</f>
        <v>45817</v>
      </c>
      <c r="U401">
        <f>WEEKDAY(PlanMasine[[#This Row],[ZAVRŠETAK MAŠINSKE]],2)</f>
        <v>1</v>
      </c>
      <c r="V401" s="3">
        <f>IF(WEEKDAY(PlanMasine[[#This Row],[Datum SAS]]-1,2)=7,PlanMasine[[#This Row],[Datum SAS]]-3,PlanMasine[[#This Row],[Datum SAS]]-1)</f>
        <v>45817</v>
      </c>
      <c r="W401">
        <f>WEEKNUM(PlanMasine[[#This Row],[Column2]],1)</f>
        <v>24</v>
      </c>
    </row>
    <row r="402" spans="1:23" x14ac:dyDescent="0.35">
      <c r="A402">
        <v>1019639</v>
      </c>
      <c r="B402">
        <v>1</v>
      </c>
      <c r="C402">
        <v>1019681</v>
      </c>
      <c r="D402" t="s">
        <v>1961</v>
      </c>
      <c r="E402">
        <v>90</v>
      </c>
      <c r="F402">
        <v>6</v>
      </c>
      <c r="G402">
        <v>0</v>
      </c>
      <c r="H402">
        <v>0</v>
      </c>
      <c r="I402" t="s">
        <v>24</v>
      </c>
      <c r="J402" t="s">
        <v>597</v>
      </c>
      <c r="K402" t="s">
        <v>1962</v>
      </c>
      <c r="L402" s="3">
        <v>45841</v>
      </c>
      <c r="M402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1.0416666666666666E-2</v>
      </c>
      <c r="N402" s="3">
        <v>45818</v>
      </c>
      <c r="O402" s="5">
        <f>IFERROR((PlanMasine[[#This Row],[Norma]]/PlanMasine[[#This Row],[Q]])*(PlanMasine[[#This Row],[Q]]/SUMIF(C:C,PlanMasine[[#This Row],[RN]],B:B)*PlanMasine[[#This Row],[KPLQ]]),0)</f>
        <v>15</v>
      </c>
      <c r="P402">
        <v>215844</v>
      </c>
      <c r="Q402">
        <f>COUNTIF(PROMJENA!A:A,PlanMasine[[#This Row],[KPL]]&amp;"-"&amp;PlanMasine[[#This Row],[RN]])</f>
        <v>0</v>
      </c>
      <c r="R402">
        <f>IFERROR(INDEX(REDOSLIJED!A:A,MATCH(PlanMasine[[#This Row],[KPL]],REDOSLIJED!B:B,0)),MAX(REDOSLIJED!A:A)+1)</f>
        <v>45</v>
      </c>
      <c r="S402" s="9">
        <f>SUM($M$2:M402)</f>
        <v>16.577847222222232</v>
      </c>
      <c r="T402" s="3">
        <f>PlanMasine[[#This Row],[Datum SAS]]-1</f>
        <v>45817</v>
      </c>
      <c r="U402">
        <f>WEEKDAY(PlanMasine[[#This Row],[ZAVRŠETAK MAŠINSKE]],2)</f>
        <v>1</v>
      </c>
      <c r="V402" s="3">
        <f>IF(WEEKDAY(PlanMasine[[#This Row],[Datum SAS]]-1,2)=7,PlanMasine[[#This Row],[Datum SAS]]-3,PlanMasine[[#This Row],[Datum SAS]]-1)</f>
        <v>45817</v>
      </c>
      <c r="W402">
        <f>WEEKNUM(PlanMasine[[#This Row],[Column2]],1)</f>
        <v>24</v>
      </c>
    </row>
    <row r="403" spans="1:23" x14ac:dyDescent="0.35">
      <c r="A403">
        <v>1019640</v>
      </c>
      <c r="B403">
        <v>1</v>
      </c>
      <c r="C403">
        <v>1019681</v>
      </c>
      <c r="D403" t="s">
        <v>1961</v>
      </c>
      <c r="E403">
        <v>90</v>
      </c>
      <c r="F403">
        <v>6</v>
      </c>
      <c r="G403">
        <v>0</v>
      </c>
      <c r="H403">
        <v>0</v>
      </c>
      <c r="I403" t="s">
        <v>24</v>
      </c>
      <c r="J403" t="s">
        <v>597</v>
      </c>
      <c r="K403" t="s">
        <v>1962</v>
      </c>
      <c r="L403" s="3">
        <v>45841</v>
      </c>
      <c r="M403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1.0416666666666666E-2</v>
      </c>
      <c r="N403" s="3">
        <v>45818</v>
      </c>
      <c r="O403" s="5">
        <f>IFERROR((PlanMasine[[#This Row],[Norma]]/PlanMasine[[#This Row],[Q]])*(PlanMasine[[#This Row],[Q]]/SUMIF(C:C,PlanMasine[[#This Row],[RN]],B:B)*PlanMasine[[#This Row],[KPLQ]]),0)</f>
        <v>15</v>
      </c>
      <c r="P403">
        <v>215844</v>
      </c>
      <c r="Q403">
        <f>COUNTIF(PROMJENA!A:A,PlanMasine[[#This Row],[KPL]]&amp;"-"&amp;PlanMasine[[#This Row],[RN]])</f>
        <v>0</v>
      </c>
      <c r="R403">
        <f>IFERROR(INDEX(REDOSLIJED!A:A,MATCH(PlanMasine[[#This Row],[KPL]],REDOSLIJED!B:B,0)),MAX(REDOSLIJED!A:A)+1)</f>
        <v>45</v>
      </c>
      <c r="S403" s="9">
        <f>SUM($M$2:M403)</f>
        <v>16.5882638888889</v>
      </c>
      <c r="T403" s="3">
        <f>PlanMasine[[#This Row],[Datum SAS]]-1</f>
        <v>45817</v>
      </c>
      <c r="U403">
        <f>WEEKDAY(PlanMasine[[#This Row],[ZAVRŠETAK MAŠINSKE]],2)</f>
        <v>1</v>
      </c>
      <c r="V403" s="3">
        <f>IF(WEEKDAY(PlanMasine[[#This Row],[Datum SAS]]-1,2)=7,PlanMasine[[#This Row],[Datum SAS]]-3,PlanMasine[[#This Row],[Datum SAS]]-1)</f>
        <v>45817</v>
      </c>
      <c r="W403">
        <f>WEEKNUM(PlanMasine[[#This Row],[Column2]],1)</f>
        <v>24</v>
      </c>
    </row>
    <row r="404" spans="1:23" x14ac:dyDescent="0.35">
      <c r="A404">
        <v>1019641</v>
      </c>
      <c r="B404">
        <v>1</v>
      </c>
      <c r="C404">
        <v>1019681</v>
      </c>
      <c r="D404" t="s">
        <v>1961</v>
      </c>
      <c r="E404">
        <v>90</v>
      </c>
      <c r="F404">
        <v>6</v>
      </c>
      <c r="G404">
        <v>0</v>
      </c>
      <c r="H404">
        <v>0</v>
      </c>
      <c r="I404" t="s">
        <v>24</v>
      </c>
      <c r="J404" t="s">
        <v>597</v>
      </c>
      <c r="K404" t="s">
        <v>1962</v>
      </c>
      <c r="L404" s="3">
        <v>45841</v>
      </c>
      <c r="M404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1.0416666666666666E-2</v>
      </c>
      <c r="N404" s="3">
        <v>45818</v>
      </c>
      <c r="O404" s="5">
        <f>IFERROR((PlanMasine[[#This Row],[Norma]]/PlanMasine[[#This Row],[Q]])*(PlanMasine[[#This Row],[Q]]/SUMIF(C:C,PlanMasine[[#This Row],[RN]],B:B)*PlanMasine[[#This Row],[KPLQ]]),0)</f>
        <v>15</v>
      </c>
      <c r="P404">
        <v>215844</v>
      </c>
      <c r="Q404">
        <f>COUNTIF(PROMJENA!A:A,PlanMasine[[#This Row],[KPL]]&amp;"-"&amp;PlanMasine[[#This Row],[RN]])</f>
        <v>0</v>
      </c>
      <c r="R404">
        <f>IFERROR(INDEX(REDOSLIJED!A:A,MATCH(PlanMasine[[#This Row],[KPL]],REDOSLIJED!B:B,0)),MAX(REDOSLIJED!A:A)+1)</f>
        <v>45</v>
      </c>
      <c r="S404" s="9">
        <f>SUM($M$2:M404)</f>
        <v>16.598680555555568</v>
      </c>
      <c r="T404" s="3">
        <f>PlanMasine[[#This Row],[Datum SAS]]-1</f>
        <v>45817</v>
      </c>
      <c r="U404">
        <f>WEEKDAY(PlanMasine[[#This Row],[ZAVRŠETAK MAŠINSKE]],2)</f>
        <v>1</v>
      </c>
      <c r="V404" s="3">
        <f>IF(WEEKDAY(PlanMasine[[#This Row],[Datum SAS]]-1,2)=7,PlanMasine[[#This Row],[Datum SAS]]-3,PlanMasine[[#This Row],[Datum SAS]]-1)</f>
        <v>45817</v>
      </c>
      <c r="W404">
        <f>WEEKNUM(PlanMasine[[#This Row],[Column2]],1)</f>
        <v>24</v>
      </c>
    </row>
    <row r="405" spans="1:23" x14ac:dyDescent="0.35">
      <c r="A405">
        <v>1019642</v>
      </c>
      <c r="B405">
        <v>1</v>
      </c>
      <c r="C405">
        <v>1019681</v>
      </c>
      <c r="D405" t="s">
        <v>1961</v>
      </c>
      <c r="E405">
        <v>90</v>
      </c>
      <c r="F405">
        <v>6</v>
      </c>
      <c r="G405">
        <v>0</v>
      </c>
      <c r="H405">
        <v>0</v>
      </c>
      <c r="I405" t="s">
        <v>24</v>
      </c>
      <c r="J405" t="s">
        <v>597</v>
      </c>
      <c r="K405" t="s">
        <v>1962</v>
      </c>
      <c r="L405" s="3">
        <v>45841</v>
      </c>
      <c r="M405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1.0416666666666666E-2</v>
      </c>
      <c r="N405" s="3">
        <v>45818</v>
      </c>
      <c r="O405" s="5">
        <f>IFERROR((PlanMasine[[#This Row],[Norma]]/PlanMasine[[#This Row],[Q]])*(PlanMasine[[#This Row],[Q]]/SUMIF(C:C,PlanMasine[[#This Row],[RN]],B:B)*PlanMasine[[#This Row],[KPLQ]]),0)</f>
        <v>15</v>
      </c>
      <c r="P405">
        <v>215844</v>
      </c>
      <c r="Q405">
        <f>COUNTIF(PROMJENA!A:A,PlanMasine[[#This Row],[KPL]]&amp;"-"&amp;PlanMasine[[#This Row],[RN]])</f>
        <v>0</v>
      </c>
      <c r="R405">
        <f>IFERROR(INDEX(REDOSLIJED!A:A,MATCH(PlanMasine[[#This Row],[KPL]],REDOSLIJED!B:B,0)),MAX(REDOSLIJED!A:A)+1)</f>
        <v>45</v>
      </c>
      <c r="S405" s="9">
        <f>SUM($M$2:M405)</f>
        <v>16.609097222222236</v>
      </c>
      <c r="T405" s="3">
        <f>PlanMasine[[#This Row],[Datum SAS]]-1</f>
        <v>45817</v>
      </c>
      <c r="U405">
        <f>WEEKDAY(PlanMasine[[#This Row],[ZAVRŠETAK MAŠINSKE]],2)</f>
        <v>1</v>
      </c>
      <c r="V405" s="3">
        <f>IF(WEEKDAY(PlanMasine[[#This Row],[Datum SAS]]-1,2)=7,PlanMasine[[#This Row],[Datum SAS]]-3,PlanMasine[[#This Row],[Datum SAS]]-1)</f>
        <v>45817</v>
      </c>
      <c r="W405">
        <f>WEEKNUM(PlanMasine[[#This Row],[Column2]],1)</f>
        <v>24</v>
      </c>
    </row>
    <row r="406" spans="1:23" x14ac:dyDescent="0.35">
      <c r="A406">
        <v>1019643</v>
      </c>
      <c r="B406">
        <v>1</v>
      </c>
      <c r="C406">
        <v>1019681</v>
      </c>
      <c r="D406" t="s">
        <v>1961</v>
      </c>
      <c r="E406">
        <v>90</v>
      </c>
      <c r="F406">
        <v>6</v>
      </c>
      <c r="G406">
        <v>0</v>
      </c>
      <c r="H406">
        <v>0</v>
      </c>
      <c r="I406" t="s">
        <v>24</v>
      </c>
      <c r="J406" t="s">
        <v>597</v>
      </c>
      <c r="K406" t="s">
        <v>1962</v>
      </c>
      <c r="L406" s="3">
        <v>45841</v>
      </c>
      <c r="M406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1.0416666666666666E-2</v>
      </c>
      <c r="N406" s="3">
        <v>45818</v>
      </c>
      <c r="O406" s="5">
        <f>IFERROR((PlanMasine[[#This Row],[Norma]]/PlanMasine[[#This Row],[Q]])*(PlanMasine[[#This Row],[Q]]/SUMIF(C:C,PlanMasine[[#This Row],[RN]],B:B)*PlanMasine[[#This Row],[KPLQ]]),0)</f>
        <v>15</v>
      </c>
      <c r="P406">
        <v>215844</v>
      </c>
      <c r="Q406">
        <f>COUNTIF(PROMJENA!A:A,PlanMasine[[#This Row],[KPL]]&amp;"-"&amp;PlanMasine[[#This Row],[RN]])</f>
        <v>0</v>
      </c>
      <c r="R406">
        <f>IFERROR(INDEX(REDOSLIJED!A:A,MATCH(PlanMasine[[#This Row],[KPL]],REDOSLIJED!B:B,0)),MAX(REDOSLIJED!A:A)+1)</f>
        <v>45</v>
      </c>
      <c r="S406" s="9">
        <f>SUM($M$2:M406)</f>
        <v>16.619513888888903</v>
      </c>
      <c r="T406" s="3">
        <f>PlanMasine[[#This Row],[Datum SAS]]-1</f>
        <v>45817</v>
      </c>
      <c r="U406">
        <f>WEEKDAY(PlanMasine[[#This Row],[ZAVRŠETAK MAŠINSKE]],2)</f>
        <v>1</v>
      </c>
      <c r="V406" s="3">
        <f>IF(WEEKDAY(PlanMasine[[#This Row],[Datum SAS]]-1,2)=7,PlanMasine[[#This Row],[Datum SAS]]-3,PlanMasine[[#This Row],[Datum SAS]]-1)</f>
        <v>45817</v>
      </c>
      <c r="W406">
        <f>WEEKNUM(PlanMasine[[#This Row],[Column2]],1)</f>
        <v>24</v>
      </c>
    </row>
    <row r="407" spans="1:23" x14ac:dyDescent="0.35">
      <c r="A407">
        <v>1020173</v>
      </c>
      <c r="B407">
        <v>1</v>
      </c>
      <c r="C407">
        <v>1020182</v>
      </c>
      <c r="D407" t="s">
        <v>1768</v>
      </c>
      <c r="E407">
        <v>15</v>
      </c>
      <c r="F407">
        <v>1</v>
      </c>
      <c r="G407">
        <v>0</v>
      </c>
      <c r="H407">
        <v>0</v>
      </c>
      <c r="I407" t="s">
        <v>24</v>
      </c>
      <c r="J407" t="s">
        <v>597</v>
      </c>
      <c r="K407" t="s">
        <v>1963</v>
      </c>
      <c r="L407" s="3">
        <v>45838</v>
      </c>
      <c r="M407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1.0416666666666666E-2</v>
      </c>
      <c r="N407" s="3">
        <v>45818</v>
      </c>
      <c r="O407" s="5">
        <f>IFERROR((PlanMasine[[#This Row],[Norma]]/PlanMasine[[#This Row],[Q]])*(PlanMasine[[#This Row],[Q]]/SUMIF(C:C,PlanMasine[[#This Row],[RN]],B:B)*PlanMasine[[#This Row],[KPLQ]]),0)</f>
        <v>15</v>
      </c>
      <c r="P407">
        <v>137863</v>
      </c>
      <c r="Q407">
        <f>COUNTIF(PROMJENA!A:A,PlanMasine[[#This Row],[KPL]]&amp;"-"&amp;PlanMasine[[#This Row],[RN]])</f>
        <v>0</v>
      </c>
      <c r="R407">
        <f>IFERROR(INDEX(REDOSLIJED!A:A,MATCH(PlanMasine[[#This Row],[KPL]],REDOSLIJED!B:B,0)),MAX(REDOSLIJED!A:A)+1)</f>
        <v>45</v>
      </c>
      <c r="S407" s="9">
        <f>SUM($M$2:M407)</f>
        <v>16.629930555555571</v>
      </c>
      <c r="T407" s="3">
        <f>PlanMasine[[#This Row],[Datum SAS]]-1</f>
        <v>45817</v>
      </c>
      <c r="U407">
        <f>WEEKDAY(PlanMasine[[#This Row],[ZAVRŠETAK MAŠINSKE]],2)</f>
        <v>1</v>
      </c>
      <c r="V407" s="3">
        <f>IF(WEEKDAY(PlanMasine[[#This Row],[Datum SAS]]-1,2)=7,PlanMasine[[#This Row],[Datum SAS]]-3,PlanMasine[[#This Row],[Datum SAS]]-1)</f>
        <v>45817</v>
      </c>
      <c r="W407">
        <f>WEEKNUM(PlanMasine[[#This Row],[Column2]],1)</f>
        <v>24</v>
      </c>
    </row>
    <row r="408" spans="1:23" x14ac:dyDescent="0.35">
      <c r="A408">
        <v>1020173</v>
      </c>
      <c r="B408">
        <v>1</v>
      </c>
      <c r="C408">
        <v>1020181</v>
      </c>
      <c r="D408" t="s">
        <v>1769</v>
      </c>
      <c r="E408">
        <v>15</v>
      </c>
      <c r="F408">
        <v>1</v>
      </c>
      <c r="G408">
        <v>0</v>
      </c>
      <c r="H408">
        <v>0</v>
      </c>
      <c r="I408" t="s">
        <v>24</v>
      </c>
      <c r="J408" t="s">
        <v>597</v>
      </c>
      <c r="K408" t="s">
        <v>1963</v>
      </c>
      <c r="L408" s="3">
        <v>45838</v>
      </c>
      <c r="M408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1.0416666666666666E-2</v>
      </c>
      <c r="N408" s="3">
        <v>45818</v>
      </c>
      <c r="O408" s="5">
        <f>IFERROR((PlanMasine[[#This Row],[Norma]]/PlanMasine[[#This Row],[Q]])*(PlanMasine[[#This Row],[Q]]/SUMIF(C:C,PlanMasine[[#This Row],[RN]],B:B)*PlanMasine[[#This Row],[KPLQ]]),0)</f>
        <v>15</v>
      </c>
      <c r="P408">
        <v>137862</v>
      </c>
      <c r="Q408">
        <f>COUNTIF(PROMJENA!A:A,PlanMasine[[#This Row],[KPL]]&amp;"-"&amp;PlanMasine[[#This Row],[RN]])</f>
        <v>0</v>
      </c>
      <c r="R408">
        <f>IFERROR(INDEX(REDOSLIJED!A:A,MATCH(PlanMasine[[#This Row],[KPL]],REDOSLIJED!B:B,0)),MAX(REDOSLIJED!A:A)+1)</f>
        <v>45</v>
      </c>
      <c r="S408" s="9">
        <f>SUM($M$2:M408)</f>
        <v>16.640347222222239</v>
      </c>
      <c r="T408" s="3">
        <f>PlanMasine[[#This Row],[Datum SAS]]-1</f>
        <v>45817</v>
      </c>
      <c r="U408">
        <f>WEEKDAY(PlanMasine[[#This Row],[ZAVRŠETAK MAŠINSKE]],2)</f>
        <v>1</v>
      </c>
      <c r="V408" s="3">
        <f>IF(WEEKDAY(PlanMasine[[#This Row],[Datum SAS]]-1,2)=7,PlanMasine[[#This Row],[Datum SAS]]-3,PlanMasine[[#This Row],[Datum SAS]]-1)</f>
        <v>45817</v>
      </c>
      <c r="W408">
        <f>WEEKNUM(PlanMasine[[#This Row],[Column2]],1)</f>
        <v>24</v>
      </c>
    </row>
    <row r="409" spans="1:23" x14ac:dyDescent="0.35">
      <c r="A409">
        <v>1020173</v>
      </c>
      <c r="B409">
        <v>1</v>
      </c>
      <c r="C409">
        <v>1020183</v>
      </c>
      <c r="D409" t="s">
        <v>1454</v>
      </c>
      <c r="E409">
        <v>13</v>
      </c>
      <c r="F409">
        <v>1</v>
      </c>
      <c r="G409">
        <v>0</v>
      </c>
      <c r="H409">
        <v>0</v>
      </c>
      <c r="I409" t="s">
        <v>24</v>
      </c>
      <c r="J409" t="s">
        <v>597</v>
      </c>
      <c r="K409" t="s">
        <v>1963</v>
      </c>
      <c r="L409" s="3">
        <v>45838</v>
      </c>
      <c r="M409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9.0277777777777769E-3</v>
      </c>
      <c r="N409" s="3">
        <v>45818</v>
      </c>
      <c r="O409" s="5">
        <f>IFERROR((PlanMasine[[#This Row],[Norma]]/PlanMasine[[#This Row],[Q]])*(PlanMasine[[#This Row],[Q]]/SUMIF(C:C,PlanMasine[[#This Row],[RN]],B:B)*PlanMasine[[#This Row],[KPLQ]]),0)</f>
        <v>13</v>
      </c>
      <c r="P409">
        <v>137864</v>
      </c>
      <c r="Q409">
        <f>COUNTIF(PROMJENA!A:A,PlanMasine[[#This Row],[KPL]]&amp;"-"&amp;PlanMasine[[#This Row],[RN]])</f>
        <v>0</v>
      </c>
      <c r="R409">
        <f>IFERROR(INDEX(REDOSLIJED!A:A,MATCH(PlanMasine[[#This Row],[KPL]],REDOSLIJED!B:B,0)),MAX(REDOSLIJED!A:A)+1)</f>
        <v>45</v>
      </c>
      <c r="S409" s="9">
        <f>SUM($M$2:M409)</f>
        <v>16.649375000000017</v>
      </c>
      <c r="T409" s="3">
        <f>PlanMasine[[#This Row],[Datum SAS]]-1</f>
        <v>45817</v>
      </c>
      <c r="U409">
        <f>WEEKDAY(PlanMasine[[#This Row],[ZAVRŠETAK MAŠINSKE]],2)</f>
        <v>1</v>
      </c>
      <c r="V409" s="3">
        <f>IF(WEEKDAY(PlanMasine[[#This Row],[Datum SAS]]-1,2)=7,PlanMasine[[#This Row],[Datum SAS]]-3,PlanMasine[[#This Row],[Datum SAS]]-1)</f>
        <v>45817</v>
      </c>
      <c r="W409">
        <f>WEEKNUM(PlanMasine[[#This Row],[Column2]],1)</f>
        <v>24</v>
      </c>
    </row>
    <row r="410" spans="1:23" x14ac:dyDescent="0.35">
      <c r="A410">
        <v>1020173</v>
      </c>
      <c r="B410">
        <v>1</v>
      </c>
      <c r="C410">
        <v>1020184</v>
      </c>
      <c r="D410" t="s">
        <v>1453</v>
      </c>
      <c r="E410">
        <v>15</v>
      </c>
      <c r="F410">
        <v>1</v>
      </c>
      <c r="G410">
        <v>0</v>
      </c>
      <c r="H410">
        <v>0</v>
      </c>
      <c r="I410" t="s">
        <v>24</v>
      </c>
      <c r="J410" t="s">
        <v>597</v>
      </c>
      <c r="K410" t="s">
        <v>1963</v>
      </c>
      <c r="L410" s="3">
        <v>45838</v>
      </c>
      <c r="M410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1.0416666666666666E-2</v>
      </c>
      <c r="N410" s="3">
        <v>45818</v>
      </c>
      <c r="O410" s="5">
        <f>IFERROR((PlanMasine[[#This Row],[Norma]]/PlanMasine[[#This Row],[Q]])*(PlanMasine[[#This Row],[Q]]/SUMIF(C:C,PlanMasine[[#This Row],[RN]],B:B)*PlanMasine[[#This Row],[KPLQ]]),0)</f>
        <v>15</v>
      </c>
      <c r="P410">
        <v>137865</v>
      </c>
      <c r="Q410">
        <f>COUNTIF(PROMJENA!A:A,PlanMasine[[#This Row],[KPL]]&amp;"-"&amp;PlanMasine[[#This Row],[RN]])</f>
        <v>0</v>
      </c>
      <c r="R410">
        <f>IFERROR(INDEX(REDOSLIJED!A:A,MATCH(PlanMasine[[#This Row],[KPL]],REDOSLIJED!B:B,0)),MAX(REDOSLIJED!A:A)+1)</f>
        <v>45</v>
      </c>
      <c r="S410" s="9">
        <f>SUM($M$2:M410)</f>
        <v>16.659791666666685</v>
      </c>
      <c r="T410" s="3">
        <f>PlanMasine[[#This Row],[Datum SAS]]-1</f>
        <v>45817</v>
      </c>
      <c r="U410">
        <f>WEEKDAY(PlanMasine[[#This Row],[ZAVRŠETAK MAŠINSKE]],2)</f>
        <v>1</v>
      </c>
      <c r="V410" s="3">
        <f>IF(WEEKDAY(PlanMasine[[#This Row],[Datum SAS]]-1,2)=7,PlanMasine[[#This Row],[Datum SAS]]-3,PlanMasine[[#This Row],[Datum SAS]]-1)</f>
        <v>45817</v>
      </c>
      <c r="W410">
        <f>WEEKNUM(PlanMasine[[#This Row],[Column2]],1)</f>
        <v>24</v>
      </c>
    </row>
    <row r="411" spans="1:23" x14ac:dyDescent="0.35">
      <c r="A411">
        <v>1020173</v>
      </c>
      <c r="B411">
        <v>1</v>
      </c>
      <c r="C411">
        <v>1020200</v>
      </c>
      <c r="D411" t="s">
        <v>1964</v>
      </c>
      <c r="E411">
        <v>60</v>
      </c>
      <c r="F411">
        <v>2</v>
      </c>
      <c r="G411">
        <v>0</v>
      </c>
      <c r="H411">
        <v>0</v>
      </c>
      <c r="I411" t="s">
        <v>24</v>
      </c>
      <c r="J411" t="s">
        <v>597</v>
      </c>
      <c r="K411" t="s">
        <v>1963</v>
      </c>
      <c r="L411" s="3">
        <v>45838</v>
      </c>
      <c r="M411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4.1666666666666664E-2</v>
      </c>
      <c r="N411" s="3">
        <v>45818</v>
      </c>
      <c r="O411" s="5">
        <f>IFERROR((PlanMasine[[#This Row],[Norma]]/PlanMasine[[#This Row],[Q]])*(PlanMasine[[#This Row],[Q]]/SUMIF(C:C,PlanMasine[[#This Row],[RN]],B:B)*PlanMasine[[#This Row],[KPLQ]]),0)</f>
        <v>60</v>
      </c>
      <c r="P411">
        <v>137880</v>
      </c>
      <c r="Q411">
        <f>COUNTIF(PROMJENA!A:A,PlanMasine[[#This Row],[KPL]]&amp;"-"&amp;PlanMasine[[#This Row],[RN]])</f>
        <v>0</v>
      </c>
      <c r="R411">
        <f>IFERROR(INDEX(REDOSLIJED!A:A,MATCH(PlanMasine[[#This Row],[KPL]],REDOSLIJED!B:B,0)),MAX(REDOSLIJED!A:A)+1)</f>
        <v>45</v>
      </c>
      <c r="S411" s="9">
        <f>SUM($M$2:M411)</f>
        <v>16.701458333333353</v>
      </c>
      <c r="T411" s="3">
        <f>PlanMasine[[#This Row],[Datum SAS]]-1</f>
        <v>45817</v>
      </c>
      <c r="U411">
        <f>WEEKDAY(PlanMasine[[#This Row],[ZAVRŠETAK MAŠINSKE]],2)</f>
        <v>1</v>
      </c>
      <c r="V411" s="3">
        <f>IF(WEEKDAY(PlanMasine[[#This Row],[Datum SAS]]-1,2)=7,PlanMasine[[#This Row],[Datum SAS]]-3,PlanMasine[[#This Row],[Datum SAS]]-1)</f>
        <v>45817</v>
      </c>
      <c r="W411">
        <f>WEEKNUM(PlanMasine[[#This Row],[Column2]],1)</f>
        <v>24</v>
      </c>
    </row>
    <row r="412" spans="1:23" x14ac:dyDescent="0.35">
      <c r="A412">
        <v>1022528</v>
      </c>
      <c r="B412">
        <v>1</v>
      </c>
      <c r="C412">
        <v>1022528</v>
      </c>
      <c r="D412" t="s">
        <v>1882</v>
      </c>
      <c r="E412">
        <v>75</v>
      </c>
      <c r="F412">
        <v>1</v>
      </c>
      <c r="G412">
        <v>0</v>
      </c>
      <c r="H412">
        <v>0</v>
      </c>
      <c r="I412" t="s">
        <v>24</v>
      </c>
      <c r="J412" t="s">
        <v>597</v>
      </c>
      <c r="K412" t="s">
        <v>1965</v>
      </c>
      <c r="L412" s="3">
        <v>45848</v>
      </c>
      <c r="M412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5.2083333333333336E-2</v>
      </c>
      <c r="N412" s="3">
        <v>45818</v>
      </c>
      <c r="O412" s="5">
        <f>IFERROR((PlanMasine[[#This Row],[Norma]]/PlanMasine[[#This Row],[Q]])*(PlanMasine[[#This Row],[Q]]/SUMIF(C:C,PlanMasine[[#This Row],[RN]],B:B)*PlanMasine[[#This Row],[KPLQ]]),0)</f>
        <v>75</v>
      </c>
      <c r="P412">
        <v>216056</v>
      </c>
      <c r="Q412">
        <f>COUNTIF(PROMJENA!A:A,PlanMasine[[#This Row],[KPL]]&amp;"-"&amp;PlanMasine[[#This Row],[RN]])</f>
        <v>0</v>
      </c>
      <c r="R412">
        <f>IFERROR(INDEX(REDOSLIJED!A:A,MATCH(PlanMasine[[#This Row],[KPL]],REDOSLIJED!B:B,0)),MAX(REDOSLIJED!A:A)+1)</f>
        <v>45</v>
      </c>
      <c r="S412" s="9">
        <f>SUM($M$2:M412)</f>
        <v>16.753541666666685</v>
      </c>
      <c r="T412" s="3">
        <f>PlanMasine[[#This Row],[Datum SAS]]-1</f>
        <v>45817</v>
      </c>
      <c r="U412">
        <f>WEEKDAY(PlanMasine[[#This Row],[ZAVRŠETAK MAŠINSKE]],2)</f>
        <v>1</v>
      </c>
      <c r="V412" s="3">
        <f>IF(WEEKDAY(PlanMasine[[#This Row],[Datum SAS]]-1,2)=7,PlanMasine[[#This Row],[Datum SAS]]-3,PlanMasine[[#This Row],[Datum SAS]]-1)</f>
        <v>45817</v>
      </c>
      <c r="W412">
        <f>WEEKNUM(PlanMasine[[#This Row],[Column2]],1)</f>
        <v>24</v>
      </c>
    </row>
    <row r="413" spans="1:23" x14ac:dyDescent="0.35">
      <c r="A413">
        <v>1022535</v>
      </c>
      <c r="B413">
        <v>1</v>
      </c>
      <c r="C413">
        <v>1022537</v>
      </c>
      <c r="D413" t="s">
        <v>1627</v>
      </c>
      <c r="E413">
        <v>20</v>
      </c>
      <c r="F413">
        <v>1</v>
      </c>
      <c r="G413">
        <v>0</v>
      </c>
      <c r="H413">
        <v>0</v>
      </c>
      <c r="I413" t="s">
        <v>24</v>
      </c>
      <c r="J413" t="s">
        <v>597</v>
      </c>
      <c r="K413" t="s">
        <v>1966</v>
      </c>
      <c r="L413" s="3">
        <v>45848</v>
      </c>
      <c r="M413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1.3888888888888888E-2</v>
      </c>
      <c r="N413" s="3">
        <v>45818</v>
      </c>
      <c r="O413" s="5">
        <f>IFERROR((PlanMasine[[#This Row],[Norma]]/PlanMasine[[#This Row],[Q]])*(PlanMasine[[#This Row],[Q]]/SUMIF(C:C,PlanMasine[[#This Row],[RN]],B:B)*PlanMasine[[#This Row],[KPLQ]]),0)</f>
        <v>20</v>
      </c>
      <c r="P413">
        <v>217588</v>
      </c>
      <c r="Q413">
        <f>COUNTIF(PROMJENA!A:A,PlanMasine[[#This Row],[KPL]]&amp;"-"&amp;PlanMasine[[#This Row],[RN]])</f>
        <v>0</v>
      </c>
      <c r="R413">
        <f>IFERROR(INDEX(REDOSLIJED!A:A,MATCH(PlanMasine[[#This Row],[KPL]],REDOSLIJED!B:B,0)),MAX(REDOSLIJED!A:A)+1)</f>
        <v>45</v>
      </c>
      <c r="S413" s="9">
        <f>SUM($M$2:M413)</f>
        <v>16.767430555555574</v>
      </c>
      <c r="T413" s="3">
        <f>PlanMasine[[#This Row],[Datum SAS]]-1</f>
        <v>45817</v>
      </c>
      <c r="U413">
        <f>WEEKDAY(PlanMasine[[#This Row],[ZAVRŠETAK MAŠINSKE]],2)</f>
        <v>1</v>
      </c>
      <c r="V413" s="3">
        <f>IF(WEEKDAY(PlanMasine[[#This Row],[Datum SAS]]-1,2)=7,PlanMasine[[#This Row],[Datum SAS]]-3,PlanMasine[[#This Row],[Datum SAS]]-1)</f>
        <v>45817</v>
      </c>
      <c r="W413">
        <f>WEEKNUM(PlanMasine[[#This Row],[Column2]],1)</f>
        <v>24</v>
      </c>
    </row>
    <row r="414" spans="1:23" x14ac:dyDescent="0.35">
      <c r="A414">
        <v>1022535</v>
      </c>
      <c r="B414">
        <v>1</v>
      </c>
      <c r="C414">
        <v>1022536</v>
      </c>
      <c r="D414" t="s">
        <v>1884</v>
      </c>
      <c r="E414">
        <v>10</v>
      </c>
      <c r="F414">
        <v>1</v>
      </c>
      <c r="G414">
        <v>0</v>
      </c>
      <c r="H414">
        <v>0</v>
      </c>
      <c r="I414" t="s">
        <v>24</v>
      </c>
      <c r="J414" t="s">
        <v>597</v>
      </c>
      <c r="K414" t="s">
        <v>1966</v>
      </c>
      <c r="L414" s="3">
        <v>45848</v>
      </c>
      <c r="M414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6.9444444444444441E-3</v>
      </c>
      <c r="N414" s="3">
        <v>45818</v>
      </c>
      <c r="O414" s="5">
        <f>IFERROR((PlanMasine[[#This Row],[Norma]]/PlanMasine[[#This Row],[Q]])*(PlanMasine[[#This Row],[Q]]/SUMIF(C:C,PlanMasine[[#This Row],[RN]],B:B)*PlanMasine[[#This Row],[KPLQ]]),0)</f>
        <v>10</v>
      </c>
      <c r="P414">
        <v>217587</v>
      </c>
      <c r="Q414">
        <f>COUNTIF(PROMJENA!A:A,PlanMasine[[#This Row],[KPL]]&amp;"-"&amp;PlanMasine[[#This Row],[RN]])</f>
        <v>0</v>
      </c>
      <c r="R414">
        <f>IFERROR(INDEX(REDOSLIJED!A:A,MATCH(PlanMasine[[#This Row],[KPL]],REDOSLIJED!B:B,0)),MAX(REDOSLIJED!A:A)+1)</f>
        <v>45</v>
      </c>
      <c r="S414" s="9">
        <f>SUM($M$2:M414)</f>
        <v>16.774375000000017</v>
      </c>
      <c r="T414" s="3">
        <f>PlanMasine[[#This Row],[Datum SAS]]-1</f>
        <v>45817</v>
      </c>
      <c r="U414">
        <f>WEEKDAY(PlanMasine[[#This Row],[ZAVRŠETAK MAŠINSKE]],2)</f>
        <v>1</v>
      </c>
      <c r="V414" s="3">
        <f>IF(WEEKDAY(PlanMasine[[#This Row],[Datum SAS]]-1,2)=7,PlanMasine[[#This Row],[Datum SAS]]-3,PlanMasine[[#This Row],[Datum SAS]]-1)</f>
        <v>45817</v>
      </c>
      <c r="W414">
        <f>WEEKNUM(PlanMasine[[#This Row],[Column2]],1)</f>
        <v>24</v>
      </c>
    </row>
    <row r="415" spans="1:23" x14ac:dyDescent="0.35">
      <c r="A415">
        <v>1022543</v>
      </c>
      <c r="B415">
        <v>1</v>
      </c>
      <c r="C415">
        <v>1022544</v>
      </c>
      <c r="D415" t="s">
        <v>1628</v>
      </c>
      <c r="E415">
        <v>20</v>
      </c>
      <c r="F415">
        <v>1</v>
      </c>
      <c r="G415">
        <v>0</v>
      </c>
      <c r="H415">
        <v>0</v>
      </c>
      <c r="I415" t="s">
        <v>24</v>
      </c>
      <c r="J415" t="s">
        <v>597</v>
      </c>
      <c r="K415" t="s">
        <v>1967</v>
      </c>
      <c r="L415" s="3">
        <v>45848</v>
      </c>
      <c r="M415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1.3888888888888888E-2</v>
      </c>
      <c r="N415" s="3">
        <v>45818</v>
      </c>
      <c r="O415" s="5">
        <f>IFERROR((PlanMasine[[#This Row],[Norma]]/PlanMasine[[#This Row],[Q]])*(PlanMasine[[#This Row],[Q]]/SUMIF(C:C,PlanMasine[[#This Row],[RN]],B:B)*PlanMasine[[#This Row],[KPLQ]]),0)</f>
        <v>20</v>
      </c>
      <c r="P415">
        <v>217656</v>
      </c>
      <c r="Q415">
        <f>COUNTIF(PROMJENA!A:A,PlanMasine[[#This Row],[KPL]]&amp;"-"&amp;PlanMasine[[#This Row],[RN]])</f>
        <v>0</v>
      </c>
      <c r="R415">
        <f>IFERROR(INDEX(REDOSLIJED!A:A,MATCH(PlanMasine[[#This Row],[KPL]],REDOSLIJED!B:B,0)),MAX(REDOSLIJED!A:A)+1)</f>
        <v>45</v>
      </c>
      <c r="S415" s="9">
        <f>SUM($M$2:M415)</f>
        <v>16.788263888888906</v>
      </c>
      <c r="T415" s="3">
        <f>PlanMasine[[#This Row],[Datum SAS]]-1</f>
        <v>45817</v>
      </c>
      <c r="U415">
        <f>WEEKDAY(PlanMasine[[#This Row],[ZAVRŠETAK MAŠINSKE]],2)</f>
        <v>1</v>
      </c>
      <c r="V415" s="3">
        <f>IF(WEEKDAY(PlanMasine[[#This Row],[Datum SAS]]-1,2)=7,PlanMasine[[#This Row],[Datum SAS]]-3,PlanMasine[[#This Row],[Datum SAS]]-1)</f>
        <v>45817</v>
      </c>
      <c r="W415">
        <f>WEEKNUM(PlanMasine[[#This Row],[Column2]],1)</f>
        <v>24</v>
      </c>
    </row>
    <row r="416" spans="1:23" x14ac:dyDescent="0.35">
      <c r="A416">
        <v>1022543</v>
      </c>
      <c r="B416">
        <v>1</v>
      </c>
      <c r="C416">
        <v>1022545</v>
      </c>
      <c r="D416" t="s">
        <v>1629</v>
      </c>
      <c r="E416">
        <v>10</v>
      </c>
      <c r="F416">
        <v>1</v>
      </c>
      <c r="G416">
        <v>0</v>
      </c>
      <c r="H416">
        <v>0</v>
      </c>
      <c r="I416" t="s">
        <v>24</v>
      </c>
      <c r="J416" t="s">
        <v>597</v>
      </c>
      <c r="K416" t="s">
        <v>1967</v>
      </c>
      <c r="L416" s="3">
        <v>45848</v>
      </c>
      <c r="M416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6.9444444444444441E-3</v>
      </c>
      <c r="N416" s="3">
        <v>45818</v>
      </c>
      <c r="O416" s="5">
        <f>IFERROR((PlanMasine[[#This Row],[Norma]]/PlanMasine[[#This Row],[Q]])*(PlanMasine[[#This Row],[Q]]/SUMIF(C:C,PlanMasine[[#This Row],[RN]],B:B)*PlanMasine[[#This Row],[KPLQ]]),0)</f>
        <v>10</v>
      </c>
      <c r="P416">
        <v>217657</v>
      </c>
      <c r="Q416">
        <f>COUNTIF(PROMJENA!A:A,PlanMasine[[#This Row],[KPL]]&amp;"-"&amp;PlanMasine[[#This Row],[RN]])</f>
        <v>0</v>
      </c>
      <c r="R416">
        <f>IFERROR(INDEX(REDOSLIJED!A:A,MATCH(PlanMasine[[#This Row],[KPL]],REDOSLIJED!B:B,0)),MAX(REDOSLIJED!A:A)+1)</f>
        <v>45</v>
      </c>
      <c r="S416" s="9">
        <f>SUM($M$2:M416)</f>
        <v>16.795208333333349</v>
      </c>
      <c r="T416" s="3">
        <f>PlanMasine[[#This Row],[Datum SAS]]-1</f>
        <v>45817</v>
      </c>
      <c r="U416">
        <f>WEEKDAY(PlanMasine[[#This Row],[ZAVRŠETAK MAŠINSKE]],2)</f>
        <v>1</v>
      </c>
      <c r="V416" s="3">
        <f>IF(WEEKDAY(PlanMasine[[#This Row],[Datum SAS]]-1,2)=7,PlanMasine[[#This Row],[Datum SAS]]-3,PlanMasine[[#This Row],[Datum SAS]]-1)</f>
        <v>45817</v>
      </c>
      <c r="W416">
        <f>WEEKNUM(PlanMasine[[#This Row],[Column2]],1)</f>
        <v>24</v>
      </c>
    </row>
    <row r="417" spans="1:23" x14ac:dyDescent="0.35">
      <c r="A417">
        <v>1022551</v>
      </c>
      <c r="B417">
        <v>1</v>
      </c>
      <c r="C417">
        <v>1022562</v>
      </c>
      <c r="D417" t="s">
        <v>1636</v>
      </c>
      <c r="E417">
        <v>70</v>
      </c>
      <c r="F417">
        <v>2</v>
      </c>
      <c r="G417">
        <v>0</v>
      </c>
      <c r="H417">
        <v>0</v>
      </c>
      <c r="I417" t="s">
        <v>24</v>
      </c>
      <c r="J417" t="s">
        <v>597</v>
      </c>
      <c r="K417" t="s">
        <v>1968</v>
      </c>
      <c r="L417" s="3">
        <v>45848</v>
      </c>
      <c r="M417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4.8611111111111112E-2</v>
      </c>
      <c r="N417" s="3">
        <v>45818</v>
      </c>
      <c r="O417" s="5">
        <f>IFERROR((PlanMasine[[#This Row],[Norma]]/PlanMasine[[#This Row],[Q]])*(PlanMasine[[#This Row],[Q]]/SUMIF(C:C,PlanMasine[[#This Row],[RN]],B:B)*PlanMasine[[#This Row],[KPLQ]]),0)</f>
        <v>70</v>
      </c>
      <c r="P417">
        <v>214179</v>
      </c>
      <c r="Q417">
        <f>COUNTIF(PROMJENA!A:A,PlanMasine[[#This Row],[KPL]]&amp;"-"&amp;PlanMasine[[#This Row],[RN]])</f>
        <v>0</v>
      </c>
      <c r="R417">
        <f>IFERROR(INDEX(REDOSLIJED!A:A,MATCH(PlanMasine[[#This Row],[KPL]],REDOSLIJED!B:B,0)),MAX(REDOSLIJED!A:A)+1)</f>
        <v>45</v>
      </c>
      <c r="S417" s="9">
        <f>SUM($M$2:M417)</f>
        <v>16.84381944444446</v>
      </c>
      <c r="T417" s="3">
        <f>PlanMasine[[#This Row],[Datum SAS]]-1</f>
        <v>45817</v>
      </c>
      <c r="U417">
        <f>WEEKDAY(PlanMasine[[#This Row],[ZAVRŠETAK MAŠINSKE]],2)</f>
        <v>1</v>
      </c>
      <c r="V417" s="3">
        <f>IF(WEEKDAY(PlanMasine[[#This Row],[Datum SAS]]-1,2)=7,PlanMasine[[#This Row],[Datum SAS]]-3,PlanMasine[[#This Row],[Datum SAS]]-1)</f>
        <v>45817</v>
      </c>
      <c r="W417">
        <f>WEEKNUM(PlanMasine[[#This Row],[Column2]],1)</f>
        <v>24</v>
      </c>
    </row>
    <row r="418" spans="1:23" x14ac:dyDescent="0.35">
      <c r="A418">
        <v>1022583</v>
      </c>
      <c r="B418">
        <v>2</v>
      </c>
      <c r="C418">
        <v>1022584</v>
      </c>
      <c r="D418" t="s">
        <v>1969</v>
      </c>
      <c r="E418">
        <v>30</v>
      </c>
      <c r="F418">
        <v>2</v>
      </c>
      <c r="G418">
        <v>0</v>
      </c>
      <c r="H418">
        <v>0</v>
      </c>
      <c r="I418" t="s">
        <v>24</v>
      </c>
      <c r="J418" t="s">
        <v>597</v>
      </c>
      <c r="K418" t="s">
        <v>1970</v>
      </c>
      <c r="L418" s="3">
        <v>45848</v>
      </c>
      <c r="M418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2.0833333333333332E-2</v>
      </c>
      <c r="N418" s="3">
        <v>45818</v>
      </c>
      <c r="O418" s="5">
        <f>IFERROR((PlanMasine[[#This Row],[Norma]]/PlanMasine[[#This Row],[Q]])*(PlanMasine[[#This Row],[Q]]/SUMIF(C:C,PlanMasine[[#This Row],[RN]],B:B)*PlanMasine[[#This Row],[KPLQ]]),0)</f>
        <v>30</v>
      </c>
      <c r="P418">
        <v>221373</v>
      </c>
      <c r="Q418">
        <f>COUNTIF(PROMJENA!A:A,PlanMasine[[#This Row],[KPL]]&amp;"-"&amp;PlanMasine[[#This Row],[RN]])</f>
        <v>0</v>
      </c>
      <c r="R418">
        <f>IFERROR(INDEX(REDOSLIJED!A:A,MATCH(PlanMasine[[#This Row],[KPL]],REDOSLIJED!B:B,0)),MAX(REDOSLIJED!A:A)+1)</f>
        <v>45</v>
      </c>
      <c r="S418" s="9">
        <f>SUM($M$2:M418)</f>
        <v>16.864652777777792</v>
      </c>
      <c r="T418" s="3">
        <f>PlanMasine[[#This Row],[Datum SAS]]-1</f>
        <v>45817</v>
      </c>
      <c r="U418">
        <f>WEEKDAY(PlanMasine[[#This Row],[ZAVRŠETAK MAŠINSKE]],2)</f>
        <v>1</v>
      </c>
      <c r="V418" s="3">
        <f>IF(WEEKDAY(PlanMasine[[#This Row],[Datum SAS]]-1,2)=7,PlanMasine[[#This Row],[Datum SAS]]-3,PlanMasine[[#This Row],[Datum SAS]]-1)</f>
        <v>45817</v>
      </c>
      <c r="W418">
        <f>WEEKNUM(PlanMasine[[#This Row],[Column2]],1)</f>
        <v>24</v>
      </c>
    </row>
    <row r="419" spans="1:23" x14ac:dyDescent="0.35">
      <c r="A419">
        <v>1024614</v>
      </c>
      <c r="B419">
        <v>1</v>
      </c>
      <c r="C419">
        <v>1024609</v>
      </c>
      <c r="D419" t="s">
        <v>239</v>
      </c>
      <c r="E419">
        <v>10</v>
      </c>
      <c r="F419">
        <v>1</v>
      </c>
      <c r="G419">
        <v>0</v>
      </c>
      <c r="H419">
        <v>0</v>
      </c>
      <c r="I419" t="s">
        <v>24</v>
      </c>
      <c r="J419" t="s">
        <v>597</v>
      </c>
      <c r="K419" t="s">
        <v>1971</v>
      </c>
      <c r="L419" s="3">
        <v>45833</v>
      </c>
      <c r="M419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6.9444444444444441E-3</v>
      </c>
      <c r="N419" s="3">
        <v>45818</v>
      </c>
      <c r="O419" s="5">
        <f>IFERROR((PlanMasine[[#This Row],[Norma]]/PlanMasine[[#This Row],[Q]])*(PlanMasine[[#This Row],[Q]]/SUMIF(C:C,PlanMasine[[#This Row],[RN]],B:B)*PlanMasine[[#This Row],[KPLQ]]),0)</f>
        <v>10</v>
      </c>
      <c r="P419">
        <v>155692</v>
      </c>
      <c r="Q419">
        <f>COUNTIF(PROMJENA!A:A,PlanMasine[[#This Row],[KPL]]&amp;"-"&amp;PlanMasine[[#This Row],[RN]])</f>
        <v>0</v>
      </c>
      <c r="R419">
        <f>IFERROR(INDEX(REDOSLIJED!A:A,MATCH(PlanMasine[[#This Row],[KPL]],REDOSLIJED!B:B,0)),MAX(REDOSLIJED!A:A)+1)</f>
        <v>45</v>
      </c>
      <c r="S419" s="9">
        <f>SUM($M$2:M419)</f>
        <v>16.871597222222235</v>
      </c>
      <c r="T419" s="3">
        <f>PlanMasine[[#This Row],[Datum SAS]]-1</f>
        <v>45817</v>
      </c>
      <c r="U419">
        <f>WEEKDAY(PlanMasine[[#This Row],[ZAVRŠETAK MAŠINSKE]],2)</f>
        <v>1</v>
      </c>
      <c r="V419" s="3">
        <f>IF(WEEKDAY(PlanMasine[[#This Row],[Datum SAS]]-1,2)=7,PlanMasine[[#This Row],[Datum SAS]]-3,PlanMasine[[#This Row],[Datum SAS]]-1)</f>
        <v>45817</v>
      </c>
      <c r="W419">
        <f>WEEKNUM(PlanMasine[[#This Row],[Column2]],1)</f>
        <v>24</v>
      </c>
    </row>
    <row r="420" spans="1:23" x14ac:dyDescent="0.35">
      <c r="A420">
        <v>1026706</v>
      </c>
      <c r="B420">
        <v>1</v>
      </c>
      <c r="C420">
        <v>1026683</v>
      </c>
      <c r="D420" t="s">
        <v>1091</v>
      </c>
      <c r="E420">
        <v>8</v>
      </c>
      <c r="F420">
        <v>1</v>
      </c>
      <c r="G420">
        <v>0</v>
      </c>
      <c r="H420">
        <v>0</v>
      </c>
      <c r="I420" t="s">
        <v>24</v>
      </c>
      <c r="J420" t="s">
        <v>597</v>
      </c>
      <c r="K420" t="s">
        <v>1972</v>
      </c>
      <c r="L420" s="3">
        <v>45841</v>
      </c>
      <c r="M420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5.5555555555555558E-3</v>
      </c>
      <c r="N420" s="3">
        <v>45818</v>
      </c>
      <c r="O420" s="5">
        <f>IFERROR((PlanMasine[[#This Row],[Norma]]/PlanMasine[[#This Row],[Q]])*(PlanMasine[[#This Row],[Q]]/SUMIF(C:C,PlanMasine[[#This Row],[RN]],B:B)*PlanMasine[[#This Row],[KPLQ]]),0)</f>
        <v>8</v>
      </c>
      <c r="P420">
        <v>160433</v>
      </c>
      <c r="Q420">
        <f>COUNTIF(PROMJENA!A:A,PlanMasine[[#This Row],[KPL]]&amp;"-"&amp;PlanMasine[[#This Row],[RN]])</f>
        <v>0</v>
      </c>
      <c r="R420">
        <f>IFERROR(INDEX(REDOSLIJED!A:A,MATCH(PlanMasine[[#This Row],[KPL]],REDOSLIJED!B:B,0)),MAX(REDOSLIJED!A:A)+1)</f>
        <v>45</v>
      </c>
      <c r="S420" s="9">
        <f>SUM($M$2:M420)</f>
        <v>16.877152777777791</v>
      </c>
      <c r="T420" s="3">
        <f>PlanMasine[[#This Row],[Datum SAS]]-1</f>
        <v>45817</v>
      </c>
      <c r="U420">
        <f>WEEKDAY(PlanMasine[[#This Row],[ZAVRŠETAK MAŠINSKE]],2)</f>
        <v>1</v>
      </c>
      <c r="V420" s="3">
        <f>IF(WEEKDAY(PlanMasine[[#This Row],[Datum SAS]]-1,2)=7,PlanMasine[[#This Row],[Datum SAS]]-3,PlanMasine[[#This Row],[Datum SAS]]-1)</f>
        <v>45817</v>
      </c>
      <c r="W420">
        <f>WEEKNUM(PlanMasine[[#This Row],[Column2]],1)</f>
        <v>24</v>
      </c>
    </row>
    <row r="421" spans="1:23" x14ac:dyDescent="0.35">
      <c r="A421">
        <v>1027392</v>
      </c>
      <c r="B421">
        <v>1</v>
      </c>
      <c r="C421">
        <v>1027397</v>
      </c>
      <c r="D421" t="s">
        <v>1973</v>
      </c>
      <c r="E421">
        <v>60</v>
      </c>
      <c r="F421">
        <v>1</v>
      </c>
      <c r="G421">
        <v>0</v>
      </c>
      <c r="H421">
        <v>0</v>
      </c>
      <c r="I421" t="s">
        <v>24</v>
      </c>
      <c r="J421" t="s">
        <v>597</v>
      </c>
      <c r="K421" t="s">
        <v>1974</v>
      </c>
      <c r="L421" s="3">
        <v>45846</v>
      </c>
      <c r="M421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4.1666666666666664E-2</v>
      </c>
      <c r="N421" s="3">
        <v>45818</v>
      </c>
      <c r="O421" s="5">
        <f>IFERROR((PlanMasine[[#This Row],[Norma]]/PlanMasine[[#This Row],[Q]])*(PlanMasine[[#This Row],[Q]]/SUMIF(C:C,PlanMasine[[#This Row],[RN]],B:B)*PlanMasine[[#This Row],[KPLQ]]),0)</f>
        <v>60</v>
      </c>
      <c r="P421">
        <v>226380</v>
      </c>
      <c r="Q421">
        <f>COUNTIF(PROMJENA!A:A,PlanMasine[[#This Row],[KPL]]&amp;"-"&amp;PlanMasine[[#This Row],[RN]])</f>
        <v>0</v>
      </c>
      <c r="R421">
        <f>IFERROR(INDEX(REDOSLIJED!A:A,MATCH(PlanMasine[[#This Row],[KPL]],REDOSLIJED!B:B,0)),MAX(REDOSLIJED!A:A)+1)</f>
        <v>45</v>
      </c>
      <c r="S421" s="9">
        <f>SUM($M$2:M421)</f>
        <v>16.918819444444459</v>
      </c>
      <c r="T421" s="3">
        <f>PlanMasine[[#This Row],[Datum SAS]]-1</f>
        <v>45817</v>
      </c>
      <c r="U421">
        <f>WEEKDAY(PlanMasine[[#This Row],[ZAVRŠETAK MAŠINSKE]],2)</f>
        <v>1</v>
      </c>
      <c r="V421" s="3">
        <f>IF(WEEKDAY(PlanMasine[[#This Row],[Datum SAS]]-1,2)=7,PlanMasine[[#This Row],[Datum SAS]]-3,PlanMasine[[#This Row],[Datum SAS]]-1)</f>
        <v>45817</v>
      </c>
      <c r="W421">
        <f>WEEKNUM(PlanMasine[[#This Row],[Column2]],1)</f>
        <v>24</v>
      </c>
    </row>
    <row r="422" spans="1:23" x14ac:dyDescent="0.35">
      <c r="A422">
        <v>1027392</v>
      </c>
      <c r="B422">
        <v>1</v>
      </c>
      <c r="C422">
        <v>1027402</v>
      </c>
      <c r="D422" t="s">
        <v>1975</v>
      </c>
      <c r="E422">
        <v>40</v>
      </c>
      <c r="F422">
        <v>1</v>
      </c>
      <c r="G422">
        <v>0</v>
      </c>
      <c r="H422">
        <v>0</v>
      </c>
      <c r="I422" t="s">
        <v>24</v>
      </c>
      <c r="J422" t="s">
        <v>597</v>
      </c>
      <c r="K422" t="s">
        <v>1974</v>
      </c>
      <c r="L422" s="3">
        <v>45846</v>
      </c>
      <c r="M422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2.7777777777777776E-2</v>
      </c>
      <c r="N422" s="3">
        <v>45818</v>
      </c>
      <c r="O422" s="5">
        <f>IFERROR((PlanMasine[[#This Row],[Norma]]/PlanMasine[[#This Row],[Q]])*(PlanMasine[[#This Row],[Q]]/SUMIF(C:C,PlanMasine[[#This Row],[RN]],B:B)*PlanMasine[[#This Row],[KPLQ]]),0)</f>
        <v>40</v>
      </c>
      <c r="P422">
        <v>226385</v>
      </c>
      <c r="Q422">
        <f>COUNTIF(PROMJENA!A:A,PlanMasine[[#This Row],[KPL]]&amp;"-"&amp;PlanMasine[[#This Row],[RN]])</f>
        <v>0</v>
      </c>
      <c r="R422">
        <f>IFERROR(INDEX(REDOSLIJED!A:A,MATCH(PlanMasine[[#This Row],[KPL]],REDOSLIJED!B:B,0)),MAX(REDOSLIJED!A:A)+1)</f>
        <v>45</v>
      </c>
      <c r="S422" s="9">
        <f>SUM($M$2:M422)</f>
        <v>16.946597222222238</v>
      </c>
      <c r="T422" s="3">
        <f>PlanMasine[[#This Row],[Datum SAS]]-1</f>
        <v>45817</v>
      </c>
      <c r="U422">
        <f>WEEKDAY(PlanMasine[[#This Row],[ZAVRŠETAK MAŠINSKE]],2)</f>
        <v>1</v>
      </c>
      <c r="V422" s="3">
        <f>IF(WEEKDAY(PlanMasine[[#This Row],[Datum SAS]]-1,2)=7,PlanMasine[[#This Row],[Datum SAS]]-3,PlanMasine[[#This Row],[Datum SAS]]-1)</f>
        <v>45817</v>
      </c>
      <c r="W422">
        <f>WEEKNUM(PlanMasine[[#This Row],[Column2]],1)</f>
        <v>24</v>
      </c>
    </row>
    <row r="423" spans="1:23" x14ac:dyDescent="0.35">
      <c r="A423">
        <v>1020330</v>
      </c>
      <c r="B423">
        <v>1</v>
      </c>
      <c r="C423">
        <v>1020375</v>
      </c>
      <c r="D423" t="s">
        <v>254</v>
      </c>
      <c r="E423">
        <v>30</v>
      </c>
      <c r="F423">
        <v>1</v>
      </c>
      <c r="G423">
        <v>0</v>
      </c>
      <c r="H423">
        <v>0</v>
      </c>
      <c r="I423" t="s">
        <v>24</v>
      </c>
      <c r="J423" t="s">
        <v>597</v>
      </c>
      <c r="K423" t="s">
        <v>1976</v>
      </c>
      <c r="L423" s="3">
        <v>45838</v>
      </c>
      <c r="M423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2.0833333333333332E-2</v>
      </c>
      <c r="N423" s="3">
        <v>45819</v>
      </c>
      <c r="O423" s="5">
        <f>IFERROR((PlanMasine[[#This Row],[Norma]]/PlanMasine[[#This Row],[Q]])*(PlanMasine[[#This Row],[Q]]/SUMIF(C:C,PlanMasine[[#This Row],[RN]],B:B)*PlanMasine[[#This Row],[KPLQ]]),0)</f>
        <v>30</v>
      </c>
      <c r="P423">
        <v>152924</v>
      </c>
      <c r="Q423">
        <f>COUNTIF(PROMJENA!A:A,PlanMasine[[#This Row],[KPL]]&amp;"-"&amp;PlanMasine[[#This Row],[RN]])</f>
        <v>0</v>
      </c>
      <c r="R423">
        <f>IFERROR(INDEX(REDOSLIJED!A:A,MATCH(PlanMasine[[#This Row],[KPL]],REDOSLIJED!B:B,0)),MAX(REDOSLIJED!A:A)+1)</f>
        <v>45</v>
      </c>
      <c r="S423" s="9">
        <f>SUM($M$2:M423)</f>
        <v>16.96743055555557</v>
      </c>
      <c r="T423" s="3">
        <f>PlanMasine[[#This Row],[Datum SAS]]-1</f>
        <v>45818</v>
      </c>
      <c r="U423">
        <f>WEEKDAY(PlanMasine[[#This Row],[ZAVRŠETAK MAŠINSKE]],2)</f>
        <v>2</v>
      </c>
      <c r="V423" s="3">
        <f>IF(WEEKDAY(PlanMasine[[#This Row],[Datum SAS]]-1,2)=7,PlanMasine[[#This Row],[Datum SAS]]-3,PlanMasine[[#This Row],[Datum SAS]]-1)</f>
        <v>45818</v>
      </c>
      <c r="W423">
        <f>WEEKNUM(PlanMasine[[#This Row],[Column2]],1)</f>
        <v>24</v>
      </c>
    </row>
    <row r="424" spans="1:23" x14ac:dyDescent="0.35">
      <c r="A424">
        <v>1020330</v>
      </c>
      <c r="B424">
        <v>1</v>
      </c>
      <c r="C424">
        <v>1020376</v>
      </c>
      <c r="D424" t="s">
        <v>255</v>
      </c>
      <c r="E424">
        <v>30</v>
      </c>
      <c r="F424">
        <v>1</v>
      </c>
      <c r="G424">
        <v>0</v>
      </c>
      <c r="H424">
        <v>0</v>
      </c>
      <c r="I424" t="s">
        <v>24</v>
      </c>
      <c r="J424" t="s">
        <v>597</v>
      </c>
      <c r="K424" t="s">
        <v>1976</v>
      </c>
      <c r="L424" s="3">
        <v>45838</v>
      </c>
      <c r="M424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2.0833333333333332E-2</v>
      </c>
      <c r="N424" s="3">
        <v>45819</v>
      </c>
      <c r="O424" s="5">
        <f>IFERROR((PlanMasine[[#This Row],[Norma]]/PlanMasine[[#This Row],[Q]])*(PlanMasine[[#This Row],[Q]]/SUMIF(C:C,PlanMasine[[#This Row],[RN]],B:B)*PlanMasine[[#This Row],[KPLQ]]),0)</f>
        <v>30</v>
      </c>
      <c r="P424">
        <v>152925</v>
      </c>
      <c r="Q424">
        <f>COUNTIF(PROMJENA!A:A,PlanMasine[[#This Row],[KPL]]&amp;"-"&amp;PlanMasine[[#This Row],[RN]])</f>
        <v>0</v>
      </c>
      <c r="R424">
        <f>IFERROR(INDEX(REDOSLIJED!A:A,MATCH(PlanMasine[[#This Row],[KPL]],REDOSLIJED!B:B,0)),MAX(REDOSLIJED!A:A)+1)</f>
        <v>45</v>
      </c>
      <c r="S424" s="9">
        <f>SUM($M$2:M424)</f>
        <v>16.988263888888902</v>
      </c>
      <c r="T424" s="3">
        <f>PlanMasine[[#This Row],[Datum SAS]]-1</f>
        <v>45818</v>
      </c>
      <c r="U424">
        <f>WEEKDAY(PlanMasine[[#This Row],[ZAVRŠETAK MAŠINSKE]],2)</f>
        <v>2</v>
      </c>
      <c r="V424" s="3">
        <f>IF(WEEKDAY(PlanMasine[[#This Row],[Datum SAS]]-1,2)=7,PlanMasine[[#This Row],[Datum SAS]]-3,PlanMasine[[#This Row],[Datum SAS]]-1)</f>
        <v>45818</v>
      </c>
      <c r="W424">
        <f>WEEKNUM(PlanMasine[[#This Row],[Column2]],1)</f>
        <v>24</v>
      </c>
    </row>
    <row r="425" spans="1:23" x14ac:dyDescent="0.35">
      <c r="A425">
        <v>1020511</v>
      </c>
      <c r="B425">
        <v>1</v>
      </c>
      <c r="C425">
        <v>1020520</v>
      </c>
      <c r="D425" t="s">
        <v>1768</v>
      </c>
      <c r="E425">
        <v>15</v>
      </c>
      <c r="F425">
        <v>1</v>
      </c>
      <c r="G425">
        <v>0</v>
      </c>
      <c r="H425">
        <v>0</v>
      </c>
      <c r="I425" t="s">
        <v>24</v>
      </c>
      <c r="J425" t="s">
        <v>597</v>
      </c>
      <c r="K425" t="s">
        <v>1977</v>
      </c>
      <c r="L425" s="3">
        <v>45849</v>
      </c>
      <c r="M425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1.0416666666666666E-2</v>
      </c>
      <c r="N425" s="3">
        <v>45819</v>
      </c>
      <c r="O425" s="5">
        <f>IFERROR((PlanMasine[[#This Row],[Norma]]/PlanMasine[[#This Row],[Q]])*(PlanMasine[[#This Row],[Q]]/SUMIF(C:C,PlanMasine[[#This Row],[RN]],B:B)*PlanMasine[[#This Row],[KPLQ]]),0)</f>
        <v>15</v>
      </c>
      <c r="P425">
        <v>137863</v>
      </c>
      <c r="Q425">
        <f>COUNTIF(PROMJENA!A:A,PlanMasine[[#This Row],[KPL]]&amp;"-"&amp;PlanMasine[[#This Row],[RN]])</f>
        <v>0</v>
      </c>
      <c r="R425">
        <f>IFERROR(INDEX(REDOSLIJED!A:A,MATCH(PlanMasine[[#This Row],[KPL]],REDOSLIJED!B:B,0)),MAX(REDOSLIJED!A:A)+1)</f>
        <v>45</v>
      </c>
      <c r="S425" s="9">
        <f>SUM($M$2:M425)</f>
        <v>16.99868055555557</v>
      </c>
      <c r="T425" s="3">
        <f>PlanMasine[[#This Row],[Datum SAS]]-1</f>
        <v>45818</v>
      </c>
      <c r="U425">
        <f>WEEKDAY(PlanMasine[[#This Row],[ZAVRŠETAK MAŠINSKE]],2)</f>
        <v>2</v>
      </c>
      <c r="V425" s="3">
        <f>IF(WEEKDAY(PlanMasine[[#This Row],[Datum SAS]]-1,2)=7,PlanMasine[[#This Row],[Datum SAS]]-3,PlanMasine[[#This Row],[Datum SAS]]-1)</f>
        <v>45818</v>
      </c>
      <c r="W425">
        <f>WEEKNUM(PlanMasine[[#This Row],[Column2]],1)</f>
        <v>24</v>
      </c>
    </row>
    <row r="426" spans="1:23" x14ac:dyDescent="0.35">
      <c r="A426">
        <v>1020511</v>
      </c>
      <c r="B426">
        <v>1</v>
      </c>
      <c r="C426">
        <v>1020521</v>
      </c>
      <c r="D426" t="s">
        <v>1454</v>
      </c>
      <c r="E426">
        <v>13</v>
      </c>
      <c r="F426">
        <v>1</v>
      </c>
      <c r="G426">
        <v>0</v>
      </c>
      <c r="H426">
        <v>0</v>
      </c>
      <c r="I426" t="s">
        <v>24</v>
      </c>
      <c r="J426" t="s">
        <v>597</v>
      </c>
      <c r="K426" t="s">
        <v>1977</v>
      </c>
      <c r="L426" s="3">
        <v>45849</v>
      </c>
      <c r="M426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9.0277777777777769E-3</v>
      </c>
      <c r="N426" s="3">
        <v>45819</v>
      </c>
      <c r="O426" s="5">
        <f>IFERROR((PlanMasine[[#This Row],[Norma]]/PlanMasine[[#This Row],[Q]])*(PlanMasine[[#This Row],[Q]]/SUMIF(C:C,PlanMasine[[#This Row],[RN]],B:B)*PlanMasine[[#This Row],[KPLQ]]),0)</f>
        <v>13</v>
      </c>
      <c r="P426">
        <v>137864</v>
      </c>
      <c r="Q426">
        <f>COUNTIF(PROMJENA!A:A,PlanMasine[[#This Row],[KPL]]&amp;"-"&amp;PlanMasine[[#This Row],[RN]])</f>
        <v>0</v>
      </c>
      <c r="R426">
        <f>IFERROR(INDEX(REDOSLIJED!A:A,MATCH(PlanMasine[[#This Row],[KPL]],REDOSLIJED!B:B,0)),MAX(REDOSLIJED!A:A)+1)</f>
        <v>45</v>
      </c>
      <c r="S426" s="9">
        <f>SUM($M$2:M426)</f>
        <v>17.007708333333348</v>
      </c>
      <c r="T426" s="3">
        <f>PlanMasine[[#This Row],[Datum SAS]]-1</f>
        <v>45818</v>
      </c>
      <c r="U426">
        <f>WEEKDAY(PlanMasine[[#This Row],[ZAVRŠETAK MAŠINSKE]],2)</f>
        <v>2</v>
      </c>
      <c r="V426" s="3">
        <f>IF(WEEKDAY(PlanMasine[[#This Row],[Datum SAS]]-1,2)=7,PlanMasine[[#This Row],[Datum SAS]]-3,PlanMasine[[#This Row],[Datum SAS]]-1)</f>
        <v>45818</v>
      </c>
      <c r="W426">
        <f>WEEKNUM(PlanMasine[[#This Row],[Column2]],1)</f>
        <v>24</v>
      </c>
    </row>
    <row r="427" spans="1:23" x14ac:dyDescent="0.35">
      <c r="A427">
        <v>1020511</v>
      </c>
      <c r="B427">
        <v>1</v>
      </c>
      <c r="C427">
        <v>1020522</v>
      </c>
      <c r="D427" t="s">
        <v>1453</v>
      </c>
      <c r="E427">
        <v>15</v>
      </c>
      <c r="F427">
        <v>1</v>
      </c>
      <c r="G427">
        <v>0</v>
      </c>
      <c r="H427">
        <v>0</v>
      </c>
      <c r="I427" t="s">
        <v>24</v>
      </c>
      <c r="J427" t="s">
        <v>597</v>
      </c>
      <c r="K427" t="s">
        <v>1977</v>
      </c>
      <c r="L427" s="3">
        <v>45849</v>
      </c>
      <c r="M427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1.0416666666666666E-2</v>
      </c>
      <c r="N427" s="3">
        <v>45819</v>
      </c>
      <c r="O427" s="5">
        <f>IFERROR((PlanMasine[[#This Row],[Norma]]/PlanMasine[[#This Row],[Q]])*(PlanMasine[[#This Row],[Q]]/SUMIF(C:C,PlanMasine[[#This Row],[RN]],B:B)*PlanMasine[[#This Row],[KPLQ]]),0)</f>
        <v>15</v>
      </c>
      <c r="P427">
        <v>137865</v>
      </c>
      <c r="Q427">
        <f>COUNTIF(PROMJENA!A:A,PlanMasine[[#This Row],[KPL]]&amp;"-"&amp;PlanMasine[[#This Row],[RN]])</f>
        <v>0</v>
      </c>
      <c r="R427">
        <f>IFERROR(INDEX(REDOSLIJED!A:A,MATCH(PlanMasine[[#This Row],[KPL]],REDOSLIJED!B:B,0)),MAX(REDOSLIJED!A:A)+1)</f>
        <v>45</v>
      </c>
      <c r="S427" s="9">
        <f>SUM($M$2:M427)</f>
        <v>17.018125000000015</v>
      </c>
      <c r="T427" s="3">
        <f>PlanMasine[[#This Row],[Datum SAS]]-1</f>
        <v>45818</v>
      </c>
      <c r="U427">
        <f>WEEKDAY(PlanMasine[[#This Row],[ZAVRŠETAK MAŠINSKE]],2)</f>
        <v>2</v>
      </c>
      <c r="V427" s="3">
        <f>IF(WEEKDAY(PlanMasine[[#This Row],[Datum SAS]]-1,2)=7,PlanMasine[[#This Row],[Datum SAS]]-3,PlanMasine[[#This Row],[Datum SAS]]-1)</f>
        <v>45818</v>
      </c>
      <c r="W427">
        <f>WEEKNUM(PlanMasine[[#This Row],[Column2]],1)</f>
        <v>24</v>
      </c>
    </row>
    <row r="428" spans="1:23" x14ac:dyDescent="0.35">
      <c r="A428">
        <v>1020511</v>
      </c>
      <c r="B428">
        <v>1</v>
      </c>
      <c r="C428">
        <v>1020519</v>
      </c>
      <c r="D428" t="s">
        <v>1769</v>
      </c>
      <c r="E428">
        <v>15</v>
      </c>
      <c r="F428">
        <v>1</v>
      </c>
      <c r="G428">
        <v>0</v>
      </c>
      <c r="H428">
        <v>0</v>
      </c>
      <c r="I428" t="s">
        <v>24</v>
      </c>
      <c r="J428" t="s">
        <v>597</v>
      </c>
      <c r="K428" t="s">
        <v>1977</v>
      </c>
      <c r="L428" s="3">
        <v>45849</v>
      </c>
      <c r="M428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1.0416666666666666E-2</v>
      </c>
      <c r="N428" s="3">
        <v>45819</v>
      </c>
      <c r="O428" s="5">
        <f>IFERROR((PlanMasine[[#This Row],[Norma]]/PlanMasine[[#This Row],[Q]])*(PlanMasine[[#This Row],[Q]]/SUMIF(C:C,PlanMasine[[#This Row],[RN]],B:B)*PlanMasine[[#This Row],[KPLQ]]),0)</f>
        <v>15</v>
      </c>
      <c r="P428">
        <v>137862</v>
      </c>
      <c r="Q428">
        <f>COUNTIF(PROMJENA!A:A,PlanMasine[[#This Row],[KPL]]&amp;"-"&amp;PlanMasine[[#This Row],[RN]])</f>
        <v>0</v>
      </c>
      <c r="R428">
        <f>IFERROR(INDEX(REDOSLIJED!A:A,MATCH(PlanMasine[[#This Row],[KPL]],REDOSLIJED!B:B,0)),MAX(REDOSLIJED!A:A)+1)</f>
        <v>45</v>
      </c>
      <c r="S428" s="9">
        <f>SUM($M$2:M428)</f>
        <v>17.028541666666683</v>
      </c>
      <c r="T428" s="3">
        <f>PlanMasine[[#This Row],[Datum SAS]]-1</f>
        <v>45818</v>
      </c>
      <c r="U428">
        <f>WEEKDAY(PlanMasine[[#This Row],[ZAVRŠETAK MAŠINSKE]],2)</f>
        <v>2</v>
      </c>
      <c r="V428" s="3">
        <f>IF(WEEKDAY(PlanMasine[[#This Row],[Datum SAS]]-1,2)=7,PlanMasine[[#This Row],[Datum SAS]]-3,PlanMasine[[#This Row],[Datum SAS]]-1)</f>
        <v>45818</v>
      </c>
      <c r="W428">
        <f>WEEKNUM(PlanMasine[[#This Row],[Column2]],1)</f>
        <v>24</v>
      </c>
    </row>
    <row r="429" spans="1:23" x14ac:dyDescent="0.35">
      <c r="A429">
        <v>1020580</v>
      </c>
      <c r="B429">
        <v>1</v>
      </c>
      <c r="C429">
        <v>1020593</v>
      </c>
      <c r="D429" t="s">
        <v>1776</v>
      </c>
      <c r="E429">
        <v>45</v>
      </c>
      <c r="F429">
        <v>3</v>
      </c>
      <c r="G429">
        <v>0</v>
      </c>
      <c r="H429">
        <v>0</v>
      </c>
      <c r="I429" t="s">
        <v>24</v>
      </c>
      <c r="J429" t="s">
        <v>597</v>
      </c>
      <c r="K429" t="s">
        <v>1978</v>
      </c>
      <c r="L429" s="3">
        <v>45849</v>
      </c>
      <c r="M429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1.0416666666666666E-2</v>
      </c>
      <c r="N429" s="3">
        <v>45819</v>
      </c>
      <c r="O429" s="5">
        <f>IFERROR((PlanMasine[[#This Row],[Norma]]/PlanMasine[[#This Row],[Q]])*(PlanMasine[[#This Row],[Q]]/SUMIF(C:C,PlanMasine[[#This Row],[RN]],B:B)*PlanMasine[[#This Row],[KPLQ]]),0)</f>
        <v>15</v>
      </c>
      <c r="P429">
        <v>137925</v>
      </c>
      <c r="Q429">
        <f>COUNTIF(PROMJENA!A:A,PlanMasine[[#This Row],[KPL]]&amp;"-"&amp;PlanMasine[[#This Row],[RN]])</f>
        <v>0</v>
      </c>
      <c r="R429">
        <f>IFERROR(INDEX(REDOSLIJED!A:A,MATCH(PlanMasine[[#This Row],[KPL]],REDOSLIJED!B:B,0)),MAX(REDOSLIJED!A:A)+1)</f>
        <v>45</v>
      </c>
      <c r="S429" s="9">
        <f>SUM($M$2:M429)</f>
        <v>17.038958333333351</v>
      </c>
      <c r="T429" s="3">
        <f>PlanMasine[[#This Row],[Datum SAS]]-1</f>
        <v>45818</v>
      </c>
      <c r="U429">
        <f>WEEKDAY(PlanMasine[[#This Row],[ZAVRŠETAK MAŠINSKE]],2)</f>
        <v>2</v>
      </c>
      <c r="V429" s="3">
        <f>IF(WEEKDAY(PlanMasine[[#This Row],[Datum SAS]]-1,2)=7,PlanMasine[[#This Row],[Datum SAS]]-3,PlanMasine[[#This Row],[Datum SAS]]-1)</f>
        <v>45818</v>
      </c>
      <c r="W429">
        <f>WEEKNUM(PlanMasine[[#This Row],[Column2]],1)</f>
        <v>24</v>
      </c>
    </row>
    <row r="430" spans="1:23" x14ac:dyDescent="0.35">
      <c r="A430">
        <v>1020580</v>
      </c>
      <c r="B430">
        <v>1</v>
      </c>
      <c r="C430">
        <v>1020591</v>
      </c>
      <c r="D430" t="s">
        <v>947</v>
      </c>
      <c r="E430">
        <v>60</v>
      </c>
      <c r="F430">
        <v>3</v>
      </c>
      <c r="G430">
        <v>0</v>
      </c>
      <c r="H430">
        <v>0</v>
      </c>
      <c r="I430" t="s">
        <v>24</v>
      </c>
      <c r="J430" t="s">
        <v>597</v>
      </c>
      <c r="K430" t="s">
        <v>1978</v>
      </c>
      <c r="L430" s="3">
        <v>45849</v>
      </c>
      <c r="M430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1.3888888888888888E-2</v>
      </c>
      <c r="N430" s="3">
        <v>45819</v>
      </c>
      <c r="O430" s="5">
        <f>IFERROR((PlanMasine[[#This Row],[Norma]]/PlanMasine[[#This Row],[Q]])*(PlanMasine[[#This Row],[Q]]/SUMIF(C:C,PlanMasine[[#This Row],[RN]],B:B)*PlanMasine[[#This Row],[KPLQ]]),0)</f>
        <v>20</v>
      </c>
      <c r="P430">
        <v>137923</v>
      </c>
      <c r="Q430">
        <f>COUNTIF(PROMJENA!A:A,PlanMasine[[#This Row],[KPL]]&amp;"-"&amp;PlanMasine[[#This Row],[RN]])</f>
        <v>0</v>
      </c>
      <c r="R430">
        <f>IFERROR(INDEX(REDOSLIJED!A:A,MATCH(PlanMasine[[#This Row],[KPL]],REDOSLIJED!B:B,0)),MAX(REDOSLIJED!A:A)+1)</f>
        <v>45</v>
      </c>
      <c r="S430" s="9">
        <f>SUM($M$2:M430)</f>
        <v>17.05284722222224</v>
      </c>
      <c r="T430" s="3">
        <f>PlanMasine[[#This Row],[Datum SAS]]-1</f>
        <v>45818</v>
      </c>
      <c r="U430">
        <f>WEEKDAY(PlanMasine[[#This Row],[ZAVRŠETAK MAŠINSKE]],2)</f>
        <v>2</v>
      </c>
      <c r="V430" s="3">
        <f>IF(WEEKDAY(PlanMasine[[#This Row],[Datum SAS]]-1,2)=7,PlanMasine[[#This Row],[Datum SAS]]-3,PlanMasine[[#This Row],[Datum SAS]]-1)</f>
        <v>45818</v>
      </c>
      <c r="W430">
        <f>WEEKNUM(PlanMasine[[#This Row],[Column2]],1)</f>
        <v>24</v>
      </c>
    </row>
    <row r="431" spans="1:23" x14ac:dyDescent="0.35">
      <c r="A431">
        <v>1020580</v>
      </c>
      <c r="B431">
        <v>1</v>
      </c>
      <c r="C431">
        <v>1020592</v>
      </c>
      <c r="D431" t="s">
        <v>1775</v>
      </c>
      <c r="E431">
        <v>39</v>
      </c>
      <c r="F431">
        <v>3</v>
      </c>
      <c r="G431">
        <v>0</v>
      </c>
      <c r="H431">
        <v>0</v>
      </c>
      <c r="I431" t="s">
        <v>24</v>
      </c>
      <c r="J431" t="s">
        <v>597</v>
      </c>
      <c r="K431" t="s">
        <v>1978</v>
      </c>
      <c r="L431" s="3">
        <v>45849</v>
      </c>
      <c r="M431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9.0277777777777787E-3</v>
      </c>
      <c r="N431" s="3">
        <v>45819</v>
      </c>
      <c r="O431" s="5">
        <f>IFERROR((PlanMasine[[#This Row],[Norma]]/PlanMasine[[#This Row],[Q]])*(PlanMasine[[#This Row],[Q]]/SUMIF(C:C,PlanMasine[[#This Row],[RN]],B:B)*PlanMasine[[#This Row],[KPLQ]]),0)</f>
        <v>13</v>
      </c>
      <c r="P431">
        <v>137924</v>
      </c>
      <c r="Q431">
        <f>COUNTIF(PROMJENA!A:A,PlanMasine[[#This Row],[KPL]]&amp;"-"&amp;PlanMasine[[#This Row],[RN]])</f>
        <v>0</v>
      </c>
      <c r="R431">
        <f>IFERROR(INDEX(REDOSLIJED!A:A,MATCH(PlanMasine[[#This Row],[KPL]],REDOSLIJED!B:B,0)),MAX(REDOSLIJED!A:A)+1)</f>
        <v>45</v>
      </c>
      <c r="S431" s="9">
        <f>SUM($M$2:M431)</f>
        <v>17.061875000000018</v>
      </c>
      <c r="T431" s="3">
        <f>PlanMasine[[#This Row],[Datum SAS]]-1</f>
        <v>45818</v>
      </c>
      <c r="U431">
        <f>WEEKDAY(PlanMasine[[#This Row],[ZAVRŠETAK MAŠINSKE]],2)</f>
        <v>2</v>
      </c>
      <c r="V431" s="3">
        <f>IF(WEEKDAY(PlanMasine[[#This Row],[Datum SAS]]-1,2)=7,PlanMasine[[#This Row],[Datum SAS]]-3,PlanMasine[[#This Row],[Datum SAS]]-1)</f>
        <v>45818</v>
      </c>
      <c r="W431">
        <f>WEEKNUM(PlanMasine[[#This Row],[Column2]],1)</f>
        <v>24</v>
      </c>
    </row>
    <row r="432" spans="1:23" x14ac:dyDescent="0.35">
      <c r="A432">
        <v>1020580</v>
      </c>
      <c r="B432">
        <v>1</v>
      </c>
      <c r="C432">
        <v>1020590</v>
      </c>
      <c r="D432" t="s">
        <v>1774</v>
      </c>
      <c r="E432">
        <v>45</v>
      </c>
      <c r="F432">
        <v>3</v>
      </c>
      <c r="G432">
        <v>0</v>
      </c>
      <c r="H432">
        <v>0</v>
      </c>
      <c r="I432" t="s">
        <v>24</v>
      </c>
      <c r="J432" t="s">
        <v>597</v>
      </c>
      <c r="K432" t="s">
        <v>1978</v>
      </c>
      <c r="L432" s="3">
        <v>45849</v>
      </c>
      <c r="M432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1.0416666666666666E-2</v>
      </c>
      <c r="N432" s="3">
        <v>45819</v>
      </c>
      <c r="O432" s="5">
        <f>IFERROR((PlanMasine[[#This Row],[Norma]]/PlanMasine[[#This Row],[Q]])*(PlanMasine[[#This Row],[Q]]/SUMIF(C:C,PlanMasine[[#This Row],[RN]],B:B)*PlanMasine[[#This Row],[KPLQ]]),0)</f>
        <v>15</v>
      </c>
      <c r="P432">
        <v>137922</v>
      </c>
      <c r="Q432">
        <f>COUNTIF(PROMJENA!A:A,PlanMasine[[#This Row],[KPL]]&amp;"-"&amp;PlanMasine[[#This Row],[RN]])</f>
        <v>0</v>
      </c>
      <c r="R432">
        <f>IFERROR(INDEX(REDOSLIJED!A:A,MATCH(PlanMasine[[#This Row],[KPL]],REDOSLIJED!B:B,0)),MAX(REDOSLIJED!A:A)+1)</f>
        <v>45</v>
      </c>
      <c r="S432" s="9">
        <f>SUM($M$2:M432)</f>
        <v>17.072291666666686</v>
      </c>
      <c r="T432" s="3">
        <f>PlanMasine[[#This Row],[Datum SAS]]-1</f>
        <v>45818</v>
      </c>
      <c r="U432">
        <f>WEEKDAY(PlanMasine[[#This Row],[ZAVRŠETAK MAŠINSKE]],2)</f>
        <v>2</v>
      </c>
      <c r="V432" s="3">
        <f>IF(WEEKDAY(PlanMasine[[#This Row],[Datum SAS]]-1,2)=7,PlanMasine[[#This Row],[Datum SAS]]-3,PlanMasine[[#This Row],[Datum SAS]]-1)</f>
        <v>45818</v>
      </c>
      <c r="W432">
        <f>WEEKNUM(PlanMasine[[#This Row],[Column2]],1)</f>
        <v>24</v>
      </c>
    </row>
    <row r="433" spans="1:23" x14ac:dyDescent="0.35">
      <c r="A433">
        <v>1020580</v>
      </c>
      <c r="B433">
        <v>1</v>
      </c>
      <c r="C433">
        <v>1020596</v>
      </c>
      <c r="D433" t="s">
        <v>1773</v>
      </c>
      <c r="E433">
        <v>45</v>
      </c>
      <c r="F433">
        <v>3</v>
      </c>
      <c r="G433">
        <v>0</v>
      </c>
      <c r="H433">
        <v>0</v>
      </c>
      <c r="I433" t="s">
        <v>24</v>
      </c>
      <c r="J433" t="s">
        <v>597</v>
      </c>
      <c r="K433" t="s">
        <v>1978</v>
      </c>
      <c r="L433" s="3">
        <v>45849</v>
      </c>
      <c r="M433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1.0416666666666666E-2</v>
      </c>
      <c r="N433" s="3">
        <v>45819</v>
      </c>
      <c r="O433" s="5">
        <f>IFERROR((PlanMasine[[#This Row],[Norma]]/PlanMasine[[#This Row],[Q]])*(PlanMasine[[#This Row],[Q]]/SUMIF(C:C,PlanMasine[[#This Row],[RN]],B:B)*PlanMasine[[#This Row],[KPLQ]]),0)</f>
        <v>15</v>
      </c>
      <c r="P433">
        <v>137928</v>
      </c>
      <c r="Q433">
        <f>COUNTIF(PROMJENA!A:A,PlanMasine[[#This Row],[KPL]]&amp;"-"&amp;PlanMasine[[#This Row],[RN]])</f>
        <v>0</v>
      </c>
      <c r="R433">
        <f>IFERROR(INDEX(REDOSLIJED!A:A,MATCH(PlanMasine[[#This Row],[KPL]],REDOSLIJED!B:B,0)),MAX(REDOSLIJED!A:A)+1)</f>
        <v>45</v>
      </c>
      <c r="S433" s="9">
        <f>SUM($M$2:M433)</f>
        <v>17.082708333333354</v>
      </c>
      <c r="T433" s="3">
        <f>PlanMasine[[#This Row],[Datum SAS]]-1</f>
        <v>45818</v>
      </c>
      <c r="U433">
        <f>WEEKDAY(PlanMasine[[#This Row],[ZAVRŠETAK MAŠINSKE]],2)</f>
        <v>2</v>
      </c>
      <c r="V433" s="3">
        <f>IF(WEEKDAY(PlanMasine[[#This Row],[Datum SAS]]-1,2)=7,PlanMasine[[#This Row],[Datum SAS]]-3,PlanMasine[[#This Row],[Datum SAS]]-1)</f>
        <v>45818</v>
      </c>
      <c r="W433">
        <f>WEEKNUM(PlanMasine[[#This Row],[Column2]],1)</f>
        <v>24</v>
      </c>
    </row>
    <row r="434" spans="1:23" x14ac:dyDescent="0.35">
      <c r="A434">
        <v>1020581</v>
      </c>
      <c r="B434">
        <v>1</v>
      </c>
      <c r="C434">
        <v>1020593</v>
      </c>
      <c r="D434" t="s">
        <v>1776</v>
      </c>
      <c r="E434">
        <v>45</v>
      </c>
      <c r="F434">
        <v>3</v>
      </c>
      <c r="G434">
        <v>0</v>
      </c>
      <c r="H434">
        <v>0</v>
      </c>
      <c r="I434" t="s">
        <v>24</v>
      </c>
      <c r="J434" t="s">
        <v>597</v>
      </c>
      <c r="K434" t="s">
        <v>1978</v>
      </c>
      <c r="L434" s="3">
        <v>45849</v>
      </c>
      <c r="M434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1.0416666666666666E-2</v>
      </c>
      <c r="N434" s="3">
        <v>45819</v>
      </c>
      <c r="O434" s="5">
        <f>IFERROR((PlanMasine[[#This Row],[Norma]]/PlanMasine[[#This Row],[Q]])*(PlanMasine[[#This Row],[Q]]/SUMIF(C:C,PlanMasine[[#This Row],[RN]],B:B)*PlanMasine[[#This Row],[KPLQ]]),0)</f>
        <v>15</v>
      </c>
      <c r="P434">
        <v>137925</v>
      </c>
      <c r="Q434">
        <f>COUNTIF(PROMJENA!A:A,PlanMasine[[#This Row],[KPL]]&amp;"-"&amp;PlanMasine[[#This Row],[RN]])</f>
        <v>0</v>
      </c>
      <c r="R434">
        <f>IFERROR(INDEX(REDOSLIJED!A:A,MATCH(PlanMasine[[#This Row],[KPL]],REDOSLIJED!B:B,0)),MAX(REDOSLIJED!A:A)+1)</f>
        <v>45</v>
      </c>
      <c r="S434" s="9">
        <f>SUM($M$2:M434)</f>
        <v>17.093125000000022</v>
      </c>
      <c r="T434" s="3">
        <f>PlanMasine[[#This Row],[Datum SAS]]-1</f>
        <v>45818</v>
      </c>
      <c r="U434">
        <f>WEEKDAY(PlanMasine[[#This Row],[ZAVRŠETAK MAŠINSKE]],2)</f>
        <v>2</v>
      </c>
      <c r="V434" s="3">
        <f>IF(WEEKDAY(PlanMasine[[#This Row],[Datum SAS]]-1,2)=7,PlanMasine[[#This Row],[Datum SAS]]-3,PlanMasine[[#This Row],[Datum SAS]]-1)</f>
        <v>45818</v>
      </c>
      <c r="W434">
        <f>WEEKNUM(PlanMasine[[#This Row],[Column2]],1)</f>
        <v>24</v>
      </c>
    </row>
    <row r="435" spans="1:23" x14ac:dyDescent="0.35">
      <c r="A435">
        <v>1020581</v>
      </c>
      <c r="B435">
        <v>1</v>
      </c>
      <c r="C435">
        <v>1020590</v>
      </c>
      <c r="D435" t="s">
        <v>1774</v>
      </c>
      <c r="E435">
        <v>45</v>
      </c>
      <c r="F435">
        <v>3</v>
      </c>
      <c r="G435">
        <v>0</v>
      </c>
      <c r="H435">
        <v>0</v>
      </c>
      <c r="I435" t="s">
        <v>24</v>
      </c>
      <c r="J435" t="s">
        <v>597</v>
      </c>
      <c r="K435" t="s">
        <v>1978</v>
      </c>
      <c r="L435" s="3">
        <v>45849</v>
      </c>
      <c r="M435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1.0416666666666666E-2</v>
      </c>
      <c r="N435" s="3">
        <v>45819</v>
      </c>
      <c r="O435" s="5">
        <f>IFERROR((PlanMasine[[#This Row],[Norma]]/PlanMasine[[#This Row],[Q]])*(PlanMasine[[#This Row],[Q]]/SUMIF(C:C,PlanMasine[[#This Row],[RN]],B:B)*PlanMasine[[#This Row],[KPLQ]]),0)</f>
        <v>15</v>
      </c>
      <c r="P435">
        <v>137922</v>
      </c>
      <c r="Q435">
        <f>COUNTIF(PROMJENA!A:A,PlanMasine[[#This Row],[KPL]]&amp;"-"&amp;PlanMasine[[#This Row],[RN]])</f>
        <v>0</v>
      </c>
      <c r="R435">
        <f>IFERROR(INDEX(REDOSLIJED!A:A,MATCH(PlanMasine[[#This Row],[KPL]],REDOSLIJED!B:B,0)),MAX(REDOSLIJED!A:A)+1)</f>
        <v>45</v>
      </c>
      <c r="S435" s="9">
        <f>SUM($M$2:M435)</f>
        <v>17.10354166666669</v>
      </c>
      <c r="T435" s="3">
        <f>PlanMasine[[#This Row],[Datum SAS]]-1</f>
        <v>45818</v>
      </c>
      <c r="U435">
        <f>WEEKDAY(PlanMasine[[#This Row],[ZAVRŠETAK MAŠINSKE]],2)</f>
        <v>2</v>
      </c>
      <c r="V435" s="3">
        <f>IF(WEEKDAY(PlanMasine[[#This Row],[Datum SAS]]-1,2)=7,PlanMasine[[#This Row],[Datum SAS]]-3,PlanMasine[[#This Row],[Datum SAS]]-1)</f>
        <v>45818</v>
      </c>
      <c r="W435">
        <f>WEEKNUM(PlanMasine[[#This Row],[Column2]],1)</f>
        <v>24</v>
      </c>
    </row>
    <row r="436" spans="1:23" x14ac:dyDescent="0.35">
      <c r="A436">
        <v>1020581</v>
      </c>
      <c r="B436">
        <v>1</v>
      </c>
      <c r="C436">
        <v>1020591</v>
      </c>
      <c r="D436" t="s">
        <v>947</v>
      </c>
      <c r="E436">
        <v>60</v>
      </c>
      <c r="F436">
        <v>3</v>
      </c>
      <c r="G436">
        <v>0</v>
      </c>
      <c r="H436">
        <v>0</v>
      </c>
      <c r="I436" t="s">
        <v>24</v>
      </c>
      <c r="J436" t="s">
        <v>597</v>
      </c>
      <c r="K436" t="s">
        <v>1978</v>
      </c>
      <c r="L436" s="3">
        <v>45849</v>
      </c>
      <c r="M436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1.3888888888888888E-2</v>
      </c>
      <c r="N436" s="3">
        <v>45819</v>
      </c>
      <c r="O436" s="5">
        <f>IFERROR((PlanMasine[[#This Row],[Norma]]/PlanMasine[[#This Row],[Q]])*(PlanMasine[[#This Row],[Q]]/SUMIF(C:C,PlanMasine[[#This Row],[RN]],B:B)*PlanMasine[[#This Row],[KPLQ]]),0)</f>
        <v>20</v>
      </c>
      <c r="P436">
        <v>137923</v>
      </c>
      <c r="Q436">
        <f>COUNTIF(PROMJENA!A:A,PlanMasine[[#This Row],[KPL]]&amp;"-"&amp;PlanMasine[[#This Row],[RN]])</f>
        <v>0</v>
      </c>
      <c r="R436">
        <f>IFERROR(INDEX(REDOSLIJED!A:A,MATCH(PlanMasine[[#This Row],[KPL]],REDOSLIJED!B:B,0)),MAX(REDOSLIJED!A:A)+1)</f>
        <v>45</v>
      </c>
      <c r="S436" s="9">
        <f>SUM($M$2:M436)</f>
        <v>17.117430555555579</v>
      </c>
      <c r="T436" s="3">
        <f>PlanMasine[[#This Row],[Datum SAS]]-1</f>
        <v>45818</v>
      </c>
      <c r="U436">
        <f>WEEKDAY(PlanMasine[[#This Row],[ZAVRŠETAK MAŠINSKE]],2)</f>
        <v>2</v>
      </c>
      <c r="V436" s="3">
        <f>IF(WEEKDAY(PlanMasine[[#This Row],[Datum SAS]]-1,2)=7,PlanMasine[[#This Row],[Datum SAS]]-3,PlanMasine[[#This Row],[Datum SAS]]-1)</f>
        <v>45818</v>
      </c>
      <c r="W436">
        <f>WEEKNUM(PlanMasine[[#This Row],[Column2]],1)</f>
        <v>24</v>
      </c>
    </row>
    <row r="437" spans="1:23" x14ac:dyDescent="0.35">
      <c r="A437">
        <v>1020581</v>
      </c>
      <c r="B437">
        <v>1</v>
      </c>
      <c r="C437">
        <v>1020592</v>
      </c>
      <c r="D437" t="s">
        <v>1775</v>
      </c>
      <c r="E437">
        <v>39</v>
      </c>
      <c r="F437">
        <v>3</v>
      </c>
      <c r="G437">
        <v>0</v>
      </c>
      <c r="H437">
        <v>0</v>
      </c>
      <c r="I437" t="s">
        <v>24</v>
      </c>
      <c r="J437" t="s">
        <v>597</v>
      </c>
      <c r="K437" t="s">
        <v>1978</v>
      </c>
      <c r="L437" s="3">
        <v>45849</v>
      </c>
      <c r="M437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9.0277777777777787E-3</v>
      </c>
      <c r="N437" s="3">
        <v>45819</v>
      </c>
      <c r="O437" s="5">
        <f>IFERROR((PlanMasine[[#This Row],[Norma]]/PlanMasine[[#This Row],[Q]])*(PlanMasine[[#This Row],[Q]]/SUMIF(C:C,PlanMasine[[#This Row],[RN]],B:B)*PlanMasine[[#This Row],[KPLQ]]),0)</f>
        <v>13</v>
      </c>
      <c r="P437">
        <v>137924</v>
      </c>
      <c r="Q437">
        <f>COUNTIF(PROMJENA!A:A,PlanMasine[[#This Row],[KPL]]&amp;"-"&amp;PlanMasine[[#This Row],[RN]])</f>
        <v>0</v>
      </c>
      <c r="R437">
        <f>IFERROR(INDEX(REDOSLIJED!A:A,MATCH(PlanMasine[[#This Row],[KPL]],REDOSLIJED!B:B,0)),MAX(REDOSLIJED!A:A)+1)</f>
        <v>45</v>
      </c>
      <c r="S437" s="9">
        <f>SUM($M$2:M437)</f>
        <v>17.126458333333357</v>
      </c>
      <c r="T437" s="3">
        <f>PlanMasine[[#This Row],[Datum SAS]]-1</f>
        <v>45818</v>
      </c>
      <c r="U437">
        <f>WEEKDAY(PlanMasine[[#This Row],[ZAVRŠETAK MAŠINSKE]],2)</f>
        <v>2</v>
      </c>
      <c r="V437" s="3">
        <f>IF(WEEKDAY(PlanMasine[[#This Row],[Datum SAS]]-1,2)=7,PlanMasine[[#This Row],[Datum SAS]]-3,PlanMasine[[#This Row],[Datum SAS]]-1)</f>
        <v>45818</v>
      </c>
      <c r="W437">
        <f>WEEKNUM(PlanMasine[[#This Row],[Column2]],1)</f>
        <v>24</v>
      </c>
    </row>
    <row r="438" spans="1:23" x14ac:dyDescent="0.35">
      <c r="A438">
        <v>1020581</v>
      </c>
      <c r="B438">
        <v>1</v>
      </c>
      <c r="C438">
        <v>1020596</v>
      </c>
      <c r="D438" t="s">
        <v>1773</v>
      </c>
      <c r="E438">
        <v>45</v>
      </c>
      <c r="F438">
        <v>3</v>
      </c>
      <c r="G438">
        <v>0</v>
      </c>
      <c r="H438">
        <v>0</v>
      </c>
      <c r="I438" t="s">
        <v>24</v>
      </c>
      <c r="J438" t="s">
        <v>597</v>
      </c>
      <c r="K438" t="s">
        <v>1978</v>
      </c>
      <c r="L438" s="3">
        <v>45849</v>
      </c>
      <c r="M438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1.0416666666666666E-2</v>
      </c>
      <c r="N438" s="3">
        <v>45819</v>
      </c>
      <c r="O438" s="5">
        <f>IFERROR((PlanMasine[[#This Row],[Norma]]/PlanMasine[[#This Row],[Q]])*(PlanMasine[[#This Row],[Q]]/SUMIF(C:C,PlanMasine[[#This Row],[RN]],B:B)*PlanMasine[[#This Row],[KPLQ]]),0)</f>
        <v>15</v>
      </c>
      <c r="P438">
        <v>137928</v>
      </c>
      <c r="Q438">
        <f>COUNTIF(PROMJENA!A:A,PlanMasine[[#This Row],[KPL]]&amp;"-"&amp;PlanMasine[[#This Row],[RN]])</f>
        <v>0</v>
      </c>
      <c r="R438">
        <f>IFERROR(INDEX(REDOSLIJED!A:A,MATCH(PlanMasine[[#This Row],[KPL]],REDOSLIJED!B:B,0)),MAX(REDOSLIJED!A:A)+1)</f>
        <v>45</v>
      </c>
      <c r="S438" s="9">
        <f>SUM($M$2:M438)</f>
        <v>17.136875000000025</v>
      </c>
      <c r="T438" s="3">
        <f>PlanMasine[[#This Row],[Datum SAS]]-1</f>
        <v>45818</v>
      </c>
      <c r="U438">
        <f>WEEKDAY(PlanMasine[[#This Row],[ZAVRŠETAK MAŠINSKE]],2)</f>
        <v>2</v>
      </c>
      <c r="V438" s="3">
        <f>IF(WEEKDAY(PlanMasine[[#This Row],[Datum SAS]]-1,2)=7,PlanMasine[[#This Row],[Datum SAS]]-3,PlanMasine[[#This Row],[Datum SAS]]-1)</f>
        <v>45818</v>
      </c>
      <c r="W438">
        <f>WEEKNUM(PlanMasine[[#This Row],[Column2]],1)</f>
        <v>24</v>
      </c>
    </row>
    <row r="439" spans="1:23" x14ac:dyDescent="0.35">
      <c r="A439">
        <v>1020582</v>
      </c>
      <c r="B439">
        <v>1</v>
      </c>
      <c r="C439">
        <v>1020590</v>
      </c>
      <c r="D439" t="s">
        <v>1774</v>
      </c>
      <c r="E439">
        <v>45</v>
      </c>
      <c r="F439">
        <v>3</v>
      </c>
      <c r="G439">
        <v>0</v>
      </c>
      <c r="H439">
        <v>0</v>
      </c>
      <c r="I439" t="s">
        <v>24</v>
      </c>
      <c r="J439" t="s">
        <v>597</v>
      </c>
      <c r="K439" t="s">
        <v>1978</v>
      </c>
      <c r="L439" s="3">
        <v>45849</v>
      </c>
      <c r="M439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1.0416666666666666E-2</v>
      </c>
      <c r="N439" s="3">
        <v>45819</v>
      </c>
      <c r="O439" s="5">
        <f>IFERROR((PlanMasine[[#This Row],[Norma]]/PlanMasine[[#This Row],[Q]])*(PlanMasine[[#This Row],[Q]]/SUMIF(C:C,PlanMasine[[#This Row],[RN]],B:B)*PlanMasine[[#This Row],[KPLQ]]),0)</f>
        <v>15</v>
      </c>
      <c r="P439">
        <v>137922</v>
      </c>
      <c r="Q439">
        <f>COUNTIF(PROMJENA!A:A,PlanMasine[[#This Row],[KPL]]&amp;"-"&amp;PlanMasine[[#This Row],[RN]])</f>
        <v>0</v>
      </c>
      <c r="R439">
        <f>IFERROR(INDEX(REDOSLIJED!A:A,MATCH(PlanMasine[[#This Row],[KPL]],REDOSLIJED!B:B,0)),MAX(REDOSLIJED!A:A)+1)</f>
        <v>45</v>
      </c>
      <c r="S439" s="9">
        <f>SUM($M$2:M439)</f>
        <v>17.147291666666693</v>
      </c>
      <c r="T439" s="3">
        <f>PlanMasine[[#This Row],[Datum SAS]]-1</f>
        <v>45818</v>
      </c>
      <c r="U439">
        <f>WEEKDAY(PlanMasine[[#This Row],[ZAVRŠETAK MAŠINSKE]],2)</f>
        <v>2</v>
      </c>
      <c r="V439" s="3">
        <f>IF(WEEKDAY(PlanMasine[[#This Row],[Datum SAS]]-1,2)=7,PlanMasine[[#This Row],[Datum SAS]]-3,PlanMasine[[#This Row],[Datum SAS]]-1)</f>
        <v>45818</v>
      </c>
      <c r="W439">
        <f>WEEKNUM(PlanMasine[[#This Row],[Column2]],1)</f>
        <v>24</v>
      </c>
    </row>
    <row r="440" spans="1:23" x14ac:dyDescent="0.35">
      <c r="A440">
        <v>1020582</v>
      </c>
      <c r="B440">
        <v>1</v>
      </c>
      <c r="C440">
        <v>1020591</v>
      </c>
      <c r="D440" t="s">
        <v>947</v>
      </c>
      <c r="E440">
        <v>60</v>
      </c>
      <c r="F440">
        <v>3</v>
      </c>
      <c r="G440">
        <v>0</v>
      </c>
      <c r="H440">
        <v>0</v>
      </c>
      <c r="I440" t="s">
        <v>24</v>
      </c>
      <c r="J440" t="s">
        <v>597</v>
      </c>
      <c r="K440" t="s">
        <v>1978</v>
      </c>
      <c r="L440" s="3">
        <v>45849</v>
      </c>
      <c r="M440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1.3888888888888888E-2</v>
      </c>
      <c r="N440" s="3">
        <v>45819</v>
      </c>
      <c r="O440" s="5">
        <f>IFERROR((PlanMasine[[#This Row],[Norma]]/PlanMasine[[#This Row],[Q]])*(PlanMasine[[#This Row],[Q]]/SUMIF(C:C,PlanMasine[[#This Row],[RN]],B:B)*PlanMasine[[#This Row],[KPLQ]]),0)</f>
        <v>20</v>
      </c>
      <c r="P440">
        <v>137923</v>
      </c>
      <c r="Q440">
        <f>COUNTIF(PROMJENA!A:A,PlanMasine[[#This Row],[KPL]]&amp;"-"&amp;PlanMasine[[#This Row],[RN]])</f>
        <v>0</v>
      </c>
      <c r="R440">
        <f>IFERROR(INDEX(REDOSLIJED!A:A,MATCH(PlanMasine[[#This Row],[KPL]],REDOSLIJED!B:B,0)),MAX(REDOSLIJED!A:A)+1)</f>
        <v>45</v>
      </c>
      <c r="S440" s="9">
        <f>SUM($M$2:M440)</f>
        <v>17.161180555555582</v>
      </c>
      <c r="T440" s="3">
        <f>PlanMasine[[#This Row],[Datum SAS]]-1</f>
        <v>45818</v>
      </c>
      <c r="U440">
        <f>WEEKDAY(PlanMasine[[#This Row],[ZAVRŠETAK MAŠINSKE]],2)</f>
        <v>2</v>
      </c>
      <c r="V440" s="3">
        <f>IF(WEEKDAY(PlanMasine[[#This Row],[Datum SAS]]-1,2)=7,PlanMasine[[#This Row],[Datum SAS]]-3,PlanMasine[[#This Row],[Datum SAS]]-1)</f>
        <v>45818</v>
      </c>
      <c r="W440">
        <f>WEEKNUM(PlanMasine[[#This Row],[Column2]],1)</f>
        <v>24</v>
      </c>
    </row>
    <row r="441" spans="1:23" x14ac:dyDescent="0.35">
      <c r="A441">
        <v>1020582</v>
      </c>
      <c r="B441">
        <v>1</v>
      </c>
      <c r="C441">
        <v>1020592</v>
      </c>
      <c r="D441" t="s">
        <v>1775</v>
      </c>
      <c r="E441">
        <v>39</v>
      </c>
      <c r="F441">
        <v>3</v>
      </c>
      <c r="G441">
        <v>0</v>
      </c>
      <c r="H441">
        <v>0</v>
      </c>
      <c r="I441" t="s">
        <v>24</v>
      </c>
      <c r="J441" t="s">
        <v>597</v>
      </c>
      <c r="K441" t="s">
        <v>1978</v>
      </c>
      <c r="L441" s="3">
        <v>45849</v>
      </c>
      <c r="M441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9.0277777777777787E-3</v>
      </c>
      <c r="N441" s="3">
        <v>45819</v>
      </c>
      <c r="O441" s="5">
        <f>IFERROR((PlanMasine[[#This Row],[Norma]]/PlanMasine[[#This Row],[Q]])*(PlanMasine[[#This Row],[Q]]/SUMIF(C:C,PlanMasine[[#This Row],[RN]],B:B)*PlanMasine[[#This Row],[KPLQ]]),0)</f>
        <v>13</v>
      </c>
      <c r="P441">
        <v>137924</v>
      </c>
      <c r="Q441">
        <f>COUNTIF(PROMJENA!A:A,PlanMasine[[#This Row],[KPL]]&amp;"-"&amp;PlanMasine[[#This Row],[RN]])</f>
        <v>0</v>
      </c>
      <c r="R441">
        <f>IFERROR(INDEX(REDOSLIJED!A:A,MATCH(PlanMasine[[#This Row],[KPL]],REDOSLIJED!B:B,0)),MAX(REDOSLIJED!A:A)+1)</f>
        <v>45</v>
      </c>
      <c r="S441" s="9">
        <f>SUM($M$2:M441)</f>
        <v>17.17020833333336</v>
      </c>
      <c r="T441" s="3">
        <f>PlanMasine[[#This Row],[Datum SAS]]-1</f>
        <v>45818</v>
      </c>
      <c r="U441">
        <f>WEEKDAY(PlanMasine[[#This Row],[ZAVRŠETAK MAŠINSKE]],2)</f>
        <v>2</v>
      </c>
      <c r="V441" s="3">
        <f>IF(WEEKDAY(PlanMasine[[#This Row],[Datum SAS]]-1,2)=7,PlanMasine[[#This Row],[Datum SAS]]-3,PlanMasine[[#This Row],[Datum SAS]]-1)</f>
        <v>45818</v>
      </c>
      <c r="W441">
        <f>WEEKNUM(PlanMasine[[#This Row],[Column2]],1)</f>
        <v>24</v>
      </c>
    </row>
    <row r="442" spans="1:23" x14ac:dyDescent="0.35">
      <c r="A442">
        <v>1020582</v>
      </c>
      <c r="B442">
        <v>1</v>
      </c>
      <c r="C442">
        <v>1020593</v>
      </c>
      <c r="D442" t="s">
        <v>1776</v>
      </c>
      <c r="E442">
        <v>45</v>
      </c>
      <c r="F442">
        <v>3</v>
      </c>
      <c r="G442">
        <v>0</v>
      </c>
      <c r="H442">
        <v>0</v>
      </c>
      <c r="I442" t="s">
        <v>24</v>
      </c>
      <c r="J442" t="s">
        <v>597</v>
      </c>
      <c r="K442" t="s">
        <v>1978</v>
      </c>
      <c r="L442" s="3">
        <v>45849</v>
      </c>
      <c r="M442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1.0416666666666666E-2</v>
      </c>
      <c r="N442" s="3">
        <v>45819</v>
      </c>
      <c r="O442" s="5">
        <f>IFERROR((PlanMasine[[#This Row],[Norma]]/PlanMasine[[#This Row],[Q]])*(PlanMasine[[#This Row],[Q]]/SUMIF(C:C,PlanMasine[[#This Row],[RN]],B:B)*PlanMasine[[#This Row],[KPLQ]]),0)</f>
        <v>15</v>
      </c>
      <c r="P442">
        <v>137925</v>
      </c>
      <c r="Q442">
        <f>COUNTIF(PROMJENA!A:A,PlanMasine[[#This Row],[KPL]]&amp;"-"&amp;PlanMasine[[#This Row],[RN]])</f>
        <v>0</v>
      </c>
      <c r="R442">
        <f>IFERROR(INDEX(REDOSLIJED!A:A,MATCH(PlanMasine[[#This Row],[KPL]],REDOSLIJED!B:B,0)),MAX(REDOSLIJED!A:A)+1)</f>
        <v>45</v>
      </c>
      <c r="S442" s="9">
        <f>SUM($M$2:M442)</f>
        <v>17.180625000000028</v>
      </c>
      <c r="T442" s="3">
        <f>PlanMasine[[#This Row],[Datum SAS]]-1</f>
        <v>45818</v>
      </c>
      <c r="U442">
        <f>WEEKDAY(PlanMasine[[#This Row],[ZAVRŠETAK MAŠINSKE]],2)</f>
        <v>2</v>
      </c>
      <c r="V442" s="3">
        <f>IF(WEEKDAY(PlanMasine[[#This Row],[Datum SAS]]-1,2)=7,PlanMasine[[#This Row],[Datum SAS]]-3,PlanMasine[[#This Row],[Datum SAS]]-1)</f>
        <v>45818</v>
      </c>
      <c r="W442">
        <f>WEEKNUM(PlanMasine[[#This Row],[Column2]],1)</f>
        <v>24</v>
      </c>
    </row>
    <row r="443" spans="1:23" x14ac:dyDescent="0.35">
      <c r="A443">
        <v>1020582</v>
      </c>
      <c r="B443">
        <v>1</v>
      </c>
      <c r="C443">
        <v>1020596</v>
      </c>
      <c r="D443" t="s">
        <v>1773</v>
      </c>
      <c r="E443">
        <v>45</v>
      </c>
      <c r="F443">
        <v>3</v>
      </c>
      <c r="G443">
        <v>0</v>
      </c>
      <c r="H443">
        <v>0</v>
      </c>
      <c r="I443" t="s">
        <v>24</v>
      </c>
      <c r="J443" t="s">
        <v>597</v>
      </c>
      <c r="K443" t="s">
        <v>1978</v>
      </c>
      <c r="L443" s="3">
        <v>45849</v>
      </c>
      <c r="M443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1.0416666666666666E-2</v>
      </c>
      <c r="N443" s="3">
        <v>45819</v>
      </c>
      <c r="O443" s="5">
        <f>IFERROR((PlanMasine[[#This Row],[Norma]]/PlanMasine[[#This Row],[Q]])*(PlanMasine[[#This Row],[Q]]/SUMIF(C:C,PlanMasine[[#This Row],[RN]],B:B)*PlanMasine[[#This Row],[KPLQ]]),0)</f>
        <v>15</v>
      </c>
      <c r="P443">
        <v>137928</v>
      </c>
      <c r="Q443">
        <f>COUNTIF(PROMJENA!A:A,PlanMasine[[#This Row],[KPL]]&amp;"-"&amp;PlanMasine[[#This Row],[RN]])</f>
        <v>0</v>
      </c>
      <c r="R443">
        <f>IFERROR(INDEX(REDOSLIJED!A:A,MATCH(PlanMasine[[#This Row],[KPL]],REDOSLIJED!B:B,0)),MAX(REDOSLIJED!A:A)+1)</f>
        <v>45</v>
      </c>
      <c r="S443" s="9">
        <f>SUM($M$2:M443)</f>
        <v>17.191041666666695</v>
      </c>
      <c r="T443" s="3">
        <f>PlanMasine[[#This Row],[Datum SAS]]-1</f>
        <v>45818</v>
      </c>
      <c r="U443">
        <f>WEEKDAY(PlanMasine[[#This Row],[ZAVRŠETAK MAŠINSKE]],2)</f>
        <v>2</v>
      </c>
      <c r="V443" s="3">
        <f>IF(WEEKDAY(PlanMasine[[#This Row],[Datum SAS]]-1,2)=7,PlanMasine[[#This Row],[Datum SAS]]-3,PlanMasine[[#This Row],[Datum SAS]]-1)</f>
        <v>45818</v>
      </c>
      <c r="W443">
        <f>WEEKNUM(PlanMasine[[#This Row],[Column2]],1)</f>
        <v>24</v>
      </c>
    </row>
    <row r="444" spans="1:23" x14ac:dyDescent="0.35">
      <c r="A444">
        <v>1024642</v>
      </c>
      <c r="B444">
        <v>1</v>
      </c>
      <c r="C444">
        <v>1024637</v>
      </c>
      <c r="D444" t="s">
        <v>239</v>
      </c>
      <c r="E444">
        <v>10</v>
      </c>
      <c r="F444">
        <v>1</v>
      </c>
      <c r="G444">
        <v>0</v>
      </c>
      <c r="H444">
        <v>0</v>
      </c>
      <c r="I444" t="s">
        <v>24</v>
      </c>
      <c r="J444" t="s">
        <v>597</v>
      </c>
      <c r="K444" t="s">
        <v>1979</v>
      </c>
      <c r="L444" s="3">
        <v>45833</v>
      </c>
      <c r="M444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6.9444444444444441E-3</v>
      </c>
      <c r="N444" s="3">
        <v>45819</v>
      </c>
      <c r="O444" s="5">
        <f>IFERROR((PlanMasine[[#This Row],[Norma]]/PlanMasine[[#This Row],[Q]])*(PlanMasine[[#This Row],[Q]]/SUMIF(C:C,PlanMasine[[#This Row],[RN]],B:B)*PlanMasine[[#This Row],[KPLQ]]),0)</f>
        <v>10</v>
      </c>
      <c r="P444">
        <v>155692</v>
      </c>
      <c r="Q444">
        <f>COUNTIF(PROMJENA!A:A,PlanMasine[[#This Row],[KPL]]&amp;"-"&amp;PlanMasine[[#This Row],[RN]])</f>
        <v>0</v>
      </c>
      <c r="R444">
        <f>IFERROR(INDEX(REDOSLIJED!A:A,MATCH(PlanMasine[[#This Row],[KPL]],REDOSLIJED!B:B,0)),MAX(REDOSLIJED!A:A)+1)</f>
        <v>45</v>
      </c>
      <c r="S444" s="9">
        <f>SUM($M$2:M444)</f>
        <v>17.197986111111138</v>
      </c>
      <c r="T444" s="3">
        <f>PlanMasine[[#This Row],[Datum SAS]]-1</f>
        <v>45818</v>
      </c>
      <c r="U444">
        <f>WEEKDAY(PlanMasine[[#This Row],[ZAVRŠETAK MAŠINSKE]],2)</f>
        <v>2</v>
      </c>
      <c r="V444" s="3">
        <f>IF(WEEKDAY(PlanMasine[[#This Row],[Datum SAS]]-1,2)=7,PlanMasine[[#This Row],[Datum SAS]]-3,PlanMasine[[#This Row],[Datum SAS]]-1)</f>
        <v>45818</v>
      </c>
      <c r="W444">
        <f>WEEKNUM(PlanMasine[[#This Row],[Column2]],1)</f>
        <v>24</v>
      </c>
    </row>
    <row r="445" spans="1:23" x14ac:dyDescent="0.35">
      <c r="A445">
        <v>1024642</v>
      </c>
      <c r="B445">
        <v>1</v>
      </c>
      <c r="C445">
        <v>1024623</v>
      </c>
      <c r="D445" t="s">
        <v>243</v>
      </c>
      <c r="E445">
        <v>10</v>
      </c>
      <c r="F445">
        <v>1</v>
      </c>
      <c r="G445">
        <v>0</v>
      </c>
      <c r="H445">
        <v>0</v>
      </c>
      <c r="I445" t="s">
        <v>24</v>
      </c>
      <c r="J445" t="s">
        <v>597</v>
      </c>
      <c r="K445" t="s">
        <v>1979</v>
      </c>
      <c r="L445" s="3">
        <v>45833</v>
      </c>
      <c r="M445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6.9444444444444441E-3</v>
      </c>
      <c r="N445" s="3">
        <v>45819</v>
      </c>
      <c r="O445" s="5">
        <f>IFERROR((PlanMasine[[#This Row],[Norma]]/PlanMasine[[#This Row],[Q]])*(PlanMasine[[#This Row],[Q]]/SUMIF(C:C,PlanMasine[[#This Row],[RN]],B:B)*PlanMasine[[#This Row],[KPLQ]]),0)</f>
        <v>10</v>
      </c>
      <c r="P445">
        <v>155678</v>
      </c>
      <c r="Q445">
        <f>COUNTIF(PROMJENA!A:A,PlanMasine[[#This Row],[KPL]]&amp;"-"&amp;PlanMasine[[#This Row],[RN]])</f>
        <v>0</v>
      </c>
      <c r="R445">
        <f>IFERROR(INDEX(REDOSLIJED!A:A,MATCH(PlanMasine[[#This Row],[KPL]],REDOSLIJED!B:B,0)),MAX(REDOSLIJED!A:A)+1)</f>
        <v>45</v>
      </c>
      <c r="S445" s="9">
        <f>SUM($M$2:M445)</f>
        <v>17.204930555555581</v>
      </c>
      <c r="T445" s="3">
        <f>PlanMasine[[#This Row],[Datum SAS]]-1</f>
        <v>45818</v>
      </c>
      <c r="U445">
        <f>WEEKDAY(PlanMasine[[#This Row],[ZAVRŠETAK MAŠINSKE]],2)</f>
        <v>2</v>
      </c>
      <c r="V445" s="3">
        <f>IF(WEEKDAY(PlanMasine[[#This Row],[Datum SAS]]-1,2)=7,PlanMasine[[#This Row],[Datum SAS]]-3,PlanMasine[[#This Row],[Datum SAS]]-1)</f>
        <v>45818</v>
      </c>
      <c r="W445">
        <f>WEEKNUM(PlanMasine[[#This Row],[Column2]],1)</f>
        <v>24</v>
      </c>
    </row>
    <row r="446" spans="1:23" x14ac:dyDescent="0.35">
      <c r="A446">
        <v>1027062</v>
      </c>
      <c r="B446">
        <v>1</v>
      </c>
      <c r="C446">
        <v>1027068</v>
      </c>
      <c r="D446" t="s">
        <v>1980</v>
      </c>
      <c r="E446">
        <v>90</v>
      </c>
      <c r="F446">
        <v>3</v>
      </c>
      <c r="G446">
        <v>0</v>
      </c>
      <c r="H446">
        <v>0</v>
      </c>
      <c r="I446" t="s">
        <v>24</v>
      </c>
      <c r="J446" t="s">
        <v>597</v>
      </c>
      <c r="K446" t="s">
        <v>1981</v>
      </c>
      <c r="L446" s="3">
        <v>45849</v>
      </c>
      <c r="M446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2.0833333333333332E-2</v>
      </c>
      <c r="N446" s="3">
        <v>45819</v>
      </c>
      <c r="O446" s="5">
        <f>IFERROR((PlanMasine[[#This Row],[Norma]]/PlanMasine[[#This Row],[Q]])*(PlanMasine[[#This Row],[Q]]/SUMIF(C:C,PlanMasine[[#This Row],[RN]],B:B)*PlanMasine[[#This Row],[KPLQ]]),0)</f>
        <v>30</v>
      </c>
      <c r="P446">
        <v>150158</v>
      </c>
      <c r="Q446">
        <f>COUNTIF(PROMJENA!A:A,PlanMasine[[#This Row],[KPL]]&amp;"-"&amp;PlanMasine[[#This Row],[RN]])</f>
        <v>0</v>
      </c>
      <c r="R446">
        <f>IFERROR(INDEX(REDOSLIJED!A:A,MATCH(PlanMasine[[#This Row],[KPL]],REDOSLIJED!B:B,0)),MAX(REDOSLIJED!A:A)+1)</f>
        <v>45</v>
      </c>
      <c r="S446" s="9">
        <f>SUM($M$2:M446)</f>
        <v>17.225763888888913</v>
      </c>
      <c r="T446" s="3">
        <f>PlanMasine[[#This Row],[Datum SAS]]-1</f>
        <v>45818</v>
      </c>
      <c r="U446">
        <f>WEEKDAY(PlanMasine[[#This Row],[ZAVRŠETAK MAŠINSKE]],2)</f>
        <v>2</v>
      </c>
      <c r="V446" s="3">
        <f>IF(WEEKDAY(PlanMasine[[#This Row],[Datum SAS]]-1,2)=7,PlanMasine[[#This Row],[Datum SAS]]-3,PlanMasine[[#This Row],[Datum SAS]]-1)</f>
        <v>45818</v>
      </c>
      <c r="W446">
        <f>WEEKNUM(PlanMasine[[#This Row],[Column2]],1)</f>
        <v>24</v>
      </c>
    </row>
    <row r="447" spans="1:23" x14ac:dyDescent="0.35">
      <c r="A447">
        <v>1027062</v>
      </c>
      <c r="B447">
        <v>1</v>
      </c>
      <c r="C447">
        <v>1027069</v>
      </c>
      <c r="D447" t="s">
        <v>1982</v>
      </c>
      <c r="E447">
        <v>90</v>
      </c>
      <c r="F447">
        <v>3</v>
      </c>
      <c r="G447">
        <v>0</v>
      </c>
      <c r="H447">
        <v>0</v>
      </c>
      <c r="I447" t="s">
        <v>24</v>
      </c>
      <c r="J447" t="s">
        <v>597</v>
      </c>
      <c r="K447" t="s">
        <v>1981</v>
      </c>
      <c r="L447" s="3">
        <v>45849</v>
      </c>
      <c r="M447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2.0833333333333332E-2</v>
      </c>
      <c r="N447" s="3">
        <v>45819</v>
      </c>
      <c r="O447" s="5">
        <f>IFERROR((PlanMasine[[#This Row],[Norma]]/PlanMasine[[#This Row],[Q]])*(PlanMasine[[#This Row],[Q]]/SUMIF(C:C,PlanMasine[[#This Row],[RN]],B:B)*PlanMasine[[#This Row],[KPLQ]]),0)</f>
        <v>30</v>
      </c>
      <c r="P447">
        <v>150159</v>
      </c>
      <c r="Q447">
        <f>COUNTIF(PROMJENA!A:A,PlanMasine[[#This Row],[KPL]]&amp;"-"&amp;PlanMasine[[#This Row],[RN]])</f>
        <v>0</v>
      </c>
      <c r="R447">
        <f>IFERROR(INDEX(REDOSLIJED!A:A,MATCH(PlanMasine[[#This Row],[KPL]],REDOSLIJED!B:B,0)),MAX(REDOSLIJED!A:A)+1)</f>
        <v>45</v>
      </c>
      <c r="S447" s="9">
        <f>SUM($M$2:M447)</f>
        <v>17.246597222222245</v>
      </c>
      <c r="T447" s="3">
        <f>PlanMasine[[#This Row],[Datum SAS]]-1</f>
        <v>45818</v>
      </c>
      <c r="U447">
        <f>WEEKDAY(PlanMasine[[#This Row],[ZAVRŠETAK MAŠINSKE]],2)</f>
        <v>2</v>
      </c>
      <c r="V447" s="3">
        <f>IF(WEEKDAY(PlanMasine[[#This Row],[Datum SAS]]-1,2)=7,PlanMasine[[#This Row],[Datum SAS]]-3,PlanMasine[[#This Row],[Datum SAS]]-1)</f>
        <v>45818</v>
      </c>
      <c r="W447">
        <f>WEEKNUM(PlanMasine[[#This Row],[Column2]],1)</f>
        <v>24</v>
      </c>
    </row>
    <row r="448" spans="1:23" x14ac:dyDescent="0.35">
      <c r="A448">
        <v>1027063</v>
      </c>
      <c r="B448">
        <v>1</v>
      </c>
      <c r="C448">
        <v>1027068</v>
      </c>
      <c r="D448" t="s">
        <v>1980</v>
      </c>
      <c r="E448">
        <v>90</v>
      </c>
      <c r="F448">
        <v>3</v>
      </c>
      <c r="G448">
        <v>0</v>
      </c>
      <c r="H448">
        <v>0</v>
      </c>
      <c r="I448" t="s">
        <v>24</v>
      </c>
      <c r="J448" t="s">
        <v>597</v>
      </c>
      <c r="K448" t="s">
        <v>1981</v>
      </c>
      <c r="L448" s="3">
        <v>45849</v>
      </c>
      <c r="M448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2.0833333333333332E-2</v>
      </c>
      <c r="N448" s="3">
        <v>45819</v>
      </c>
      <c r="O448" s="5">
        <f>IFERROR((PlanMasine[[#This Row],[Norma]]/PlanMasine[[#This Row],[Q]])*(PlanMasine[[#This Row],[Q]]/SUMIF(C:C,PlanMasine[[#This Row],[RN]],B:B)*PlanMasine[[#This Row],[KPLQ]]),0)</f>
        <v>30</v>
      </c>
      <c r="P448">
        <v>150158</v>
      </c>
      <c r="Q448">
        <f>COUNTIF(PROMJENA!A:A,PlanMasine[[#This Row],[KPL]]&amp;"-"&amp;PlanMasine[[#This Row],[RN]])</f>
        <v>0</v>
      </c>
      <c r="R448">
        <f>IFERROR(INDEX(REDOSLIJED!A:A,MATCH(PlanMasine[[#This Row],[KPL]],REDOSLIJED!B:B,0)),MAX(REDOSLIJED!A:A)+1)</f>
        <v>45</v>
      </c>
      <c r="S448" s="9">
        <f>SUM($M$2:M448)</f>
        <v>17.267430555555578</v>
      </c>
      <c r="T448" s="3">
        <f>PlanMasine[[#This Row],[Datum SAS]]-1</f>
        <v>45818</v>
      </c>
      <c r="U448">
        <f>WEEKDAY(PlanMasine[[#This Row],[ZAVRŠETAK MAŠINSKE]],2)</f>
        <v>2</v>
      </c>
      <c r="V448" s="3">
        <f>IF(WEEKDAY(PlanMasine[[#This Row],[Datum SAS]]-1,2)=7,PlanMasine[[#This Row],[Datum SAS]]-3,PlanMasine[[#This Row],[Datum SAS]]-1)</f>
        <v>45818</v>
      </c>
      <c r="W448">
        <f>WEEKNUM(PlanMasine[[#This Row],[Column2]],1)</f>
        <v>24</v>
      </c>
    </row>
    <row r="449" spans="1:23" x14ac:dyDescent="0.35">
      <c r="A449">
        <v>1027063</v>
      </c>
      <c r="B449">
        <v>1</v>
      </c>
      <c r="C449">
        <v>1027069</v>
      </c>
      <c r="D449" t="s">
        <v>1982</v>
      </c>
      <c r="E449">
        <v>90</v>
      </c>
      <c r="F449">
        <v>3</v>
      </c>
      <c r="G449">
        <v>0</v>
      </c>
      <c r="H449">
        <v>0</v>
      </c>
      <c r="I449" t="s">
        <v>24</v>
      </c>
      <c r="J449" t="s">
        <v>597</v>
      </c>
      <c r="K449" t="s">
        <v>1981</v>
      </c>
      <c r="L449" s="3">
        <v>45849</v>
      </c>
      <c r="M449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2.0833333333333332E-2</v>
      </c>
      <c r="N449" s="3">
        <v>45819</v>
      </c>
      <c r="O449" s="5">
        <f>IFERROR((PlanMasine[[#This Row],[Norma]]/PlanMasine[[#This Row],[Q]])*(PlanMasine[[#This Row],[Q]]/SUMIF(C:C,PlanMasine[[#This Row],[RN]],B:B)*PlanMasine[[#This Row],[KPLQ]]),0)</f>
        <v>30</v>
      </c>
      <c r="P449">
        <v>150159</v>
      </c>
      <c r="Q449">
        <f>COUNTIF(PROMJENA!A:A,PlanMasine[[#This Row],[KPL]]&amp;"-"&amp;PlanMasine[[#This Row],[RN]])</f>
        <v>0</v>
      </c>
      <c r="R449">
        <f>IFERROR(INDEX(REDOSLIJED!A:A,MATCH(PlanMasine[[#This Row],[KPL]],REDOSLIJED!B:B,0)),MAX(REDOSLIJED!A:A)+1)</f>
        <v>45</v>
      </c>
      <c r="S449" s="9">
        <f>SUM($M$2:M449)</f>
        <v>17.28826388888891</v>
      </c>
      <c r="T449" s="3">
        <f>PlanMasine[[#This Row],[Datum SAS]]-1</f>
        <v>45818</v>
      </c>
      <c r="U449">
        <f>WEEKDAY(PlanMasine[[#This Row],[ZAVRŠETAK MAŠINSKE]],2)</f>
        <v>2</v>
      </c>
      <c r="V449" s="3">
        <f>IF(WEEKDAY(PlanMasine[[#This Row],[Datum SAS]]-1,2)=7,PlanMasine[[#This Row],[Datum SAS]]-3,PlanMasine[[#This Row],[Datum SAS]]-1)</f>
        <v>45818</v>
      </c>
      <c r="W449">
        <f>WEEKNUM(PlanMasine[[#This Row],[Column2]],1)</f>
        <v>24</v>
      </c>
    </row>
    <row r="450" spans="1:23" x14ac:dyDescent="0.35">
      <c r="A450">
        <v>1027064</v>
      </c>
      <c r="B450">
        <v>1</v>
      </c>
      <c r="C450">
        <v>1027069</v>
      </c>
      <c r="D450" t="s">
        <v>1982</v>
      </c>
      <c r="E450">
        <v>90</v>
      </c>
      <c r="F450">
        <v>3</v>
      </c>
      <c r="G450">
        <v>0</v>
      </c>
      <c r="H450">
        <v>0</v>
      </c>
      <c r="I450" t="s">
        <v>24</v>
      </c>
      <c r="J450" t="s">
        <v>597</v>
      </c>
      <c r="K450" t="s">
        <v>1981</v>
      </c>
      <c r="L450" s="3">
        <v>45849</v>
      </c>
      <c r="M450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2.0833333333333332E-2</v>
      </c>
      <c r="N450" s="3">
        <v>45819</v>
      </c>
      <c r="O450" s="5">
        <f>IFERROR((PlanMasine[[#This Row],[Norma]]/PlanMasine[[#This Row],[Q]])*(PlanMasine[[#This Row],[Q]]/SUMIF(C:C,PlanMasine[[#This Row],[RN]],B:B)*PlanMasine[[#This Row],[KPLQ]]),0)</f>
        <v>30</v>
      </c>
      <c r="P450">
        <v>150159</v>
      </c>
      <c r="Q450">
        <f>COUNTIF(PROMJENA!A:A,PlanMasine[[#This Row],[KPL]]&amp;"-"&amp;PlanMasine[[#This Row],[RN]])</f>
        <v>0</v>
      </c>
      <c r="R450">
        <f>IFERROR(INDEX(REDOSLIJED!A:A,MATCH(PlanMasine[[#This Row],[KPL]],REDOSLIJED!B:B,0)),MAX(REDOSLIJED!A:A)+1)</f>
        <v>45</v>
      </c>
      <c r="S450" s="9">
        <f>SUM($M$2:M450)</f>
        <v>17.309097222222242</v>
      </c>
      <c r="T450" s="3">
        <f>PlanMasine[[#This Row],[Datum SAS]]-1</f>
        <v>45818</v>
      </c>
      <c r="U450">
        <f>WEEKDAY(PlanMasine[[#This Row],[ZAVRŠETAK MAŠINSKE]],2)</f>
        <v>2</v>
      </c>
      <c r="V450" s="3">
        <f>IF(WEEKDAY(PlanMasine[[#This Row],[Datum SAS]]-1,2)=7,PlanMasine[[#This Row],[Datum SAS]]-3,PlanMasine[[#This Row],[Datum SAS]]-1)</f>
        <v>45818</v>
      </c>
      <c r="W450">
        <f>WEEKNUM(PlanMasine[[#This Row],[Column2]],1)</f>
        <v>24</v>
      </c>
    </row>
    <row r="451" spans="1:23" x14ac:dyDescent="0.35">
      <c r="A451">
        <v>1027064</v>
      </c>
      <c r="B451">
        <v>1</v>
      </c>
      <c r="C451">
        <v>1027068</v>
      </c>
      <c r="D451" t="s">
        <v>1980</v>
      </c>
      <c r="E451">
        <v>90</v>
      </c>
      <c r="F451">
        <v>3</v>
      </c>
      <c r="G451">
        <v>0</v>
      </c>
      <c r="H451">
        <v>0</v>
      </c>
      <c r="I451" t="s">
        <v>24</v>
      </c>
      <c r="J451" t="s">
        <v>597</v>
      </c>
      <c r="K451" t="s">
        <v>1981</v>
      </c>
      <c r="L451" s="3">
        <v>45849</v>
      </c>
      <c r="M451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2.0833333333333332E-2</v>
      </c>
      <c r="N451" s="3">
        <v>45819</v>
      </c>
      <c r="O451" s="5">
        <f>IFERROR((PlanMasine[[#This Row],[Norma]]/PlanMasine[[#This Row],[Q]])*(PlanMasine[[#This Row],[Q]]/SUMIF(C:C,PlanMasine[[#This Row],[RN]],B:B)*PlanMasine[[#This Row],[KPLQ]]),0)</f>
        <v>30</v>
      </c>
      <c r="P451">
        <v>150158</v>
      </c>
      <c r="Q451">
        <f>COUNTIF(PROMJENA!A:A,PlanMasine[[#This Row],[KPL]]&amp;"-"&amp;PlanMasine[[#This Row],[RN]])</f>
        <v>0</v>
      </c>
      <c r="R451">
        <f>IFERROR(INDEX(REDOSLIJED!A:A,MATCH(PlanMasine[[#This Row],[KPL]],REDOSLIJED!B:B,0)),MAX(REDOSLIJED!A:A)+1)</f>
        <v>45</v>
      </c>
      <c r="S451" s="9">
        <f>SUM($M$2:M451)</f>
        <v>17.329930555555574</v>
      </c>
      <c r="T451" s="3">
        <f>PlanMasine[[#This Row],[Datum SAS]]-1</f>
        <v>45818</v>
      </c>
      <c r="U451">
        <f>WEEKDAY(PlanMasine[[#This Row],[ZAVRŠETAK MAŠINSKE]],2)</f>
        <v>2</v>
      </c>
      <c r="V451" s="3">
        <f>IF(WEEKDAY(PlanMasine[[#This Row],[Datum SAS]]-1,2)=7,PlanMasine[[#This Row],[Datum SAS]]-3,PlanMasine[[#This Row],[Datum SAS]]-1)</f>
        <v>45818</v>
      </c>
      <c r="W451">
        <f>WEEKNUM(PlanMasine[[#This Row],[Column2]],1)</f>
        <v>24</v>
      </c>
    </row>
    <row r="452" spans="1:23" x14ac:dyDescent="0.35">
      <c r="A452">
        <v>1020251</v>
      </c>
      <c r="B452">
        <v>1</v>
      </c>
      <c r="C452">
        <v>1020257</v>
      </c>
      <c r="D452" t="s">
        <v>1980</v>
      </c>
      <c r="E452">
        <v>90</v>
      </c>
      <c r="F452">
        <v>3</v>
      </c>
      <c r="G452">
        <v>0</v>
      </c>
      <c r="H452">
        <v>0</v>
      </c>
      <c r="I452" t="s">
        <v>24</v>
      </c>
      <c r="J452" t="s">
        <v>597</v>
      </c>
      <c r="K452" t="s">
        <v>1983</v>
      </c>
      <c r="L452" s="3">
        <v>45838</v>
      </c>
      <c r="M452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2.0833333333333332E-2</v>
      </c>
      <c r="N452" s="3">
        <v>45820</v>
      </c>
      <c r="O452" s="5">
        <f>IFERROR((PlanMasine[[#This Row],[Norma]]/PlanMasine[[#This Row],[Q]])*(PlanMasine[[#This Row],[Q]]/SUMIF(C:C,PlanMasine[[#This Row],[RN]],B:B)*PlanMasine[[#This Row],[KPLQ]]),0)</f>
        <v>30</v>
      </c>
      <c r="P452">
        <v>150158</v>
      </c>
      <c r="Q452">
        <f>COUNTIF(PROMJENA!A:A,PlanMasine[[#This Row],[KPL]]&amp;"-"&amp;PlanMasine[[#This Row],[RN]])</f>
        <v>0</v>
      </c>
      <c r="R452">
        <f>IFERROR(INDEX(REDOSLIJED!A:A,MATCH(PlanMasine[[#This Row],[KPL]],REDOSLIJED!B:B,0)),MAX(REDOSLIJED!A:A)+1)</f>
        <v>45</v>
      </c>
      <c r="S452" s="9">
        <f>SUM($M$2:M452)</f>
        <v>17.350763888888906</v>
      </c>
      <c r="T452" s="3">
        <f>PlanMasine[[#This Row],[Datum SAS]]-1</f>
        <v>45819</v>
      </c>
      <c r="U452">
        <f>WEEKDAY(PlanMasine[[#This Row],[ZAVRŠETAK MAŠINSKE]],2)</f>
        <v>3</v>
      </c>
      <c r="V452" s="3">
        <f>IF(WEEKDAY(PlanMasine[[#This Row],[Datum SAS]]-1,2)=7,PlanMasine[[#This Row],[Datum SAS]]-3,PlanMasine[[#This Row],[Datum SAS]]-1)</f>
        <v>45819</v>
      </c>
      <c r="W452">
        <f>WEEKNUM(PlanMasine[[#This Row],[Column2]],1)</f>
        <v>24</v>
      </c>
    </row>
    <row r="453" spans="1:23" x14ac:dyDescent="0.35">
      <c r="A453">
        <v>1020251</v>
      </c>
      <c r="B453">
        <v>1</v>
      </c>
      <c r="C453">
        <v>1020258</v>
      </c>
      <c r="D453" t="s">
        <v>1982</v>
      </c>
      <c r="E453">
        <v>90</v>
      </c>
      <c r="F453">
        <v>3</v>
      </c>
      <c r="G453">
        <v>0</v>
      </c>
      <c r="H453">
        <v>0</v>
      </c>
      <c r="I453" t="s">
        <v>24</v>
      </c>
      <c r="J453" t="s">
        <v>597</v>
      </c>
      <c r="K453" t="s">
        <v>1983</v>
      </c>
      <c r="L453" s="3">
        <v>45838</v>
      </c>
      <c r="M453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2.0833333333333332E-2</v>
      </c>
      <c r="N453" s="3">
        <v>45820</v>
      </c>
      <c r="O453" s="5">
        <f>IFERROR((PlanMasine[[#This Row],[Norma]]/PlanMasine[[#This Row],[Q]])*(PlanMasine[[#This Row],[Q]]/SUMIF(C:C,PlanMasine[[#This Row],[RN]],B:B)*PlanMasine[[#This Row],[KPLQ]]),0)</f>
        <v>30</v>
      </c>
      <c r="P453">
        <v>150159</v>
      </c>
      <c r="Q453">
        <f>COUNTIF(PROMJENA!A:A,PlanMasine[[#This Row],[KPL]]&amp;"-"&amp;PlanMasine[[#This Row],[RN]])</f>
        <v>0</v>
      </c>
      <c r="R453">
        <f>IFERROR(INDEX(REDOSLIJED!A:A,MATCH(PlanMasine[[#This Row],[KPL]],REDOSLIJED!B:B,0)),MAX(REDOSLIJED!A:A)+1)</f>
        <v>45</v>
      </c>
      <c r="S453" s="9">
        <f>SUM($M$2:M453)</f>
        <v>17.371597222222238</v>
      </c>
      <c r="T453" s="3">
        <f>PlanMasine[[#This Row],[Datum SAS]]-1</f>
        <v>45819</v>
      </c>
      <c r="U453">
        <f>WEEKDAY(PlanMasine[[#This Row],[ZAVRŠETAK MAŠINSKE]],2)</f>
        <v>3</v>
      </c>
      <c r="V453" s="3">
        <f>IF(WEEKDAY(PlanMasine[[#This Row],[Datum SAS]]-1,2)=7,PlanMasine[[#This Row],[Datum SAS]]-3,PlanMasine[[#This Row],[Datum SAS]]-1)</f>
        <v>45819</v>
      </c>
      <c r="W453">
        <f>WEEKNUM(PlanMasine[[#This Row],[Column2]],1)</f>
        <v>24</v>
      </c>
    </row>
    <row r="454" spans="1:23" x14ac:dyDescent="0.35">
      <c r="A454">
        <v>1020252</v>
      </c>
      <c r="B454">
        <v>1</v>
      </c>
      <c r="C454">
        <v>1020258</v>
      </c>
      <c r="D454" t="s">
        <v>1982</v>
      </c>
      <c r="E454">
        <v>90</v>
      </c>
      <c r="F454">
        <v>3</v>
      </c>
      <c r="G454">
        <v>0</v>
      </c>
      <c r="H454">
        <v>0</v>
      </c>
      <c r="I454" t="s">
        <v>24</v>
      </c>
      <c r="J454" t="s">
        <v>597</v>
      </c>
      <c r="K454" t="s">
        <v>1983</v>
      </c>
      <c r="L454" s="3">
        <v>45838</v>
      </c>
      <c r="M454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2.0833333333333332E-2</v>
      </c>
      <c r="N454" s="3">
        <v>45820</v>
      </c>
      <c r="O454" s="5">
        <f>IFERROR((PlanMasine[[#This Row],[Norma]]/PlanMasine[[#This Row],[Q]])*(PlanMasine[[#This Row],[Q]]/SUMIF(C:C,PlanMasine[[#This Row],[RN]],B:B)*PlanMasine[[#This Row],[KPLQ]]),0)</f>
        <v>30</v>
      </c>
      <c r="P454">
        <v>150159</v>
      </c>
      <c r="Q454">
        <f>COUNTIF(PROMJENA!A:A,PlanMasine[[#This Row],[KPL]]&amp;"-"&amp;PlanMasine[[#This Row],[RN]])</f>
        <v>0</v>
      </c>
      <c r="R454">
        <f>IFERROR(INDEX(REDOSLIJED!A:A,MATCH(PlanMasine[[#This Row],[KPL]],REDOSLIJED!B:B,0)),MAX(REDOSLIJED!A:A)+1)</f>
        <v>45</v>
      </c>
      <c r="S454" s="9">
        <f>SUM($M$2:M454)</f>
        <v>17.39243055555557</v>
      </c>
      <c r="T454" s="3">
        <f>PlanMasine[[#This Row],[Datum SAS]]-1</f>
        <v>45819</v>
      </c>
      <c r="U454">
        <f>WEEKDAY(PlanMasine[[#This Row],[ZAVRŠETAK MAŠINSKE]],2)</f>
        <v>3</v>
      </c>
      <c r="V454" s="3">
        <f>IF(WEEKDAY(PlanMasine[[#This Row],[Datum SAS]]-1,2)=7,PlanMasine[[#This Row],[Datum SAS]]-3,PlanMasine[[#This Row],[Datum SAS]]-1)</f>
        <v>45819</v>
      </c>
      <c r="W454">
        <f>WEEKNUM(PlanMasine[[#This Row],[Column2]],1)</f>
        <v>24</v>
      </c>
    </row>
    <row r="455" spans="1:23" x14ac:dyDescent="0.35">
      <c r="A455">
        <v>1020252</v>
      </c>
      <c r="B455">
        <v>1</v>
      </c>
      <c r="C455">
        <v>1020257</v>
      </c>
      <c r="D455" t="s">
        <v>1980</v>
      </c>
      <c r="E455">
        <v>90</v>
      </c>
      <c r="F455">
        <v>3</v>
      </c>
      <c r="G455">
        <v>0</v>
      </c>
      <c r="H455">
        <v>0</v>
      </c>
      <c r="I455" t="s">
        <v>24</v>
      </c>
      <c r="J455" t="s">
        <v>597</v>
      </c>
      <c r="K455" t="s">
        <v>1983</v>
      </c>
      <c r="L455" s="3">
        <v>45838</v>
      </c>
      <c r="M455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2.0833333333333332E-2</v>
      </c>
      <c r="N455" s="3">
        <v>45820</v>
      </c>
      <c r="O455" s="5">
        <f>IFERROR((PlanMasine[[#This Row],[Norma]]/PlanMasine[[#This Row],[Q]])*(PlanMasine[[#This Row],[Q]]/SUMIF(C:C,PlanMasine[[#This Row],[RN]],B:B)*PlanMasine[[#This Row],[KPLQ]]),0)</f>
        <v>30</v>
      </c>
      <c r="P455">
        <v>150158</v>
      </c>
      <c r="Q455">
        <f>COUNTIF(PROMJENA!A:A,PlanMasine[[#This Row],[KPL]]&amp;"-"&amp;PlanMasine[[#This Row],[RN]])</f>
        <v>0</v>
      </c>
      <c r="R455">
        <f>IFERROR(INDEX(REDOSLIJED!A:A,MATCH(PlanMasine[[#This Row],[KPL]],REDOSLIJED!B:B,0)),MAX(REDOSLIJED!A:A)+1)</f>
        <v>45</v>
      </c>
      <c r="S455" s="9">
        <f>SUM($M$2:M455)</f>
        <v>17.413263888888903</v>
      </c>
      <c r="T455" s="3">
        <f>PlanMasine[[#This Row],[Datum SAS]]-1</f>
        <v>45819</v>
      </c>
      <c r="U455">
        <f>WEEKDAY(PlanMasine[[#This Row],[ZAVRŠETAK MAŠINSKE]],2)</f>
        <v>3</v>
      </c>
      <c r="V455" s="3">
        <f>IF(WEEKDAY(PlanMasine[[#This Row],[Datum SAS]]-1,2)=7,PlanMasine[[#This Row],[Datum SAS]]-3,PlanMasine[[#This Row],[Datum SAS]]-1)</f>
        <v>45819</v>
      </c>
      <c r="W455">
        <f>WEEKNUM(PlanMasine[[#This Row],[Column2]],1)</f>
        <v>24</v>
      </c>
    </row>
    <row r="456" spans="1:23" x14ac:dyDescent="0.35">
      <c r="A456">
        <v>1020253</v>
      </c>
      <c r="B456">
        <v>1</v>
      </c>
      <c r="C456">
        <v>1020257</v>
      </c>
      <c r="D456" t="s">
        <v>1980</v>
      </c>
      <c r="E456">
        <v>90</v>
      </c>
      <c r="F456">
        <v>3</v>
      </c>
      <c r="G456">
        <v>0</v>
      </c>
      <c r="H456">
        <v>0</v>
      </c>
      <c r="I456" t="s">
        <v>24</v>
      </c>
      <c r="J456" t="s">
        <v>597</v>
      </c>
      <c r="K456" t="s">
        <v>1983</v>
      </c>
      <c r="L456" s="3">
        <v>45838</v>
      </c>
      <c r="M456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2.0833333333333332E-2</v>
      </c>
      <c r="N456" s="3">
        <v>45820</v>
      </c>
      <c r="O456" s="5">
        <f>IFERROR((PlanMasine[[#This Row],[Norma]]/PlanMasine[[#This Row],[Q]])*(PlanMasine[[#This Row],[Q]]/SUMIF(C:C,PlanMasine[[#This Row],[RN]],B:B)*PlanMasine[[#This Row],[KPLQ]]),0)</f>
        <v>30</v>
      </c>
      <c r="P456">
        <v>150158</v>
      </c>
      <c r="Q456">
        <f>COUNTIF(PROMJENA!A:A,PlanMasine[[#This Row],[KPL]]&amp;"-"&amp;PlanMasine[[#This Row],[RN]])</f>
        <v>0</v>
      </c>
      <c r="R456">
        <f>IFERROR(INDEX(REDOSLIJED!A:A,MATCH(PlanMasine[[#This Row],[KPL]],REDOSLIJED!B:B,0)),MAX(REDOSLIJED!A:A)+1)</f>
        <v>45</v>
      </c>
      <c r="S456" s="9">
        <f>SUM($M$2:M456)</f>
        <v>17.434097222222235</v>
      </c>
      <c r="T456" s="3">
        <f>PlanMasine[[#This Row],[Datum SAS]]-1</f>
        <v>45819</v>
      </c>
      <c r="U456">
        <f>WEEKDAY(PlanMasine[[#This Row],[ZAVRŠETAK MAŠINSKE]],2)</f>
        <v>3</v>
      </c>
      <c r="V456" s="3">
        <f>IF(WEEKDAY(PlanMasine[[#This Row],[Datum SAS]]-1,2)=7,PlanMasine[[#This Row],[Datum SAS]]-3,PlanMasine[[#This Row],[Datum SAS]]-1)</f>
        <v>45819</v>
      </c>
      <c r="W456">
        <f>WEEKNUM(PlanMasine[[#This Row],[Column2]],1)</f>
        <v>24</v>
      </c>
    </row>
    <row r="457" spans="1:23" x14ac:dyDescent="0.35">
      <c r="A457">
        <v>1020253</v>
      </c>
      <c r="B457">
        <v>1</v>
      </c>
      <c r="C457">
        <v>1020258</v>
      </c>
      <c r="D457" t="s">
        <v>1982</v>
      </c>
      <c r="E457">
        <v>90</v>
      </c>
      <c r="F457">
        <v>3</v>
      </c>
      <c r="G457">
        <v>0</v>
      </c>
      <c r="H457">
        <v>0</v>
      </c>
      <c r="I457" t="s">
        <v>24</v>
      </c>
      <c r="J457" t="s">
        <v>597</v>
      </c>
      <c r="K457" t="s">
        <v>1983</v>
      </c>
      <c r="L457" s="3">
        <v>45838</v>
      </c>
      <c r="M457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2.0833333333333332E-2</v>
      </c>
      <c r="N457" s="3">
        <v>45820</v>
      </c>
      <c r="O457" s="5">
        <f>IFERROR((PlanMasine[[#This Row],[Norma]]/PlanMasine[[#This Row],[Q]])*(PlanMasine[[#This Row],[Q]]/SUMIF(C:C,PlanMasine[[#This Row],[RN]],B:B)*PlanMasine[[#This Row],[KPLQ]]),0)</f>
        <v>30</v>
      </c>
      <c r="P457">
        <v>150159</v>
      </c>
      <c r="Q457">
        <f>COUNTIF(PROMJENA!A:A,PlanMasine[[#This Row],[KPL]]&amp;"-"&amp;PlanMasine[[#This Row],[RN]])</f>
        <v>0</v>
      </c>
      <c r="R457">
        <f>IFERROR(INDEX(REDOSLIJED!A:A,MATCH(PlanMasine[[#This Row],[KPL]],REDOSLIJED!B:B,0)),MAX(REDOSLIJED!A:A)+1)</f>
        <v>45</v>
      </c>
      <c r="S457" s="9">
        <f>SUM($M$2:M457)</f>
        <v>17.454930555555567</v>
      </c>
      <c r="T457" s="3">
        <f>PlanMasine[[#This Row],[Datum SAS]]-1</f>
        <v>45819</v>
      </c>
      <c r="U457">
        <f>WEEKDAY(PlanMasine[[#This Row],[ZAVRŠETAK MAŠINSKE]],2)</f>
        <v>3</v>
      </c>
      <c r="V457" s="3">
        <f>IF(WEEKDAY(PlanMasine[[#This Row],[Datum SAS]]-1,2)=7,PlanMasine[[#This Row],[Datum SAS]]-3,PlanMasine[[#This Row],[Datum SAS]]-1)</f>
        <v>45819</v>
      </c>
      <c r="W457">
        <f>WEEKNUM(PlanMasine[[#This Row],[Column2]],1)</f>
        <v>24</v>
      </c>
    </row>
    <row r="458" spans="1:23" x14ac:dyDescent="0.35">
      <c r="A458">
        <v>1024704</v>
      </c>
      <c r="B458">
        <v>1</v>
      </c>
      <c r="C458">
        <v>1024699</v>
      </c>
      <c r="D458" t="s">
        <v>239</v>
      </c>
      <c r="E458">
        <v>10</v>
      </c>
      <c r="F458">
        <v>1</v>
      </c>
      <c r="G458">
        <v>0</v>
      </c>
      <c r="H458">
        <v>0</v>
      </c>
      <c r="I458" t="s">
        <v>24</v>
      </c>
      <c r="J458" t="s">
        <v>597</v>
      </c>
      <c r="K458" t="s">
        <v>1984</v>
      </c>
      <c r="L458" s="3">
        <v>45835</v>
      </c>
      <c r="M458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6.9444444444444441E-3</v>
      </c>
      <c r="N458" s="3">
        <v>45820</v>
      </c>
      <c r="O458" s="5">
        <f>IFERROR((PlanMasine[[#This Row],[Norma]]/PlanMasine[[#This Row],[Q]])*(PlanMasine[[#This Row],[Q]]/SUMIF(C:C,PlanMasine[[#This Row],[RN]],B:B)*PlanMasine[[#This Row],[KPLQ]]),0)</f>
        <v>10</v>
      </c>
      <c r="P458">
        <v>155692</v>
      </c>
      <c r="Q458">
        <f>COUNTIF(PROMJENA!A:A,PlanMasine[[#This Row],[KPL]]&amp;"-"&amp;PlanMasine[[#This Row],[RN]])</f>
        <v>0</v>
      </c>
      <c r="R458">
        <f>IFERROR(INDEX(REDOSLIJED!A:A,MATCH(PlanMasine[[#This Row],[KPL]],REDOSLIJED!B:B,0)),MAX(REDOSLIJED!A:A)+1)</f>
        <v>45</v>
      </c>
      <c r="S458" s="9">
        <f>SUM($M$2:M458)</f>
        <v>17.46187500000001</v>
      </c>
      <c r="T458" s="3">
        <f>PlanMasine[[#This Row],[Datum SAS]]-1</f>
        <v>45819</v>
      </c>
      <c r="U458">
        <f>WEEKDAY(PlanMasine[[#This Row],[ZAVRŠETAK MAŠINSKE]],2)</f>
        <v>3</v>
      </c>
      <c r="V458" s="3">
        <f>IF(WEEKDAY(PlanMasine[[#This Row],[Datum SAS]]-1,2)=7,PlanMasine[[#This Row],[Datum SAS]]-3,PlanMasine[[#This Row],[Datum SAS]]-1)</f>
        <v>45819</v>
      </c>
      <c r="W458">
        <f>WEEKNUM(PlanMasine[[#This Row],[Column2]],1)</f>
        <v>24</v>
      </c>
    </row>
    <row r="459" spans="1:23" x14ac:dyDescent="0.35">
      <c r="A459">
        <v>1024704</v>
      </c>
      <c r="B459">
        <v>1</v>
      </c>
      <c r="C459">
        <v>1024685</v>
      </c>
      <c r="D459" t="s">
        <v>243</v>
      </c>
      <c r="E459">
        <v>10</v>
      </c>
      <c r="F459">
        <v>1</v>
      </c>
      <c r="G459">
        <v>0</v>
      </c>
      <c r="H459">
        <v>0</v>
      </c>
      <c r="I459" t="s">
        <v>24</v>
      </c>
      <c r="J459" t="s">
        <v>597</v>
      </c>
      <c r="K459" t="s">
        <v>1984</v>
      </c>
      <c r="L459" s="3">
        <v>45835</v>
      </c>
      <c r="M459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6.9444444444444441E-3</v>
      </c>
      <c r="N459" s="3">
        <v>45820</v>
      </c>
      <c r="O459" s="5">
        <f>IFERROR((PlanMasine[[#This Row],[Norma]]/PlanMasine[[#This Row],[Q]])*(PlanMasine[[#This Row],[Q]]/SUMIF(C:C,PlanMasine[[#This Row],[RN]],B:B)*PlanMasine[[#This Row],[KPLQ]]),0)</f>
        <v>10</v>
      </c>
      <c r="P459">
        <v>155678</v>
      </c>
      <c r="Q459">
        <f>COUNTIF(PROMJENA!A:A,PlanMasine[[#This Row],[KPL]]&amp;"-"&amp;PlanMasine[[#This Row],[RN]])</f>
        <v>0</v>
      </c>
      <c r="R459">
        <f>IFERROR(INDEX(REDOSLIJED!A:A,MATCH(PlanMasine[[#This Row],[KPL]],REDOSLIJED!B:B,0)),MAX(REDOSLIJED!A:A)+1)</f>
        <v>45</v>
      </c>
      <c r="S459" s="9">
        <f>SUM($M$2:M459)</f>
        <v>17.468819444444453</v>
      </c>
      <c r="T459" s="3">
        <f>PlanMasine[[#This Row],[Datum SAS]]-1</f>
        <v>45819</v>
      </c>
      <c r="U459">
        <f>WEEKDAY(PlanMasine[[#This Row],[ZAVRŠETAK MAŠINSKE]],2)</f>
        <v>3</v>
      </c>
      <c r="V459" s="3">
        <f>IF(WEEKDAY(PlanMasine[[#This Row],[Datum SAS]]-1,2)=7,PlanMasine[[#This Row],[Datum SAS]]-3,PlanMasine[[#This Row],[Datum SAS]]-1)</f>
        <v>45819</v>
      </c>
      <c r="W459">
        <f>WEEKNUM(PlanMasine[[#This Row],[Column2]],1)</f>
        <v>24</v>
      </c>
    </row>
    <row r="460" spans="1:23" x14ac:dyDescent="0.35">
      <c r="A460">
        <v>1024760</v>
      </c>
      <c r="B460">
        <v>1</v>
      </c>
      <c r="C460">
        <v>1024741</v>
      </c>
      <c r="D460" t="s">
        <v>243</v>
      </c>
      <c r="E460">
        <v>10</v>
      </c>
      <c r="F460">
        <v>1</v>
      </c>
      <c r="G460">
        <v>0</v>
      </c>
      <c r="H460">
        <v>0</v>
      </c>
      <c r="I460" t="s">
        <v>24</v>
      </c>
      <c r="J460" t="s">
        <v>597</v>
      </c>
      <c r="K460" t="s">
        <v>1985</v>
      </c>
      <c r="L460" s="3">
        <v>45835</v>
      </c>
      <c r="M460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6.9444444444444441E-3</v>
      </c>
      <c r="N460" s="3">
        <v>45820</v>
      </c>
      <c r="O460" s="5">
        <f>IFERROR((PlanMasine[[#This Row],[Norma]]/PlanMasine[[#This Row],[Q]])*(PlanMasine[[#This Row],[Q]]/SUMIF(C:C,PlanMasine[[#This Row],[RN]],B:B)*PlanMasine[[#This Row],[KPLQ]]),0)</f>
        <v>10</v>
      </c>
      <c r="P460">
        <v>155678</v>
      </c>
      <c r="Q460">
        <f>COUNTIF(PROMJENA!A:A,PlanMasine[[#This Row],[KPL]]&amp;"-"&amp;PlanMasine[[#This Row],[RN]])</f>
        <v>0</v>
      </c>
      <c r="R460">
        <f>IFERROR(INDEX(REDOSLIJED!A:A,MATCH(PlanMasine[[#This Row],[KPL]],REDOSLIJED!B:B,0)),MAX(REDOSLIJED!A:A)+1)</f>
        <v>45</v>
      </c>
      <c r="S460" s="9">
        <f>SUM($M$2:M460)</f>
        <v>17.475763888888896</v>
      </c>
      <c r="T460" s="3">
        <f>PlanMasine[[#This Row],[Datum SAS]]-1</f>
        <v>45819</v>
      </c>
      <c r="U460">
        <f>WEEKDAY(PlanMasine[[#This Row],[ZAVRŠETAK MAŠINSKE]],2)</f>
        <v>3</v>
      </c>
      <c r="V460" s="3">
        <f>IF(WEEKDAY(PlanMasine[[#This Row],[Datum SAS]]-1,2)=7,PlanMasine[[#This Row],[Datum SAS]]-3,PlanMasine[[#This Row],[Datum SAS]]-1)</f>
        <v>45819</v>
      </c>
      <c r="W460">
        <f>WEEKNUM(PlanMasine[[#This Row],[Column2]],1)</f>
        <v>24</v>
      </c>
    </row>
    <row r="461" spans="1:23" x14ac:dyDescent="0.35">
      <c r="A461">
        <v>1024760</v>
      </c>
      <c r="B461">
        <v>1</v>
      </c>
      <c r="C461">
        <v>1024755</v>
      </c>
      <c r="D461" t="s">
        <v>239</v>
      </c>
      <c r="E461">
        <v>10</v>
      </c>
      <c r="F461">
        <v>1</v>
      </c>
      <c r="G461">
        <v>0</v>
      </c>
      <c r="H461">
        <v>0</v>
      </c>
      <c r="I461" t="s">
        <v>24</v>
      </c>
      <c r="J461" t="s">
        <v>597</v>
      </c>
      <c r="K461" t="s">
        <v>1985</v>
      </c>
      <c r="L461" s="3">
        <v>45835</v>
      </c>
      <c r="M461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6.9444444444444441E-3</v>
      </c>
      <c r="N461" s="3">
        <v>45820</v>
      </c>
      <c r="O461" s="5">
        <f>IFERROR((PlanMasine[[#This Row],[Norma]]/PlanMasine[[#This Row],[Q]])*(PlanMasine[[#This Row],[Q]]/SUMIF(C:C,PlanMasine[[#This Row],[RN]],B:B)*PlanMasine[[#This Row],[KPLQ]]),0)</f>
        <v>10</v>
      </c>
      <c r="P461">
        <v>155692</v>
      </c>
      <c r="Q461">
        <f>COUNTIF(PROMJENA!A:A,PlanMasine[[#This Row],[KPL]]&amp;"-"&amp;PlanMasine[[#This Row],[RN]])</f>
        <v>0</v>
      </c>
      <c r="R461">
        <f>IFERROR(INDEX(REDOSLIJED!A:A,MATCH(PlanMasine[[#This Row],[KPL]],REDOSLIJED!B:B,0)),MAX(REDOSLIJED!A:A)+1)</f>
        <v>45</v>
      </c>
      <c r="S461" s="9">
        <f>SUM($M$2:M461)</f>
        <v>17.482708333333338</v>
      </c>
      <c r="T461" s="3">
        <f>PlanMasine[[#This Row],[Datum SAS]]-1</f>
        <v>45819</v>
      </c>
      <c r="U461">
        <f>WEEKDAY(PlanMasine[[#This Row],[ZAVRŠETAK MAŠINSKE]],2)</f>
        <v>3</v>
      </c>
      <c r="V461" s="3">
        <f>IF(WEEKDAY(PlanMasine[[#This Row],[Datum SAS]]-1,2)=7,PlanMasine[[#This Row],[Datum SAS]]-3,PlanMasine[[#This Row],[Datum SAS]]-1)</f>
        <v>45819</v>
      </c>
      <c r="W461">
        <f>WEEKNUM(PlanMasine[[#This Row],[Column2]],1)</f>
        <v>24</v>
      </c>
    </row>
    <row r="462" spans="1:23" x14ac:dyDescent="0.35">
      <c r="A462">
        <v>1024732</v>
      </c>
      <c r="B462">
        <v>1</v>
      </c>
      <c r="C462">
        <v>1024713</v>
      </c>
      <c r="D462" t="s">
        <v>243</v>
      </c>
      <c r="E462">
        <v>10</v>
      </c>
      <c r="F462">
        <v>1</v>
      </c>
      <c r="G462">
        <v>0</v>
      </c>
      <c r="H462">
        <v>0</v>
      </c>
      <c r="I462" t="s">
        <v>24</v>
      </c>
      <c r="J462" t="s">
        <v>597</v>
      </c>
      <c r="K462" t="s">
        <v>1986</v>
      </c>
      <c r="L462" s="3">
        <v>45835</v>
      </c>
      <c r="M462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6.9444444444444441E-3</v>
      </c>
      <c r="N462" s="3">
        <v>45821</v>
      </c>
      <c r="O462" s="5">
        <f>IFERROR((PlanMasine[[#This Row],[Norma]]/PlanMasine[[#This Row],[Q]])*(PlanMasine[[#This Row],[Q]]/SUMIF(C:C,PlanMasine[[#This Row],[RN]],B:B)*PlanMasine[[#This Row],[KPLQ]]),0)</f>
        <v>10</v>
      </c>
      <c r="P462">
        <v>155678</v>
      </c>
      <c r="Q462">
        <f>COUNTIF(PROMJENA!A:A,PlanMasine[[#This Row],[KPL]]&amp;"-"&amp;PlanMasine[[#This Row],[RN]])</f>
        <v>0</v>
      </c>
      <c r="R462">
        <f>IFERROR(INDEX(REDOSLIJED!A:A,MATCH(PlanMasine[[#This Row],[KPL]],REDOSLIJED!B:B,0)),MAX(REDOSLIJED!A:A)+1)</f>
        <v>45</v>
      </c>
      <c r="S462" s="9">
        <f>SUM($M$2:M462)</f>
        <v>17.489652777777781</v>
      </c>
      <c r="T462" s="3">
        <f>PlanMasine[[#This Row],[Datum SAS]]-1</f>
        <v>45820</v>
      </c>
      <c r="U462">
        <f>WEEKDAY(PlanMasine[[#This Row],[ZAVRŠETAK MAŠINSKE]],2)</f>
        <v>4</v>
      </c>
      <c r="V462" s="3">
        <f>IF(WEEKDAY(PlanMasine[[#This Row],[Datum SAS]]-1,2)=7,PlanMasine[[#This Row],[Datum SAS]]-3,PlanMasine[[#This Row],[Datum SAS]]-1)</f>
        <v>45820</v>
      </c>
      <c r="W462">
        <f>WEEKNUM(PlanMasine[[#This Row],[Column2]],1)</f>
        <v>24</v>
      </c>
    </row>
    <row r="463" spans="1:23" x14ac:dyDescent="0.35">
      <c r="A463">
        <v>1024732</v>
      </c>
      <c r="B463">
        <v>1</v>
      </c>
      <c r="C463">
        <v>1024727</v>
      </c>
      <c r="D463" t="s">
        <v>239</v>
      </c>
      <c r="E463">
        <v>10</v>
      </c>
      <c r="F463">
        <v>1</v>
      </c>
      <c r="G463">
        <v>0</v>
      </c>
      <c r="H463">
        <v>0</v>
      </c>
      <c r="I463" t="s">
        <v>24</v>
      </c>
      <c r="J463" t="s">
        <v>597</v>
      </c>
      <c r="K463" t="s">
        <v>1986</v>
      </c>
      <c r="L463" s="3">
        <v>45835</v>
      </c>
      <c r="M463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6.9444444444444441E-3</v>
      </c>
      <c r="N463" s="3">
        <v>45821</v>
      </c>
      <c r="O463" s="5">
        <f>IFERROR((PlanMasine[[#This Row],[Norma]]/PlanMasine[[#This Row],[Q]])*(PlanMasine[[#This Row],[Q]]/SUMIF(C:C,PlanMasine[[#This Row],[RN]],B:B)*PlanMasine[[#This Row],[KPLQ]]),0)</f>
        <v>10</v>
      </c>
      <c r="P463">
        <v>155692</v>
      </c>
      <c r="Q463">
        <f>COUNTIF(PROMJENA!A:A,PlanMasine[[#This Row],[KPL]]&amp;"-"&amp;PlanMasine[[#This Row],[RN]])</f>
        <v>0</v>
      </c>
      <c r="R463">
        <f>IFERROR(INDEX(REDOSLIJED!A:A,MATCH(PlanMasine[[#This Row],[KPL]],REDOSLIJED!B:B,0)),MAX(REDOSLIJED!A:A)+1)</f>
        <v>45</v>
      </c>
      <c r="S463" s="9">
        <f>SUM($M$2:M463)</f>
        <v>17.496597222222224</v>
      </c>
      <c r="T463" s="3">
        <f>PlanMasine[[#This Row],[Datum SAS]]-1</f>
        <v>45820</v>
      </c>
      <c r="U463">
        <f>WEEKDAY(PlanMasine[[#This Row],[ZAVRŠETAK MAŠINSKE]],2)</f>
        <v>4</v>
      </c>
      <c r="V463" s="3">
        <f>IF(WEEKDAY(PlanMasine[[#This Row],[Datum SAS]]-1,2)=7,PlanMasine[[#This Row],[Datum SAS]]-3,PlanMasine[[#This Row],[Datum SAS]]-1)</f>
        <v>45820</v>
      </c>
      <c r="W463">
        <f>WEEKNUM(PlanMasine[[#This Row],[Column2]],1)</f>
        <v>24</v>
      </c>
    </row>
    <row r="464" spans="1:23" x14ac:dyDescent="0.35">
      <c r="A464">
        <v>1028453</v>
      </c>
      <c r="B464">
        <v>1</v>
      </c>
      <c r="C464">
        <v>1028463</v>
      </c>
      <c r="D464" t="s">
        <v>1987</v>
      </c>
      <c r="E464">
        <v>80</v>
      </c>
      <c r="F464">
        <v>2</v>
      </c>
      <c r="G464">
        <v>0</v>
      </c>
      <c r="H464">
        <v>0</v>
      </c>
      <c r="I464" t="s">
        <v>24</v>
      </c>
      <c r="J464" t="s">
        <v>597</v>
      </c>
      <c r="K464" t="s">
        <v>1988</v>
      </c>
      <c r="L464" s="3">
        <v>45834</v>
      </c>
      <c r="M464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2.7777777777777776E-2</v>
      </c>
      <c r="N464" s="3">
        <v>45821</v>
      </c>
      <c r="O464" s="5">
        <f>IFERROR((PlanMasine[[#This Row],[Norma]]/PlanMasine[[#This Row],[Q]])*(PlanMasine[[#This Row],[Q]]/SUMIF(C:C,PlanMasine[[#This Row],[RN]],B:B)*PlanMasine[[#This Row],[KPLQ]]),0)</f>
        <v>40</v>
      </c>
      <c r="P464">
        <v>233032</v>
      </c>
      <c r="Q464">
        <f>COUNTIF(PROMJENA!A:A,PlanMasine[[#This Row],[KPL]]&amp;"-"&amp;PlanMasine[[#This Row],[RN]])</f>
        <v>0</v>
      </c>
      <c r="R464">
        <f>IFERROR(INDEX(REDOSLIJED!A:A,MATCH(PlanMasine[[#This Row],[KPL]],REDOSLIJED!B:B,0)),MAX(REDOSLIJED!A:A)+1)</f>
        <v>45</v>
      </c>
      <c r="S464" s="9">
        <f>SUM($M$2:M464)</f>
        <v>17.524375000000003</v>
      </c>
      <c r="T464" s="3">
        <f>PlanMasine[[#This Row],[Datum SAS]]-1</f>
        <v>45820</v>
      </c>
      <c r="U464">
        <f>WEEKDAY(PlanMasine[[#This Row],[ZAVRŠETAK MAŠINSKE]],2)</f>
        <v>4</v>
      </c>
      <c r="V464" s="3">
        <f>IF(WEEKDAY(PlanMasine[[#This Row],[Datum SAS]]-1,2)=7,PlanMasine[[#This Row],[Datum SAS]]-3,PlanMasine[[#This Row],[Datum SAS]]-1)</f>
        <v>45820</v>
      </c>
      <c r="W464">
        <f>WEEKNUM(PlanMasine[[#This Row],[Column2]],1)</f>
        <v>24</v>
      </c>
    </row>
    <row r="465" spans="1:23" x14ac:dyDescent="0.35">
      <c r="A465">
        <v>1028454</v>
      </c>
      <c r="B465">
        <v>1</v>
      </c>
      <c r="C465">
        <v>1028463</v>
      </c>
      <c r="D465" t="s">
        <v>1987</v>
      </c>
      <c r="E465">
        <v>80</v>
      </c>
      <c r="F465">
        <v>2</v>
      </c>
      <c r="G465">
        <v>0</v>
      </c>
      <c r="H465">
        <v>0</v>
      </c>
      <c r="I465" t="s">
        <v>24</v>
      </c>
      <c r="J465" t="s">
        <v>597</v>
      </c>
      <c r="K465" t="s">
        <v>1988</v>
      </c>
      <c r="L465" s="3">
        <v>45834</v>
      </c>
      <c r="M465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2.7777777777777776E-2</v>
      </c>
      <c r="N465" s="3">
        <v>45821</v>
      </c>
      <c r="O465" s="5">
        <f>IFERROR((PlanMasine[[#This Row],[Norma]]/PlanMasine[[#This Row],[Q]])*(PlanMasine[[#This Row],[Q]]/SUMIF(C:C,PlanMasine[[#This Row],[RN]],B:B)*PlanMasine[[#This Row],[KPLQ]]),0)</f>
        <v>40</v>
      </c>
      <c r="P465">
        <v>233032</v>
      </c>
      <c r="Q465">
        <f>COUNTIF(PROMJENA!A:A,PlanMasine[[#This Row],[KPL]]&amp;"-"&amp;PlanMasine[[#This Row],[RN]])</f>
        <v>0</v>
      </c>
      <c r="R465">
        <f>IFERROR(INDEX(REDOSLIJED!A:A,MATCH(PlanMasine[[#This Row],[KPL]],REDOSLIJED!B:B,0)),MAX(REDOSLIJED!A:A)+1)</f>
        <v>45</v>
      </c>
      <c r="S465" s="9">
        <f>SUM($M$2:M465)</f>
        <v>17.552152777777781</v>
      </c>
      <c r="T465" s="3">
        <f>PlanMasine[[#This Row],[Datum SAS]]-1</f>
        <v>45820</v>
      </c>
      <c r="U465">
        <f>WEEKDAY(PlanMasine[[#This Row],[ZAVRŠETAK MAŠINSKE]],2)</f>
        <v>4</v>
      </c>
      <c r="V465" s="3">
        <f>IF(WEEKDAY(PlanMasine[[#This Row],[Datum SAS]]-1,2)=7,PlanMasine[[#This Row],[Datum SAS]]-3,PlanMasine[[#This Row],[Datum SAS]]-1)</f>
        <v>45820</v>
      </c>
      <c r="W465">
        <f>WEEKNUM(PlanMasine[[#This Row],[Column2]],1)</f>
        <v>24</v>
      </c>
    </row>
    <row r="466" spans="1:23" x14ac:dyDescent="0.35">
      <c r="A466">
        <v>1028474</v>
      </c>
      <c r="B466">
        <v>1</v>
      </c>
      <c r="C466">
        <v>1028479</v>
      </c>
      <c r="D466" t="s">
        <v>1989</v>
      </c>
      <c r="E466">
        <v>80</v>
      </c>
      <c r="F466">
        <v>2</v>
      </c>
      <c r="G466">
        <v>0</v>
      </c>
      <c r="H466">
        <v>0</v>
      </c>
      <c r="I466" t="s">
        <v>24</v>
      </c>
      <c r="J466" t="s">
        <v>597</v>
      </c>
      <c r="K466" t="s">
        <v>1990</v>
      </c>
      <c r="L466" s="3">
        <v>45834</v>
      </c>
      <c r="M466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2.7777777777777776E-2</v>
      </c>
      <c r="N466" s="3">
        <v>45821</v>
      </c>
      <c r="O466" s="5">
        <f>IFERROR((PlanMasine[[#This Row],[Norma]]/PlanMasine[[#This Row],[Q]])*(PlanMasine[[#This Row],[Q]]/SUMIF(C:C,PlanMasine[[#This Row],[RN]],B:B)*PlanMasine[[#This Row],[KPLQ]]),0)</f>
        <v>40</v>
      </c>
      <c r="P466">
        <v>233047</v>
      </c>
      <c r="Q466">
        <f>COUNTIF(PROMJENA!A:A,PlanMasine[[#This Row],[KPL]]&amp;"-"&amp;PlanMasine[[#This Row],[RN]])</f>
        <v>0</v>
      </c>
      <c r="R466">
        <f>IFERROR(INDEX(REDOSLIJED!A:A,MATCH(PlanMasine[[#This Row],[KPL]],REDOSLIJED!B:B,0)),MAX(REDOSLIJED!A:A)+1)</f>
        <v>45</v>
      </c>
      <c r="S466" s="9">
        <f>SUM($M$2:M466)</f>
        <v>17.57993055555556</v>
      </c>
      <c r="T466" s="3">
        <f>PlanMasine[[#This Row],[Datum SAS]]-1</f>
        <v>45820</v>
      </c>
      <c r="U466">
        <f>WEEKDAY(PlanMasine[[#This Row],[ZAVRŠETAK MAŠINSKE]],2)</f>
        <v>4</v>
      </c>
      <c r="V466" s="3">
        <f>IF(WEEKDAY(PlanMasine[[#This Row],[Datum SAS]]-1,2)=7,PlanMasine[[#This Row],[Datum SAS]]-3,PlanMasine[[#This Row],[Datum SAS]]-1)</f>
        <v>45820</v>
      </c>
      <c r="W466">
        <f>WEEKNUM(PlanMasine[[#This Row],[Column2]],1)</f>
        <v>24</v>
      </c>
    </row>
    <row r="467" spans="1:23" x14ac:dyDescent="0.35">
      <c r="A467">
        <v>1028475</v>
      </c>
      <c r="B467">
        <v>1</v>
      </c>
      <c r="C467">
        <v>1028479</v>
      </c>
      <c r="D467" t="s">
        <v>1989</v>
      </c>
      <c r="E467">
        <v>80</v>
      </c>
      <c r="F467">
        <v>2</v>
      </c>
      <c r="G467">
        <v>0</v>
      </c>
      <c r="H467">
        <v>0</v>
      </c>
      <c r="I467" t="s">
        <v>24</v>
      </c>
      <c r="J467" t="s">
        <v>597</v>
      </c>
      <c r="K467" t="s">
        <v>1990</v>
      </c>
      <c r="L467" s="3">
        <v>45834</v>
      </c>
      <c r="M467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2.7777777777777776E-2</v>
      </c>
      <c r="N467" s="3">
        <v>45821</v>
      </c>
      <c r="O467" s="5">
        <f>IFERROR((PlanMasine[[#This Row],[Norma]]/PlanMasine[[#This Row],[Q]])*(PlanMasine[[#This Row],[Q]]/SUMIF(C:C,PlanMasine[[#This Row],[RN]],B:B)*PlanMasine[[#This Row],[KPLQ]]),0)</f>
        <v>40</v>
      </c>
      <c r="P467">
        <v>233047</v>
      </c>
      <c r="Q467">
        <f>COUNTIF(PROMJENA!A:A,PlanMasine[[#This Row],[KPL]]&amp;"-"&amp;PlanMasine[[#This Row],[RN]])</f>
        <v>0</v>
      </c>
      <c r="R467">
        <f>IFERROR(INDEX(REDOSLIJED!A:A,MATCH(PlanMasine[[#This Row],[KPL]],REDOSLIJED!B:B,0)),MAX(REDOSLIJED!A:A)+1)</f>
        <v>45</v>
      </c>
      <c r="S467" s="9">
        <f>SUM($M$2:M467)</f>
        <v>17.607708333333338</v>
      </c>
      <c r="T467" s="3">
        <f>PlanMasine[[#This Row],[Datum SAS]]-1</f>
        <v>45820</v>
      </c>
      <c r="U467">
        <f>WEEKDAY(PlanMasine[[#This Row],[ZAVRŠETAK MAŠINSKE]],2)</f>
        <v>4</v>
      </c>
      <c r="V467" s="3">
        <f>IF(WEEKDAY(PlanMasine[[#This Row],[Datum SAS]]-1,2)=7,PlanMasine[[#This Row],[Datum SAS]]-3,PlanMasine[[#This Row],[Datum SAS]]-1)</f>
        <v>45820</v>
      </c>
      <c r="W467">
        <f>WEEKNUM(PlanMasine[[#This Row],[Column2]],1)</f>
        <v>24</v>
      </c>
    </row>
    <row r="468" spans="1:23" x14ac:dyDescent="0.35">
      <c r="A468">
        <v>1028485</v>
      </c>
      <c r="B468">
        <v>1</v>
      </c>
      <c r="C468">
        <v>1028490</v>
      </c>
      <c r="D468" t="s">
        <v>1991</v>
      </c>
      <c r="E468">
        <v>80</v>
      </c>
      <c r="F468">
        <v>2</v>
      </c>
      <c r="G468">
        <v>0</v>
      </c>
      <c r="H468">
        <v>0</v>
      </c>
      <c r="I468" t="s">
        <v>24</v>
      </c>
      <c r="J468" t="s">
        <v>597</v>
      </c>
      <c r="K468" t="s">
        <v>1992</v>
      </c>
      <c r="L468" s="3">
        <v>45834</v>
      </c>
      <c r="M468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2.7777777777777776E-2</v>
      </c>
      <c r="N468" s="3">
        <v>45821</v>
      </c>
      <c r="O468" s="5">
        <f>IFERROR((PlanMasine[[#This Row],[Norma]]/PlanMasine[[#This Row],[Q]])*(PlanMasine[[#This Row],[Q]]/SUMIF(C:C,PlanMasine[[#This Row],[RN]],B:B)*PlanMasine[[#This Row],[KPLQ]]),0)</f>
        <v>40</v>
      </c>
      <c r="P468">
        <v>233055</v>
      </c>
      <c r="Q468">
        <f>COUNTIF(PROMJENA!A:A,PlanMasine[[#This Row],[KPL]]&amp;"-"&amp;PlanMasine[[#This Row],[RN]])</f>
        <v>0</v>
      </c>
      <c r="R468">
        <f>IFERROR(INDEX(REDOSLIJED!A:A,MATCH(PlanMasine[[#This Row],[KPL]],REDOSLIJED!B:B,0)),MAX(REDOSLIJED!A:A)+1)</f>
        <v>45</v>
      </c>
      <c r="S468" s="9">
        <f>SUM($M$2:M468)</f>
        <v>17.635486111111117</v>
      </c>
      <c r="T468" s="3">
        <f>PlanMasine[[#This Row],[Datum SAS]]-1</f>
        <v>45820</v>
      </c>
      <c r="U468">
        <f>WEEKDAY(PlanMasine[[#This Row],[ZAVRŠETAK MAŠINSKE]],2)</f>
        <v>4</v>
      </c>
      <c r="V468" s="3">
        <f>IF(WEEKDAY(PlanMasine[[#This Row],[Datum SAS]]-1,2)=7,PlanMasine[[#This Row],[Datum SAS]]-3,PlanMasine[[#This Row],[Datum SAS]]-1)</f>
        <v>45820</v>
      </c>
      <c r="W468">
        <f>WEEKNUM(PlanMasine[[#This Row],[Column2]],1)</f>
        <v>24</v>
      </c>
    </row>
    <row r="469" spans="1:23" x14ac:dyDescent="0.35">
      <c r="A469">
        <v>1028486</v>
      </c>
      <c r="B469">
        <v>1</v>
      </c>
      <c r="C469">
        <v>1028490</v>
      </c>
      <c r="D469" t="s">
        <v>1991</v>
      </c>
      <c r="E469">
        <v>80</v>
      </c>
      <c r="F469">
        <v>2</v>
      </c>
      <c r="G469">
        <v>0</v>
      </c>
      <c r="H469">
        <v>0</v>
      </c>
      <c r="I469" t="s">
        <v>24</v>
      </c>
      <c r="J469" t="s">
        <v>597</v>
      </c>
      <c r="K469" t="s">
        <v>1992</v>
      </c>
      <c r="L469" s="3">
        <v>45834</v>
      </c>
      <c r="M469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2.7777777777777776E-2</v>
      </c>
      <c r="N469" s="3">
        <v>45821</v>
      </c>
      <c r="O469" s="5">
        <f>IFERROR((PlanMasine[[#This Row],[Norma]]/PlanMasine[[#This Row],[Q]])*(PlanMasine[[#This Row],[Q]]/SUMIF(C:C,PlanMasine[[#This Row],[RN]],B:B)*PlanMasine[[#This Row],[KPLQ]]),0)</f>
        <v>40</v>
      </c>
      <c r="P469">
        <v>233055</v>
      </c>
      <c r="Q469">
        <f>COUNTIF(PROMJENA!A:A,PlanMasine[[#This Row],[KPL]]&amp;"-"&amp;PlanMasine[[#This Row],[RN]])</f>
        <v>0</v>
      </c>
      <c r="R469">
        <f>IFERROR(INDEX(REDOSLIJED!A:A,MATCH(PlanMasine[[#This Row],[KPL]],REDOSLIJED!B:B,0)),MAX(REDOSLIJED!A:A)+1)</f>
        <v>45</v>
      </c>
      <c r="S469" s="9">
        <f>SUM($M$2:M469)</f>
        <v>17.663263888888896</v>
      </c>
      <c r="T469" s="3">
        <f>PlanMasine[[#This Row],[Datum SAS]]-1</f>
        <v>45820</v>
      </c>
      <c r="U469">
        <f>WEEKDAY(PlanMasine[[#This Row],[ZAVRŠETAK MAŠINSKE]],2)</f>
        <v>4</v>
      </c>
      <c r="V469" s="3">
        <f>IF(WEEKDAY(PlanMasine[[#This Row],[Datum SAS]]-1,2)=7,PlanMasine[[#This Row],[Datum SAS]]-3,PlanMasine[[#This Row],[Datum SAS]]-1)</f>
        <v>45820</v>
      </c>
      <c r="W469">
        <f>WEEKNUM(PlanMasine[[#This Row],[Column2]],1)</f>
        <v>24</v>
      </c>
    </row>
    <row r="470" spans="1:23" x14ac:dyDescent="0.35">
      <c r="A470">
        <v>1017361</v>
      </c>
      <c r="B470">
        <v>1</v>
      </c>
      <c r="C470">
        <v>1017418</v>
      </c>
      <c r="D470" t="s">
        <v>1865</v>
      </c>
      <c r="E470">
        <v>15</v>
      </c>
      <c r="F470">
        <v>1</v>
      </c>
      <c r="G470">
        <v>0</v>
      </c>
      <c r="H470">
        <v>0</v>
      </c>
      <c r="I470" t="s">
        <v>24</v>
      </c>
      <c r="J470" t="s">
        <v>597</v>
      </c>
      <c r="K470" t="s">
        <v>1993</v>
      </c>
      <c r="L470" s="3">
        <v>45849</v>
      </c>
      <c r="M470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1.0416666666666666E-2</v>
      </c>
      <c r="N470" s="3">
        <v>45824</v>
      </c>
      <c r="O470" s="5">
        <f>IFERROR((PlanMasine[[#This Row],[Norma]]/PlanMasine[[#This Row],[Q]])*(PlanMasine[[#This Row],[Q]]/SUMIF(C:C,PlanMasine[[#This Row],[RN]],B:B)*PlanMasine[[#This Row],[KPLQ]]),0)</f>
        <v>15</v>
      </c>
      <c r="P470">
        <v>180182</v>
      </c>
      <c r="Q470">
        <f>COUNTIF(PROMJENA!A:A,PlanMasine[[#This Row],[KPL]]&amp;"-"&amp;PlanMasine[[#This Row],[RN]])</f>
        <v>0</v>
      </c>
      <c r="R470">
        <f>IFERROR(INDEX(REDOSLIJED!A:A,MATCH(PlanMasine[[#This Row],[KPL]],REDOSLIJED!B:B,0)),MAX(REDOSLIJED!A:A)+1)</f>
        <v>45</v>
      </c>
      <c r="S470" s="9">
        <f>SUM($M$2:M470)</f>
        <v>17.673680555555563</v>
      </c>
      <c r="T470" s="3">
        <f>PlanMasine[[#This Row],[Datum SAS]]-1</f>
        <v>45823</v>
      </c>
      <c r="U470">
        <f>WEEKDAY(PlanMasine[[#This Row],[ZAVRŠETAK MAŠINSKE]],2)</f>
        <v>7</v>
      </c>
      <c r="V470" s="3">
        <f>IF(WEEKDAY(PlanMasine[[#This Row],[Datum SAS]]-1,2)=7,PlanMasine[[#This Row],[Datum SAS]]-3,PlanMasine[[#This Row],[Datum SAS]]-1)</f>
        <v>45821</v>
      </c>
      <c r="W470">
        <f>WEEKNUM(PlanMasine[[#This Row],[Column2]],1)</f>
        <v>24</v>
      </c>
    </row>
    <row r="471" spans="1:23" x14ac:dyDescent="0.35">
      <c r="A471">
        <v>1017361</v>
      </c>
      <c r="B471">
        <v>1</v>
      </c>
      <c r="C471">
        <v>1017436</v>
      </c>
      <c r="D471" t="s">
        <v>979</v>
      </c>
      <c r="E471">
        <v>10</v>
      </c>
      <c r="F471">
        <v>1</v>
      </c>
      <c r="G471">
        <v>0</v>
      </c>
      <c r="H471">
        <v>0</v>
      </c>
      <c r="I471" t="s">
        <v>24</v>
      </c>
      <c r="J471" t="s">
        <v>597</v>
      </c>
      <c r="K471" t="s">
        <v>1993</v>
      </c>
      <c r="L471" s="3">
        <v>45849</v>
      </c>
      <c r="M471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6.9444444444444441E-3</v>
      </c>
      <c r="N471" s="3">
        <v>45824</v>
      </c>
      <c r="O471" s="5">
        <f>IFERROR((PlanMasine[[#This Row],[Norma]]/PlanMasine[[#This Row],[Q]])*(PlanMasine[[#This Row],[Q]]/SUMIF(C:C,PlanMasine[[#This Row],[RN]],B:B)*PlanMasine[[#This Row],[KPLQ]]),0)</f>
        <v>10</v>
      </c>
      <c r="P471">
        <v>180200</v>
      </c>
      <c r="Q471">
        <f>COUNTIF(PROMJENA!A:A,PlanMasine[[#This Row],[KPL]]&amp;"-"&amp;PlanMasine[[#This Row],[RN]])</f>
        <v>0</v>
      </c>
      <c r="R471">
        <f>IFERROR(INDEX(REDOSLIJED!A:A,MATCH(PlanMasine[[#This Row],[KPL]],REDOSLIJED!B:B,0)),MAX(REDOSLIJED!A:A)+1)</f>
        <v>45</v>
      </c>
      <c r="S471" s="9">
        <f>SUM($M$2:M471)</f>
        <v>17.680625000000006</v>
      </c>
      <c r="T471" s="3">
        <f>PlanMasine[[#This Row],[Datum SAS]]-1</f>
        <v>45823</v>
      </c>
      <c r="U471">
        <f>WEEKDAY(PlanMasine[[#This Row],[ZAVRŠETAK MAŠINSKE]],2)</f>
        <v>7</v>
      </c>
      <c r="V471" s="3">
        <f>IF(WEEKDAY(PlanMasine[[#This Row],[Datum SAS]]-1,2)=7,PlanMasine[[#This Row],[Datum SAS]]-3,PlanMasine[[#This Row],[Datum SAS]]-1)</f>
        <v>45821</v>
      </c>
      <c r="W471">
        <f>WEEKNUM(PlanMasine[[#This Row],[Column2]],1)</f>
        <v>24</v>
      </c>
    </row>
    <row r="472" spans="1:23" x14ac:dyDescent="0.35">
      <c r="A472">
        <v>1018678</v>
      </c>
      <c r="B472">
        <v>1</v>
      </c>
      <c r="C472">
        <v>1018709</v>
      </c>
      <c r="D472" t="s">
        <v>1994</v>
      </c>
      <c r="E472">
        <v>25</v>
      </c>
      <c r="F472">
        <v>1</v>
      </c>
      <c r="G472">
        <v>0</v>
      </c>
      <c r="H472">
        <v>0</v>
      </c>
      <c r="I472" t="s">
        <v>24</v>
      </c>
      <c r="J472" t="s">
        <v>597</v>
      </c>
      <c r="K472" t="s">
        <v>1995</v>
      </c>
      <c r="L472" s="3">
        <v>45833</v>
      </c>
      <c r="M472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1.7361111111111112E-2</v>
      </c>
      <c r="N472" s="3">
        <v>45824</v>
      </c>
      <c r="O472" s="5">
        <f>IFERROR((PlanMasine[[#This Row],[Norma]]/PlanMasine[[#This Row],[Q]])*(PlanMasine[[#This Row],[Q]]/SUMIF(C:C,PlanMasine[[#This Row],[RN]],B:B)*PlanMasine[[#This Row],[KPLQ]]),0)</f>
        <v>25</v>
      </c>
      <c r="P472">
        <v>209977</v>
      </c>
      <c r="Q472">
        <f>COUNTIF(PROMJENA!A:A,PlanMasine[[#This Row],[KPL]]&amp;"-"&amp;PlanMasine[[#This Row],[RN]])</f>
        <v>0</v>
      </c>
      <c r="R472">
        <f>IFERROR(INDEX(REDOSLIJED!A:A,MATCH(PlanMasine[[#This Row],[KPL]],REDOSLIJED!B:B,0)),MAX(REDOSLIJED!A:A)+1)</f>
        <v>45</v>
      </c>
      <c r="S472" s="9">
        <f>SUM($M$2:M472)</f>
        <v>17.697986111111117</v>
      </c>
      <c r="T472" s="3">
        <f>PlanMasine[[#This Row],[Datum SAS]]-1</f>
        <v>45823</v>
      </c>
      <c r="U472">
        <f>WEEKDAY(PlanMasine[[#This Row],[ZAVRŠETAK MAŠINSKE]],2)</f>
        <v>7</v>
      </c>
      <c r="V472" s="3">
        <f>IF(WEEKDAY(PlanMasine[[#This Row],[Datum SAS]]-1,2)=7,PlanMasine[[#This Row],[Datum SAS]]-3,PlanMasine[[#This Row],[Datum SAS]]-1)</f>
        <v>45821</v>
      </c>
      <c r="W472">
        <f>WEEKNUM(PlanMasine[[#This Row],[Column2]],1)</f>
        <v>24</v>
      </c>
    </row>
    <row r="473" spans="1:23" x14ac:dyDescent="0.35">
      <c r="A473">
        <v>1022081</v>
      </c>
      <c r="B473">
        <v>1</v>
      </c>
      <c r="C473">
        <v>1022001</v>
      </c>
      <c r="D473" t="s">
        <v>1612</v>
      </c>
      <c r="E473">
        <v>120</v>
      </c>
      <c r="F473">
        <v>6</v>
      </c>
      <c r="G473">
        <v>0</v>
      </c>
      <c r="H473">
        <v>0</v>
      </c>
      <c r="I473" t="s">
        <v>24</v>
      </c>
      <c r="J473" t="s">
        <v>597</v>
      </c>
      <c r="K473" t="s">
        <v>1996</v>
      </c>
      <c r="L473" s="3">
        <v>45841</v>
      </c>
      <c r="M473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1.3888888888888888E-2</v>
      </c>
      <c r="N473" s="3">
        <v>45824</v>
      </c>
      <c r="O473" s="5">
        <f>IFERROR((PlanMasine[[#This Row],[Norma]]/PlanMasine[[#This Row],[Q]])*(PlanMasine[[#This Row],[Q]]/SUMIF(C:C,PlanMasine[[#This Row],[RN]],B:B)*PlanMasine[[#This Row],[KPLQ]]),0)</f>
        <v>20</v>
      </c>
      <c r="P473">
        <v>215459</v>
      </c>
      <c r="Q473">
        <f>COUNTIF(PROMJENA!A:A,PlanMasine[[#This Row],[KPL]]&amp;"-"&amp;PlanMasine[[#This Row],[RN]])</f>
        <v>0</v>
      </c>
      <c r="R473">
        <f>IFERROR(INDEX(REDOSLIJED!A:A,MATCH(PlanMasine[[#This Row],[KPL]],REDOSLIJED!B:B,0)),MAX(REDOSLIJED!A:A)+1)</f>
        <v>45</v>
      </c>
      <c r="S473" s="9">
        <f>SUM($M$2:M473)</f>
        <v>17.711875000000006</v>
      </c>
      <c r="T473" s="3">
        <f>PlanMasine[[#This Row],[Datum SAS]]-1</f>
        <v>45823</v>
      </c>
      <c r="U473">
        <f>WEEKDAY(PlanMasine[[#This Row],[ZAVRŠETAK MAŠINSKE]],2)</f>
        <v>7</v>
      </c>
      <c r="V473" s="3">
        <f>IF(WEEKDAY(PlanMasine[[#This Row],[Datum SAS]]-1,2)=7,PlanMasine[[#This Row],[Datum SAS]]-3,PlanMasine[[#This Row],[Datum SAS]]-1)</f>
        <v>45821</v>
      </c>
      <c r="W473">
        <f>WEEKNUM(PlanMasine[[#This Row],[Column2]],1)</f>
        <v>24</v>
      </c>
    </row>
    <row r="474" spans="1:23" x14ac:dyDescent="0.35">
      <c r="A474">
        <v>1022081</v>
      </c>
      <c r="B474">
        <v>1</v>
      </c>
      <c r="C474">
        <v>1022002</v>
      </c>
      <c r="D474" t="s">
        <v>1623</v>
      </c>
      <c r="E474">
        <v>180</v>
      </c>
      <c r="F474">
        <v>6</v>
      </c>
      <c r="G474">
        <v>0</v>
      </c>
      <c r="H474">
        <v>0</v>
      </c>
      <c r="I474" t="s">
        <v>24</v>
      </c>
      <c r="J474" t="s">
        <v>597</v>
      </c>
      <c r="K474" t="s">
        <v>1996</v>
      </c>
      <c r="L474" s="3">
        <v>45841</v>
      </c>
      <c r="M474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2.0833333333333332E-2</v>
      </c>
      <c r="N474" s="3">
        <v>45824</v>
      </c>
      <c r="O474" s="5">
        <f>IFERROR((PlanMasine[[#This Row],[Norma]]/PlanMasine[[#This Row],[Q]])*(PlanMasine[[#This Row],[Q]]/SUMIF(C:C,PlanMasine[[#This Row],[RN]],B:B)*PlanMasine[[#This Row],[KPLQ]]),0)</f>
        <v>30</v>
      </c>
      <c r="P474">
        <v>215460</v>
      </c>
      <c r="Q474">
        <f>COUNTIF(PROMJENA!A:A,PlanMasine[[#This Row],[KPL]]&amp;"-"&amp;PlanMasine[[#This Row],[RN]])</f>
        <v>0</v>
      </c>
      <c r="R474">
        <f>IFERROR(INDEX(REDOSLIJED!A:A,MATCH(PlanMasine[[#This Row],[KPL]],REDOSLIJED!B:B,0)),MAX(REDOSLIJED!A:A)+1)</f>
        <v>45</v>
      </c>
      <c r="S474" s="9">
        <f>SUM($M$2:M474)</f>
        <v>17.732708333333338</v>
      </c>
      <c r="T474" s="3">
        <f>PlanMasine[[#This Row],[Datum SAS]]-1</f>
        <v>45823</v>
      </c>
      <c r="U474">
        <f>WEEKDAY(PlanMasine[[#This Row],[ZAVRŠETAK MAŠINSKE]],2)</f>
        <v>7</v>
      </c>
      <c r="V474" s="3">
        <f>IF(WEEKDAY(PlanMasine[[#This Row],[Datum SAS]]-1,2)=7,PlanMasine[[#This Row],[Datum SAS]]-3,PlanMasine[[#This Row],[Datum SAS]]-1)</f>
        <v>45821</v>
      </c>
      <c r="W474">
        <f>WEEKNUM(PlanMasine[[#This Row],[Column2]],1)</f>
        <v>24</v>
      </c>
    </row>
    <row r="475" spans="1:23" x14ac:dyDescent="0.35">
      <c r="A475">
        <v>1022081</v>
      </c>
      <c r="B475">
        <v>1</v>
      </c>
      <c r="C475">
        <v>1022044</v>
      </c>
      <c r="D475" t="s">
        <v>1710</v>
      </c>
      <c r="E475">
        <v>90</v>
      </c>
      <c r="F475">
        <v>6</v>
      </c>
      <c r="G475">
        <v>0</v>
      </c>
      <c r="H475">
        <v>0</v>
      </c>
      <c r="I475" t="s">
        <v>24</v>
      </c>
      <c r="J475" t="s">
        <v>597</v>
      </c>
      <c r="K475" t="s">
        <v>1996</v>
      </c>
      <c r="L475" s="3">
        <v>45841</v>
      </c>
      <c r="M475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1.0416666666666666E-2</v>
      </c>
      <c r="N475" s="3">
        <v>45824</v>
      </c>
      <c r="O475" s="5">
        <f>IFERROR((PlanMasine[[#This Row],[Norma]]/PlanMasine[[#This Row],[Q]])*(PlanMasine[[#This Row],[Q]]/SUMIF(C:C,PlanMasine[[#This Row],[RN]],B:B)*PlanMasine[[#This Row],[KPLQ]]),0)</f>
        <v>15</v>
      </c>
      <c r="P475">
        <v>215507</v>
      </c>
      <c r="Q475">
        <f>COUNTIF(PROMJENA!A:A,PlanMasine[[#This Row],[KPL]]&amp;"-"&amp;PlanMasine[[#This Row],[RN]])</f>
        <v>0</v>
      </c>
      <c r="R475">
        <f>IFERROR(INDEX(REDOSLIJED!A:A,MATCH(PlanMasine[[#This Row],[KPL]],REDOSLIJED!B:B,0)),MAX(REDOSLIJED!A:A)+1)</f>
        <v>45</v>
      </c>
      <c r="S475" s="9">
        <f>SUM($M$2:M475)</f>
        <v>17.743125000000006</v>
      </c>
      <c r="T475" s="3">
        <f>PlanMasine[[#This Row],[Datum SAS]]-1</f>
        <v>45823</v>
      </c>
      <c r="U475">
        <f>WEEKDAY(PlanMasine[[#This Row],[ZAVRŠETAK MAŠINSKE]],2)</f>
        <v>7</v>
      </c>
      <c r="V475" s="3">
        <f>IF(WEEKDAY(PlanMasine[[#This Row],[Datum SAS]]-1,2)=7,PlanMasine[[#This Row],[Datum SAS]]-3,PlanMasine[[#This Row],[Datum SAS]]-1)</f>
        <v>45821</v>
      </c>
      <c r="W475">
        <f>WEEKNUM(PlanMasine[[#This Row],[Column2]],1)</f>
        <v>24</v>
      </c>
    </row>
    <row r="476" spans="1:23" x14ac:dyDescent="0.35">
      <c r="A476">
        <v>1022082</v>
      </c>
      <c r="B476">
        <v>1</v>
      </c>
      <c r="C476">
        <v>1022002</v>
      </c>
      <c r="D476" t="s">
        <v>1623</v>
      </c>
      <c r="E476">
        <v>180</v>
      </c>
      <c r="F476">
        <v>6</v>
      </c>
      <c r="G476">
        <v>0</v>
      </c>
      <c r="H476">
        <v>0</v>
      </c>
      <c r="I476" t="s">
        <v>24</v>
      </c>
      <c r="J476" t="s">
        <v>597</v>
      </c>
      <c r="K476" t="s">
        <v>1996</v>
      </c>
      <c r="L476" s="3">
        <v>45841</v>
      </c>
      <c r="M476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2.0833333333333332E-2</v>
      </c>
      <c r="N476" s="3">
        <v>45824</v>
      </c>
      <c r="O476" s="5">
        <f>IFERROR((PlanMasine[[#This Row],[Norma]]/PlanMasine[[#This Row],[Q]])*(PlanMasine[[#This Row],[Q]]/SUMIF(C:C,PlanMasine[[#This Row],[RN]],B:B)*PlanMasine[[#This Row],[KPLQ]]),0)</f>
        <v>30</v>
      </c>
      <c r="P476">
        <v>215460</v>
      </c>
      <c r="Q476">
        <f>COUNTIF(PROMJENA!A:A,PlanMasine[[#This Row],[KPL]]&amp;"-"&amp;PlanMasine[[#This Row],[RN]])</f>
        <v>0</v>
      </c>
      <c r="R476">
        <f>IFERROR(INDEX(REDOSLIJED!A:A,MATCH(PlanMasine[[#This Row],[KPL]],REDOSLIJED!B:B,0)),MAX(REDOSLIJED!A:A)+1)</f>
        <v>45</v>
      </c>
      <c r="S476" s="9">
        <f>SUM($M$2:M476)</f>
        <v>17.763958333333338</v>
      </c>
      <c r="T476" s="3">
        <f>PlanMasine[[#This Row],[Datum SAS]]-1</f>
        <v>45823</v>
      </c>
      <c r="U476">
        <f>WEEKDAY(PlanMasine[[#This Row],[ZAVRŠETAK MAŠINSKE]],2)</f>
        <v>7</v>
      </c>
      <c r="V476" s="3">
        <f>IF(WEEKDAY(PlanMasine[[#This Row],[Datum SAS]]-1,2)=7,PlanMasine[[#This Row],[Datum SAS]]-3,PlanMasine[[#This Row],[Datum SAS]]-1)</f>
        <v>45821</v>
      </c>
      <c r="W476">
        <f>WEEKNUM(PlanMasine[[#This Row],[Column2]],1)</f>
        <v>24</v>
      </c>
    </row>
    <row r="477" spans="1:23" x14ac:dyDescent="0.35">
      <c r="A477">
        <v>1022082</v>
      </c>
      <c r="B477">
        <v>1</v>
      </c>
      <c r="C477">
        <v>1022001</v>
      </c>
      <c r="D477" t="s">
        <v>1612</v>
      </c>
      <c r="E477">
        <v>120</v>
      </c>
      <c r="F477">
        <v>6</v>
      </c>
      <c r="G477">
        <v>0</v>
      </c>
      <c r="H477">
        <v>0</v>
      </c>
      <c r="I477" t="s">
        <v>24</v>
      </c>
      <c r="J477" t="s">
        <v>597</v>
      </c>
      <c r="K477" t="s">
        <v>1996</v>
      </c>
      <c r="L477" s="3">
        <v>45841</v>
      </c>
      <c r="M477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1.3888888888888888E-2</v>
      </c>
      <c r="N477" s="3">
        <v>45824</v>
      </c>
      <c r="O477" s="5">
        <f>IFERROR((PlanMasine[[#This Row],[Norma]]/PlanMasine[[#This Row],[Q]])*(PlanMasine[[#This Row],[Q]]/SUMIF(C:C,PlanMasine[[#This Row],[RN]],B:B)*PlanMasine[[#This Row],[KPLQ]]),0)</f>
        <v>20</v>
      </c>
      <c r="P477">
        <v>215459</v>
      </c>
      <c r="Q477">
        <f>COUNTIF(PROMJENA!A:A,PlanMasine[[#This Row],[KPL]]&amp;"-"&amp;PlanMasine[[#This Row],[RN]])</f>
        <v>0</v>
      </c>
      <c r="R477">
        <f>IFERROR(INDEX(REDOSLIJED!A:A,MATCH(PlanMasine[[#This Row],[KPL]],REDOSLIJED!B:B,0)),MAX(REDOSLIJED!A:A)+1)</f>
        <v>45</v>
      </c>
      <c r="S477" s="9">
        <f>SUM($M$2:M477)</f>
        <v>17.777847222222228</v>
      </c>
      <c r="T477" s="3">
        <f>PlanMasine[[#This Row],[Datum SAS]]-1</f>
        <v>45823</v>
      </c>
      <c r="U477">
        <f>WEEKDAY(PlanMasine[[#This Row],[ZAVRŠETAK MAŠINSKE]],2)</f>
        <v>7</v>
      </c>
      <c r="V477" s="3">
        <f>IF(WEEKDAY(PlanMasine[[#This Row],[Datum SAS]]-1,2)=7,PlanMasine[[#This Row],[Datum SAS]]-3,PlanMasine[[#This Row],[Datum SAS]]-1)</f>
        <v>45821</v>
      </c>
      <c r="W477">
        <f>WEEKNUM(PlanMasine[[#This Row],[Column2]],1)</f>
        <v>24</v>
      </c>
    </row>
    <row r="478" spans="1:23" x14ac:dyDescent="0.35">
      <c r="A478">
        <v>1022082</v>
      </c>
      <c r="B478">
        <v>1</v>
      </c>
      <c r="C478">
        <v>1022044</v>
      </c>
      <c r="D478" t="s">
        <v>1710</v>
      </c>
      <c r="E478">
        <v>90</v>
      </c>
      <c r="F478">
        <v>6</v>
      </c>
      <c r="G478">
        <v>0</v>
      </c>
      <c r="H478">
        <v>0</v>
      </c>
      <c r="I478" t="s">
        <v>24</v>
      </c>
      <c r="J478" t="s">
        <v>597</v>
      </c>
      <c r="K478" t="s">
        <v>1996</v>
      </c>
      <c r="L478" s="3">
        <v>45841</v>
      </c>
      <c r="M478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1.0416666666666666E-2</v>
      </c>
      <c r="N478" s="3">
        <v>45824</v>
      </c>
      <c r="O478" s="5">
        <f>IFERROR((PlanMasine[[#This Row],[Norma]]/PlanMasine[[#This Row],[Q]])*(PlanMasine[[#This Row],[Q]]/SUMIF(C:C,PlanMasine[[#This Row],[RN]],B:B)*PlanMasine[[#This Row],[KPLQ]]),0)</f>
        <v>15</v>
      </c>
      <c r="P478">
        <v>215507</v>
      </c>
      <c r="Q478">
        <f>COUNTIF(PROMJENA!A:A,PlanMasine[[#This Row],[KPL]]&amp;"-"&amp;PlanMasine[[#This Row],[RN]])</f>
        <v>0</v>
      </c>
      <c r="R478">
        <f>IFERROR(INDEX(REDOSLIJED!A:A,MATCH(PlanMasine[[#This Row],[KPL]],REDOSLIJED!B:B,0)),MAX(REDOSLIJED!A:A)+1)</f>
        <v>45</v>
      </c>
      <c r="S478" s="9">
        <f>SUM($M$2:M478)</f>
        <v>17.788263888888896</v>
      </c>
      <c r="T478" s="3">
        <f>PlanMasine[[#This Row],[Datum SAS]]-1</f>
        <v>45823</v>
      </c>
      <c r="U478">
        <f>WEEKDAY(PlanMasine[[#This Row],[ZAVRŠETAK MAŠINSKE]],2)</f>
        <v>7</v>
      </c>
      <c r="V478" s="3">
        <f>IF(WEEKDAY(PlanMasine[[#This Row],[Datum SAS]]-1,2)=7,PlanMasine[[#This Row],[Datum SAS]]-3,PlanMasine[[#This Row],[Datum SAS]]-1)</f>
        <v>45821</v>
      </c>
      <c r="W478">
        <f>WEEKNUM(PlanMasine[[#This Row],[Column2]],1)</f>
        <v>24</v>
      </c>
    </row>
    <row r="479" spans="1:23" x14ac:dyDescent="0.35">
      <c r="A479">
        <v>1022083</v>
      </c>
      <c r="B479">
        <v>1</v>
      </c>
      <c r="C479">
        <v>1022044</v>
      </c>
      <c r="D479" t="s">
        <v>1710</v>
      </c>
      <c r="E479">
        <v>90</v>
      </c>
      <c r="F479">
        <v>6</v>
      </c>
      <c r="G479">
        <v>0</v>
      </c>
      <c r="H479">
        <v>0</v>
      </c>
      <c r="I479" t="s">
        <v>24</v>
      </c>
      <c r="J479" t="s">
        <v>597</v>
      </c>
      <c r="K479" t="s">
        <v>1996</v>
      </c>
      <c r="L479" s="3">
        <v>45841</v>
      </c>
      <c r="M479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1.0416666666666666E-2</v>
      </c>
      <c r="N479" s="3">
        <v>45824</v>
      </c>
      <c r="O479" s="5">
        <f>IFERROR((PlanMasine[[#This Row],[Norma]]/PlanMasine[[#This Row],[Q]])*(PlanMasine[[#This Row],[Q]]/SUMIF(C:C,PlanMasine[[#This Row],[RN]],B:B)*PlanMasine[[#This Row],[KPLQ]]),0)</f>
        <v>15</v>
      </c>
      <c r="P479">
        <v>215507</v>
      </c>
      <c r="Q479">
        <f>COUNTIF(PROMJENA!A:A,PlanMasine[[#This Row],[KPL]]&amp;"-"&amp;PlanMasine[[#This Row],[RN]])</f>
        <v>0</v>
      </c>
      <c r="R479">
        <f>IFERROR(INDEX(REDOSLIJED!A:A,MATCH(PlanMasine[[#This Row],[KPL]],REDOSLIJED!B:B,0)),MAX(REDOSLIJED!A:A)+1)</f>
        <v>45</v>
      </c>
      <c r="S479" s="9">
        <f>SUM($M$2:M479)</f>
        <v>17.798680555555563</v>
      </c>
      <c r="T479" s="3">
        <f>PlanMasine[[#This Row],[Datum SAS]]-1</f>
        <v>45823</v>
      </c>
      <c r="U479">
        <f>WEEKDAY(PlanMasine[[#This Row],[ZAVRŠETAK MAŠINSKE]],2)</f>
        <v>7</v>
      </c>
      <c r="V479" s="3">
        <f>IF(WEEKDAY(PlanMasine[[#This Row],[Datum SAS]]-1,2)=7,PlanMasine[[#This Row],[Datum SAS]]-3,PlanMasine[[#This Row],[Datum SAS]]-1)</f>
        <v>45821</v>
      </c>
      <c r="W479">
        <f>WEEKNUM(PlanMasine[[#This Row],[Column2]],1)</f>
        <v>24</v>
      </c>
    </row>
    <row r="480" spans="1:23" x14ac:dyDescent="0.35">
      <c r="A480">
        <v>1022083</v>
      </c>
      <c r="B480">
        <v>1</v>
      </c>
      <c r="C480">
        <v>1022002</v>
      </c>
      <c r="D480" t="s">
        <v>1623</v>
      </c>
      <c r="E480">
        <v>180</v>
      </c>
      <c r="F480">
        <v>6</v>
      </c>
      <c r="G480">
        <v>0</v>
      </c>
      <c r="H480">
        <v>0</v>
      </c>
      <c r="I480" t="s">
        <v>24</v>
      </c>
      <c r="J480" t="s">
        <v>597</v>
      </c>
      <c r="K480" t="s">
        <v>1996</v>
      </c>
      <c r="L480" s="3">
        <v>45841</v>
      </c>
      <c r="M480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2.0833333333333332E-2</v>
      </c>
      <c r="N480" s="3">
        <v>45824</v>
      </c>
      <c r="O480" s="5">
        <f>IFERROR((PlanMasine[[#This Row],[Norma]]/PlanMasine[[#This Row],[Q]])*(PlanMasine[[#This Row],[Q]]/SUMIF(C:C,PlanMasine[[#This Row],[RN]],B:B)*PlanMasine[[#This Row],[KPLQ]]),0)</f>
        <v>30</v>
      </c>
      <c r="P480">
        <v>215460</v>
      </c>
      <c r="Q480">
        <f>COUNTIF(PROMJENA!A:A,PlanMasine[[#This Row],[KPL]]&amp;"-"&amp;PlanMasine[[#This Row],[RN]])</f>
        <v>0</v>
      </c>
      <c r="R480">
        <f>IFERROR(INDEX(REDOSLIJED!A:A,MATCH(PlanMasine[[#This Row],[KPL]],REDOSLIJED!B:B,0)),MAX(REDOSLIJED!A:A)+1)</f>
        <v>45</v>
      </c>
      <c r="S480" s="9">
        <f>SUM($M$2:M480)</f>
        <v>17.819513888888896</v>
      </c>
      <c r="T480" s="3">
        <f>PlanMasine[[#This Row],[Datum SAS]]-1</f>
        <v>45823</v>
      </c>
      <c r="U480">
        <f>WEEKDAY(PlanMasine[[#This Row],[ZAVRŠETAK MAŠINSKE]],2)</f>
        <v>7</v>
      </c>
      <c r="V480" s="3">
        <f>IF(WEEKDAY(PlanMasine[[#This Row],[Datum SAS]]-1,2)=7,PlanMasine[[#This Row],[Datum SAS]]-3,PlanMasine[[#This Row],[Datum SAS]]-1)</f>
        <v>45821</v>
      </c>
      <c r="W480">
        <f>WEEKNUM(PlanMasine[[#This Row],[Column2]],1)</f>
        <v>24</v>
      </c>
    </row>
    <row r="481" spans="1:23" x14ac:dyDescent="0.35">
      <c r="A481">
        <v>1022083</v>
      </c>
      <c r="B481">
        <v>1</v>
      </c>
      <c r="C481">
        <v>1022001</v>
      </c>
      <c r="D481" t="s">
        <v>1612</v>
      </c>
      <c r="E481">
        <v>120</v>
      </c>
      <c r="F481">
        <v>6</v>
      </c>
      <c r="G481">
        <v>0</v>
      </c>
      <c r="H481">
        <v>0</v>
      </c>
      <c r="I481" t="s">
        <v>24</v>
      </c>
      <c r="J481" t="s">
        <v>597</v>
      </c>
      <c r="K481" t="s">
        <v>1996</v>
      </c>
      <c r="L481" s="3">
        <v>45841</v>
      </c>
      <c r="M481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1.3888888888888888E-2</v>
      </c>
      <c r="N481" s="3">
        <v>45824</v>
      </c>
      <c r="O481" s="5">
        <f>IFERROR((PlanMasine[[#This Row],[Norma]]/PlanMasine[[#This Row],[Q]])*(PlanMasine[[#This Row],[Q]]/SUMIF(C:C,PlanMasine[[#This Row],[RN]],B:B)*PlanMasine[[#This Row],[KPLQ]]),0)</f>
        <v>20</v>
      </c>
      <c r="P481">
        <v>215459</v>
      </c>
      <c r="Q481">
        <f>COUNTIF(PROMJENA!A:A,PlanMasine[[#This Row],[KPL]]&amp;"-"&amp;PlanMasine[[#This Row],[RN]])</f>
        <v>0</v>
      </c>
      <c r="R481">
        <f>IFERROR(INDEX(REDOSLIJED!A:A,MATCH(PlanMasine[[#This Row],[KPL]],REDOSLIJED!B:B,0)),MAX(REDOSLIJED!A:A)+1)</f>
        <v>45</v>
      </c>
      <c r="S481" s="9">
        <f>SUM($M$2:M481)</f>
        <v>17.833402777777785</v>
      </c>
      <c r="T481" s="3">
        <f>PlanMasine[[#This Row],[Datum SAS]]-1</f>
        <v>45823</v>
      </c>
      <c r="U481">
        <f>WEEKDAY(PlanMasine[[#This Row],[ZAVRŠETAK MAŠINSKE]],2)</f>
        <v>7</v>
      </c>
      <c r="V481" s="3">
        <f>IF(WEEKDAY(PlanMasine[[#This Row],[Datum SAS]]-1,2)=7,PlanMasine[[#This Row],[Datum SAS]]-3,PlanMasine[[#This Row],[Datum SAS]]-1)</f>
        <v>45821</v>
      </c>
      <c r="W481">
        <f>WEEKNUM(PlanMasine[[#This Row],[Column2]],1)</f>
        <v>24</v>
      </c>
    </row>
    <row r="482" spans="1:23" x14ac:dyDescent="0.35">
      <c r="A482">
        <v>1022084</v>
      </c>
      <c r="B482">
        <v>1</v>
      </c>
      <c r="C482">
        <v>1022001</v>
      </c>
      <c r="D482" t="s">
        <v>1612</v>
      </c>
      <c r="E482">
        <v>120</v>
      </c>
      <c r="F482">
        <v>6</v>
      </c>
      <c r="G482">
        <v>0</v>
      </c>
      <c r="H482">
        <v>0</v>
      </c>
      <c r="I482" t="s">
        <v>24</v>
      </c>
      <c r="J482" t="s">
        <v>597</v>
      </c>
      <c r="K482" t="s">
        <v>1996</v>
      </c>
      <c r="L482" s="3">
        <v>45841</v>
      </c>
      <c r="M482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1.3888888888888888E-2</v>
      </c>
      <c r="N482" s="3">
        <v>45824</v>
      </c>
      <c r="O482" s="5">
        <f>IFERROR((PlanMasine[[#This Row],[Norma]]/PlanMasine[[#This Row],[Q]])*(PlanMasine[[#This Row],[Q]]/SUMIF(C:C,PlanMasine[[#This Row],[RN]],B:B)*PlanMasine[[#This Row],[KPLQ]]),0)</f>
        <v>20</v>
      </c>
      <c r="P482">
        <v>215459</v>
      </c>
      <c r="Q482">
        <f>COUNTIF(PROMJENA!A:A,PlanMasine[[#This Row],[KPL]]&amp;"-"&amp;PlanMasine[[#This Row],[RN]])</f>
        <v>0</v>
      </c>
      <c r="R482">
        <f>IFERROR(INDEX(REDOSLIJED!A:A,MATCH(PlanMasine[[#This Row],[KPL]],REDOSLIJED!B:B,0)),MAX(REDOSLIJED!A:A)+1)</f>
        <v>45</v>
      </c>
      <c r="S482" s="9">
        <f>SUM($M$2:M482)</f>
        <v>17.847291666666674</v>
      </c>
      <c r="T482" s="3">
        <f>PlanMasine[[#This Row],[Datum SAS]]-1</f>
        <v>45823</v>
      </c>
      <c r="U482">
        <f>WEEKDAY(PlanMasine[[#This Row],[ZAVRŠETAK MAŠINSKE]],2)</f>
        <v>7</v>
      </c>
      <c r="V482" s="3">
        <f>IF(WEEKDAY(PlanMasine[[#This Row],[Datum SAS]]-1,2)=7,PlanMasine[[#This Row],[Datum SAS]]-3,PlanMasine[[#This Row],[Datum SAS]]-1)</f>
        <v>45821</v>
      </c>
      <c r="W482">
        <f>WEEKNUM(PlanMasine[[#This Row],[Column2]],1)</f>
        <v>24</v>
      </c>
    </row>
    <row r="483" spans="1:23" x14ac:dyDescent="0.35">
      <c r="A483">
        <v>1022084</v>
      </c>
      <c r="B483">
        <v>1</v>
      </c>
      <c r="C483">
        <v>1022044</v>
      </c>
      <c r="D483" t="s">
        <v>1710</v>
      </c>
      <c r="E483">
        <v>90</v>
      </c>
      <c r="F483">
        <v>6</v>
      </c>
      <c r="G483">
        <v>0</v>
      </c>
      <c r="H483">
        <v>0</v>
      </c>
      <c r="I483" t="s">
        <v>24</v>
      </c>
      <c r="J483" t="s">
        <v>597</v>
      </c>
      <c r="K483" t="s">
        <v>1996</v>
      </c>
      <c r="L483" s="3">
        <v>45841</v>
      </c>
      <c r="M483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1.0416666666666666E-2</v>
      </c>
      <c r="N483" s="3">
        <v>45824</v>
      </c>
      <c r="O483" s="5">
        <f>IFERROR((PlanMasine[[#This Row],[Norma]]/PlanMasine[[#This Row],[Q]])*(PlanMasine[[#This Row],[Q]]/SUMIF(C:C,PlanMasine[[#This Row],[RN]],B:B)*PlanMasine[[#This Row],[KPLQ]]),0)</f>
        <v>15</v>
      </c>
      <c r="P483">
        <v>215507</v>
      </c>
      <c r="Q483">
        <f>COUNTIF(PROMJENA!A:A,PlanMasine[[#This Row],[KPL]]&amp;"-"&amp;PlanMasine[[#This Row],[RN]])</f>
        <v>0</v>
      </c>
      <c r="R483">
        <f>IFERROR(INDEX(REDOSLIJED!A:A,MATCH(PlanMasine[[#This Row],[KPL]],REDOSLIJED!B:B,0)),MAX(REDOSLIJED!A:A)+1)</f>
        <v>45</v>
      </c>
      <c r="S483" s="9">
        <f>SUM($M$2:M483)</f>
        <v>17.857708333333342</v>
      </c>
      <c r="T483" s="3">
        <f>PlanMasine[[#This Row],[Datum SAS]]-1</f>
        <v>45823</v>
      </c>
      <c r="U483">
        <f>WEEKDAY(PlanMasine[[#This Row],[ZAVRŠETAK MAŠINSKE]],2)</f>
        <v>7</v>
      </c>
      <c r="V483" s="3">
        <f>IF(WEEKDAY(PlanMasine[[#This Row],[Datum SAS]]-1,2)=7,PlanMasine[[#This Row],[Datum SAS]]-3,PlanMasine[[#This Row],[Datum SAS]]-1)</f>
        <v>45821</v>
      </c>
      <c r="W483">
        <f>WEEKNUM(PlanMasine[[#This Row],[Column2]],1)</f>
        <v>24</v>
      </c>
    </row>
    <row r="484" spans="1:23" x14ac:dyDescent="0.35">
      <c r="A484">
        <v>1022084</v>
      </c>
      <c r="B484">
        <v>1</v>
      </c>
      <c r="C484">
        <v>1022002</v>
      </c>
      <c r="D484" t="s">
        <v>1623</v>
      </c>
      <c r="E484">
        <v>180</v>
      </c>
      <c r="F484">
        <v>6</v>
      </c>
      <c r="G484">
        <v>0</v>
      </c>
      <c r="H484">
        <v>0</v>
      </c>
      <c r="I484" t="s">
        <v>24</v>
      </c>
      <c r="J484" t="s">
        <v>597</v>
      </c>
      <c r="K484" t="s">
        <v>1996</v>
      </c>
      <c r="L484" s="3">
        <v>45841</v>
      </c>
      <c r="M484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2.0833333333333332E-2</v>
      </c>
      <c r="N484" s="3">
        <v>45824</v>
      </c>
      <c r="O484" s="5">
        <f>IFERROR((PlanMasine[[#This Row],[Norma]]/PlanMasine[[#This Row],[Q]])*(PlanMasine[[#This Row],[Q]]/SUMIF(C:C,PlanMasine[[#This Row],[RN]],B:B)*PlanMasine[[#This Row],[KPLQ]]),0)</f>
        <v>30</v>
      </c>
      <c r="P484">
        <v>215460</v>
      </c>
      <c r="Q484">
        <f>COUNTIF(PROMJENA!A:A,PlanMasine[[#This Row],[KPL]]&amp;"-"&amp;PlanMasine[[#This Row],[RN]])</f>
        <v>0</v>
      </c>
      <c r="R484">
        <f>IFERROR(INDEX(REDOSLIJED!A:A,MATCH(PlanMasine[[#This Row],[KPL]],REDOSLIJED!B:B,0)),MAX(REDOSLIJED!A:A)+1)</f>
        <v>45</v>
      </c>
      <c r="S484" s="9">
        <f>SUM($M$2:M484)</f>
        <v>17.878541666666674</v>
      </c>
      <c r="T484" s="3">
        <f>PlanMasine[[#This Row],[Datum SAS]]-1</f>
        <v>45823</v>
      </c>
      <c r="U484">
        <f>WEEKDAY(PlanMasine[[#This Row],[ZAVRŠETAK MAŠINSKE]],2)</f>
        <v>7</v>
      </c>
      <c r="V484" s="3">
        <f>IF(WEEKDAY(PlanMasine[[#This Row],[Datum SAS]]-1,2)=7,PlanMasine[[#This Row],[Datum SAS]]-3,PlanMasine[[#This Row],[Datum SAS]]-1)</f>
        <v>45821</v>
      </c>
      <c r="W484">
        <f>WEEKNUM(PlanMasine[[#This Row],[Column2]],1)</f>
        <v>24</v>
      </c>
    </row>
    <row r="485" spans="1:23" x14ac:dyDescent="0.35">
      <c r="A485">
        <v>1022085</v>
      </c>
      <c r="B485">
        <v>1</v>
      </c>
      <c r="C485">
        <v>1022002</v>
      </c>
      <c r="D485" t="s">
        <v>1623</v>
      </c>
      <c r="E485">
        <v>180</v>
      </c>
      <c r="F485">
        <v>6</v>
      </c>
      <c r="G485">
        <v>0</v>
      </c>
      <c r="H485">
        <v>0</v>
      </c>
      <c r="I485" t="s">
        <v>24</v>
      </c>
      <c r="J485" t="s">
        <v>597</v>
      </c>
      <c r="K485" t="s">
        <v>1996</v>
      </c>
      <c r="L485" s="3">
        <v>45841</v>
      </c>
      <c r="M485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2.0833333333333332E-2</v>
      </c>
      <c r="N485" s="3">
        <v>45824</v>
      </c>
      <c r="O485" s="5">
        <f>IFERROR((PlanMasine[[#This Row],[Norma]]/PlanMasine[[#This Row],[Q]])*(PlanMasine[[#This Row],[Q]]/SUMIF(C:C,PlanMasine[[#This Row],[RN]],B:B)*PlanMasine[[#This Row],[KPLQ]]),0)</f>
        <v>30</v>
      </c>
      <c r="P485">
        <v>215460</v>
      </c>
      <c r="Q485">
        <f>COUNTIF(PROMJENA!A:A,PlanMasine[[#This Row],[KPL]]&amp;"-"&amp;PlanMasine[[#This Row],[RN]])</f>
        <v>0</v>
      </c>
      <c r="R485">
        <f>IFERROR(INDEX(REDOSLIJED!A:A,MATCH(PlanMasine[[#This Row],[KPL]],REDOSLIJED!B:B,0)),MAX(REDOSLIJED!A:A)+1)</f>
        <v>45</v>
      </c>
      <c r="S485" s="9">
        <f>SUM($M$2:M485)</f>
        <v>17.899375000000006</v>
      </c>
      <c r="T485" s="3">
        <f>PlanMasine[[#This Row],[Datum SAS]]-1</f>
        <v>45823</v>
      </c>
      <c r="U485">
        <f>WEEKDAY(PlanMasine[[#This Row],[ZAVRŠETAK MAŠINSKE]],2)</f>
        <v>7</v>
      </c>
      <c r="V485" s="3">
        <f>IF(WEEKDAY(PlanMasine[[#This Row],[Datum SAS]]-1,2)=7,PlanMasine[[#This Row],[Datum SAS]]-3,PlanMasine[[#This Row],[Datum SAS]]-1)</f>
        <v>45821</v>
      </c>
      <c r="W485">
        <f>WEEKNUM(PlanMasine[[#This Row],[Column2]],1)</f>
        <v>24</v>
      </c>
    </row>
    <row r="486" spans="1:23" x14ac:dyDescent="0.35">
      <c r="A486">
        <v>1022085</v>
      </c>
      <c r="B486">
        <v>1</v>
      </c>
      <c r="C486">
        <v>1022001</v>
      </c>
      <c r="D486" t="s">
        <v>1612</v>
      </c>
      <c r="E486">
        <v>120</v>
      </c>
      <c r="F486">
        <v>6</v>
      </c>
      <c r="G486">
        <v>0</v>
      </c>
      <c r="H486">
        <v>0</v>
      </c>
      <c r="I486" t="s">
        <v>24</v>
      </c>
      <c r="J486" t="s">
        <v>597</v>
      </c>
      <c r="K486" t="s">
        <v>1996</v>
      </c>
      <c r="L486" s="3">
        <v>45841</v>
      </c>
      <c r="M486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1.3888888888888888E-2</v>
      </c>
      <c r="N486" s="3">
        <v>45824</v>
      </c>
      <c r="O486" s="5">
        <f>IFERROR((PlanMasine[[#This Row],[Norma]]/PlanMasine[[#This Row],[Q]])*(PlanMasine[[#This Row],[Q]]/SUMIF(C:C,PlanMasine[[#This Row],[RN]],B:B)*PlanMasine[[#This Row],[KPLQ]]),0)</f>
        <v>20</v>
      </c>
      <c r="P486">
        <v>215459</v>
      </c>
      <c r="Q486">
        <f>COUNTIF(PROMJENA!A:A,PlanMasine[[#This Row],[KPL]]&amp;"-"&amp;PlanMasine[[#This Row],[RN]])</f>
        <v>0</v>
      </c>
      <c r="R486">
        <f>IFERROR(INDEX(REDOSLIJED!A:A,MATCH(PlanMasine[[#This Row],[KPL]],REDOSLIJED!B:B,0)),MAX(REDOSLIJED!A:A)+1)</f>
        <v>45</v>
      </c>
      <c r="S486" s="9">
        <f>SUM($M$2:M486)</f>
        <v>17.913263888888896</v>
      </c>
      <c r="T486" s="3">
        <f>PlanMasine[[#This Row],[Datum SAS]]-1</f>
        <v>45823</v>
      </c>
      <c r="U486">
        <f>WEEKDAY(PlanMasine[[#This Row],[ZAVRŠETAK MAŠINSKE]],2)</f>
        <v>7</v>
      </c>
      <c r="V486" s="3">
        <f>IF(WEEKDAY(PlanMasine[[#This Row],[Datum SAS]]-1,2)=7,PlanMasine[[#This Row],[Datum SAS]]-3,PlanMasine[[#This Row],[Datum SAS]]-1)</f>
        <v>45821</v>
      </c>
      <c r="W486">
        <f>WEEKNUM(PlanMasine[[#This Row],[Column2]],1)</f>
        <v>24</v>
      </c>
    </row>
    <row r="487" spans="1:23" x14ac:dyDescent="0.35">
      <c r="A487">
        <v>1022085</v>
      </c>
      <c r="B487">
        <v>1</v>
      </c>
      <c r="C487">
        <v>1022044</v>
      </c>
      <c r="D487" t="s">
        <v>1710</v>
      </c>
      <c r="E487">
        <v>90</v>
      </c>
      <c r="F487">
        <v>6</v>
      </c>
      <c r="G487">
        <v>0</v>
      </c>
      <c r="H487">
        <v>0</v>
      </c>
      <c r="I487" t="s">
        <v>24</v>
      </c>
      <c r="J487" t="s">
        <v>597</v>
      </c>
      <c r="K487" t="s">
        <v>1996</v>
      </c>
      <c r="L487" s="3">
        <v>45841</v>
      </c>
      <c r="M487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1.0416666666666666E-2</v>
      </c>
      <c r="N487" s="3">
        <v>45824</v>
      </c>
      <c r="O487" s="5">
        <f>IFERROR((PlanMasine[[#This Row],[Norma]]/PlanMasine[[#This Row],[Q]])*(PlanMasine[[#This Row],[Q]]/SUMIF(C:C,PlanMasine[[#This Row],[RN]],B:B)*PlanMasine[[#This Row],[KPLQ]]),0)</f>
        <v>15</v>
      </c>
      <c r="P487">
        <v>215507</v>
      </c>
      <c r="Q487">
        <f>COUNTIF(PROMJENA!A:A,PlanMasine[[#This Row],[KPL]]&amp;"-"&amp;PlanMasine[[#This Row],[RN]])</f>
        <v>0</v>
      </c>
      <c r="R487">
        <f>IFERROR(INDEX(REDOSLIJED!A:A,MATCH(PlanMasine[[#This Row],[KPL]],REDOSLIJED!B:B,0)),MAX(REDOSLIJED!A:A)+1)</f>
        <v>45</v>
      </c>
      <c r="S487" s="9">
        <f>SUM($M$2:M487)</f>
        <v>17.923680555555563</v>
      </c>
      <c r="T487" s="3">
        <f>PlanMasine[[#This Row],[Datum SAS]]-1</f>
        <v>45823</v>
      </c>
      <c r="U487">
        <f>WEEKDAY(PlanMasine[[#This Row],[ZAVRŠETAK MAŠINSKE]],2)</f>
        <v>7</v>
      </c>
      <c r="V487" s="3">
        <f>IF(WEEKDAY(PlanMasine[[#This Row],[Datum SAS]]-1,2)=7,PlanMasine[[#This Row],[Datum SAS]]-3,PlanMasine[[#This Row],[Datum SAS]]-1)</f>
        <v>45821</v>
      </c>
      <c r="W487">
        <f>WEEKNUM(PlanMasine[[#This Row],[Column2]],1)</f>
        <v>24</v>
      </c>
    </row>
    <row r="488" spans="1:23" x14ac:dyDescent="0.35">
      <c r="A488">
        <v>1022086</v>
      </c>
      <c r="B488">
        <v>1</v>
      </c>
      <c r="C488">
        <v>1022001</v>
      </c>
      <c r="D488" t="s">
        <v>1612</v>
      </c>
      <c r="E488">
        <v>120</v>
      </c>
      <c r="F488">
        <v>6</v>
      </c>
      <c r="G488">
        <v>0</v>
      </c>
      <c r="H488">
        <v>0</v>
      </c>
      <c r="I488" t="s">
        <v>24</v>
      </c>
      <c r="J488" t="s">
        <v>597</v>
      </c>
      <c r="K488" t="s">
        <v>1996</v>
      </c>
      <c r="L488" s="3">
        <v>45841</v>
      </c>
      <c r="M488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1.3888888888888888E-2</v>
      </c>
      <c r="N488" s="3">
        <v>45824</v>
      </c>
      <c r="O488" s="5">
        <f>IFERROR((PlanMasine[[#This Row],[Norma]]/PlanMasine[[#This Row],[Q]])*(PlanMasine[[#This Row],[Q]]/SUMIF(C:C,PlanMasine[[#This Row],[RN]],B:B)*PlanMasine[[#This Row],[KPLQ]]),0)</f>
        <v>20</v>
      </c>
      <c r="P488">
        <v>215459</v>
      </c>
      <c r="Q488">
        <f>COUNTIF(PROMJENA!A:A,PlanMasine[[#This Row],[KPL]]&amp;"-"&amp;PlanMasine[[#This Row],[RN]])</f>
        <v>0</v>
      </c>
      <c r="R488">
        <f>IFERROR(INDEX(REDOSLIJED!A:A,MATCH(PlanMasine[[#This Row],[KPL]],REDOSLIJED!B:B,0)),MAX(REDOSLIJED!A:A)+1)</f>
        <v>45</v>
      </c>
      <c r="S488" s="9">
        <f>SUM($M$2:M488)</f>
        <v>17.937569444444453</v>
      </c>
      <c r="T488" s="3">
        <f>PlanMasine[[#This Row],[Datum SAS]]-1</f>
        <v>45823</v>
      </c>
      <c r="U488">
        <f>WEEKDAY(PlanMasine[[#This Row],[ZAVRŠETAK MAŠINSKE]],2)</f>
        <v>7</v>
      </c>
      <c r="V488" s="3">
        <f>IF(WEEKDAY(PlanMasine[[#This Row],[Datum SAS]]-1,2)=7,PlanMasine[[#This Row],[Datum SAS]]-3,PlanMasine[[#This Row],[Datum SAS]]-1)</f>
        <v>45821</v>
      </c>
      <c r="W488">
        <f>WEEKNUM(PlanMasine[[#This Row],[Column2]],1)</f>
        <v>24</v>
      </c>
    </row>
    <row r="489" spans="1:23" x14ac:dyDescent="0.35">
      <c r="A489">
        <v>1022086</v>
      </c>
      <c r="B489">
        <v>1</v>
      </c>
      <c r="C489">
        <v>1022002</v>
      </c>
      <c r="D489" t="s">
        <v>1623</v>
      </c>
      <c r="E489">
        <v>180</v>
      </c>
      <c r="F489">
        <v>6</v>
      </c>
      <c r="G489">
        <v>0</v>
      </c>
      <c r="H489">
        <v>0</v>
      </c>
      <c r="I489" t="s">
        <v>24</v>
      </c>
      <c r="J489" t="s">
        <v>597</v>
      </c>
      <c r="K489" t="s">
        <v>1996</v>
      </c>
      <c r="L489" s="3">
        <v>45841</v>
      </c>
      <c r="M489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2.0833333333333332E-2</v>
      </c>
      <c r="N489" s="3">
        <v>45824</v>
      </c>
      <c r="O489" s="5">
        <f>IFERROR((PlanMasine[[#This Row],[Norma]]/PlanMasine[[#This Row],[Q]])*(PlanMasine[[#This Row],[Q]]/SUMIF(C:C,PlanMasine[[#This Row],[RN]],B:B)*PlanMasine[[#This Row],[KPLQ]]),0)</f>
        <v>30</v>
      </c>
      <c r="P489">
        <v>215460</v>
      </c>
      <c r="Q489">
        <f>COUNTIF(PROMJENA!A:A,PlanMasine[[#This Row],[KPL]]&amp;"-"&amp;PlanMasine[[#This Row],[RN]])</f>
        <v>0</v>
      </c>
      <c r="R489">
        <f>IFERROR(INDEX(REDOSLIJED!A:A,MATCH(PlanMasine[[#This Row],[KPL]],REDOSLIJED!B:B,0)),MAX(REDOSLIJED!A:A)+1)</f>
        <v>45</v>
      </c>
      <c r="S489" s="9">
        <f>SUM($M$2:M489)</f>
        <v>17.958402777777785</v>
      </c>
      <c r="T489" s="3">
        <f>PlanMasine[[#This Row],[Datum SAS]]-1</f>
        <v>45823</v>
      </c>
      <c r="U489">
        <f>WEEKDAY(PlanMasine[[#This Row],[ZAVRŠETAK MAŠINSKE]],2)</f>
        <v>7</v>
      </c>
      <c r="V489" s="3">
        <f>IF(WEEKDAY(PlanMasine[[#This Row],[Datum SAS]]-1,2)=7,PlanMasine[[#This Row],[Datum SAS]]-3,PlanMasine[[#This Row],[Datum SAS]]-1)</f>
        <v>45821</v>
      </c>
      <c r="W489">
        <f>WEEKNUM(PlanMasine[[#This Row],[Column2]],1)</f>
        <v>24</v>
      </c>
    </row>
    <row r="490" spans="1:23" x14ac:dyDescent="0.35">
      <c r="A490">
        <v>1022086</v>
      </c>
      <c r="B490">
        <v>1</v>
      </c>
      <c r="C490">
        <v>1022044</v>
      </c>
      <c r="D490" t="s">
        <v>1710</v>
      </c>
      <c r="E490">
        <v>90</v>
      </c>
      <c r="F490">
        <v>6</v>
      </c>
      <c r="G490">
        <v>0</v>
      </c>
      <c r="H490">
        <v>0</v>
      </c>
      <c r="I490" t="s">
        <v>24</v>
      </c>
      <c r="J490" t="s">
        <v>597</v>
      </c>
      <c r="K490" t="s">
        <v>1996</v>
      </c>
      <c r="L490" s="3">
        <v>45841</v>
      </c>
      <c r="M490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1.0416666666666666E-2</v>
      </c>
      <c r="N490" s="3">
        <v>45824</v>
      </c>
      <c r="O490" s="5">
        <f>IFERROR((PlanMasine[[#This Row],[Norma]]/PlanMasine[[#This Row],[Q]])*(PlanMasine[[#This Row],[Q]]/SUMIF(C:C,PlanMasine[[#This Row],[RN]],B:B)*PlanMasine[[#This Row],[KPLQ]]),0)</f>
        <v>15</v>
      </c>
      <c r="P490">
        <v>215507</v>
      </c>
      <c r="Q490">
        <f>COUNTIF(PROMJENA!A:A,PlanMasine[[#This Row],[KPL]]&amp;"-"&amp;PlanMasine[[#This Row],[RN]])</f>
        <v>0</v>
      </c>
      <c r="R490">
        <f>IFERROR(INDEX(REDOSLIJED!A:A,MATCH(PlanMasine[[#This Row],[KPL]],REDOSLIJED!B:B,0)),MAX(REDOSLIJED!A:A)+1)</f>
        <v>45</v>
      </c>
      <c r="S490" s="9">
        <f>SUM($M$2:M490)</f>
        <v>17.968819444444453</v>
      </c>
      <c r="T490" s="3">
        <f>PlanMasine[[#This Row],[Datum SAS]]-1</f>
        <v>45823</v>
      </c>
      <c r="U490">
        <f>WEEKDAY(PlanMasine[[#This Row],[ZAVRŠETAK MAŠINSKE]],2)</f>
        <v>7</v>
      </c>
      <c r="V490" s="3">
        <f>IF(WEEKDAY(PlanMasine[[#This Row],[Datum SAS]]-1,2)=7,PlanMasine[[#This Row],[Datum SAS]]-3,PlanMasine[[#This Row],[Datum SAS]]-1)</f>
        <v>45821</v>
      </c>
      <c r="W490">
        <f>WEEKNUM(PlanMasine[[#This Row],[Column2]],1)</f>
        <v>24</v>
      </c>
    </row>
    <row r="491" spans="1:23" x14ac:dyDescent="0.35">
      <c r="A491">
        <v>1024893</v>
      </c>
      <c r="B491">
        <v>1</v>
      </c>
      <c r="C491">
        <v>1024874</v>
      </c>
      <c r="D491" t="s">
        <v>243</v>
      </c>
      <c r="E491">
        <v>10</v>
      </c>
      <c r="F491">
        <v>1</v>
      </c>
      <c r="G491">
        <v>0</v>
      </c>
      <c r="H491">
        <v>0</v>
      </c>
      <c r="I491" t="s">
        <v>24</v>
      </c>
      <c r="J491" t="s">
        <v>597</v>
      </c>
      <c r="K491" t="s">
        <v>1997</v>
      </c>
      <c r="L491" s="3">
        <v>45838</v>
      </c>
      <c r="M491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6.9444444444444441E-3</v>
      </c>
      <c r="N491" s="3">
        <v>45824</v>
      </c>
      <c r="O491" s="5">
        <f>IFERROR((PlanMasine[[#This Row],[Norma]]/PlanMasine[[#This Row],[Q]])*(PlanMasine[[#This Row],[Q]]/SUMIF(C:C,PlanMasine[[#This Row],[RN]],B:B)*PlanMasine[[#This Row],[KPLQ]]),0)</f>
        <v>10</v>
      </c>
      <c r="P491">
        <v>155678</v>
      </c>
      <c r="Q491">
        <f>COUNTIF(PROMJENA!A:A,PlanMasine[[#This Row],[KPL]]&amp;"-"&amp;PlanMasine[[#This Row],[RN]])</f>
        <v>0</v>
      </c>
      <c r="R491">
        <f>IFERROR(INDEX(REDOSLIJED!A:A,MATCH(PlanMasine[[#This Row],[KPL]],REDOSLIJED!B:B,0)),MAX(REDOSLIJED!A:A)+1)</f>
        <v>45</v>
      </c>
      <c r="S491" s="9">
        <f>SUM($M$2:M491)</f>
        <v>17.975763888888896</v>
      </c>
      <c r="T491" s="3">
        <f>PlanMasine[[#This Row],[Datum SAS]]-1</f>
        <v>45823</v>
      </c>
      <c r="U491">
        <f>WEEKDAY(PlanMasine[[#This Row],[ZAVRŠETAK MAŠINSKE]],2)</f>
        <v>7</v>
      </c>
      <c r="V491" s="3">
        <f>IF(WEEKDAY(PlanMasine[[#This Row],[Datum SAS]]-1,2)=7,PlanMasine[[#This Row],[Datum SAS]]-3,PlanMasine[[#This Row],[Datum SAS]]-1)</f>
        <v>45821</v>
      </c>
      <c r="W491">
        <f>WEEKNUM(PlanMasine[[#This Row],[Column2]],1)</f>
        <v>24</v>
      </c>
    </row>
    <row r="492" spans="1:23" x14ac:dyDescent="0.35">
      <c r="A492">
        <v>1024893</v>
      </c>
      <c r="B492">
        <v>1</v>
      </c>
      <c r="C492">
        <v>1024888</v>
      </c>
      <c r="D492" t="s">
        <v>239</v>
      </c>
      <c r="E492">
        <v>10</v>
      </c>
      <c r="F492">
        <v>1</v>
      </c>
      <c r="G492">
        <v>0</v>
      </c>
      <c r="H492">
        <v>0</v>
      </c>
      <c r="I492" t="s">
        <v>24</v>
      </c>
      <c r="J492" t="s">
        <v>597</v>
      </c>
      <c r="K492" t="s">
        <v>1997</v>
      </c>
      <c r="L492" s="3">
        <v>45838</v>
      </c>
      <c r="M492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6.9444444444444441E-3</v>
      </c>
      <c r="N492" s="3">
        <v>45824</v>
      </c>
      <c r="O492" s="5">
        <f>IFERROR((PlanMasine[[#This Row],[Norma]]/PlanMasine[[#This Row],[Q]])*(PlanMasine[[#This Row],[Q]]/SUMIF(C:C,PlanMasine[[#This Row],[RN]],B:B)*PlanMasine[[#This Row],[KPLQ]]),0)</f>
        <v>10</v>
      </c>
      <c r="P492">
        <v>155692</v>
      </c>
      <c r="Q492">
        <f>COUNTIF(PROMJENA!A:A,PlanMasine[[#This Row],[KPL]]&amp;"-"&amp;PlanMasine[[#This Row],[RN]])</f>
        <v>0</v>
      </c>
      <c r="R492">
        <f>IFERROR(INDEX(REDOSLIJED!A:A,MATCH(PlanMasine[[#This Row],[KPL]],REDOSLIJED!B:B,0)),MAX(REDOSLIJED!A:A)+1)</f>
        <v>45</v>
      </c>
      <c r="S492" s="9">
        <f>SUM($M$2:M492)</f>
        <v>17.982708333333338</v>
      </c>
      <c r="T492" s="3">
        <f>PlanMasine[[#This Row],[Datum SAS]]-1</f>
        <v>45823</v>
      </c>
      <c r="U492">
        <f>WEEKDAY(PlanMasine[[#This Row],[ZAVRŠETAK MAŠINSKE]],2)</f>
        <v>7</v>
      </c>
      <c r="V492" s="3">
        <f>IF(WEEKDAY(PlanMasine[[#This Row],[Datum SAS]]-1,2)=7,PlanMasine[[#This Row],[Datum SAS]]-3,PlanMasine[[#This Row],[Datum SAS]]-1)</f>
        <v>45821</v>
      </c>
      <c r="W492">
        <f>WEEKNUM(PlanMasine[[#This Row],[Column2]],1)</f>
        <v>24</v>
      </c>
    </row>
    <row r="493" spans="1:23" x14ac:dyDescent="0.35">
      <c r="A493">
        <v>1025693</v>
      </c>
      <c r="B493">
        <v>1</v>
      </c>
      <c r="C493">
        <v>1025789</v>
      </c>
      <c r="D493" t="s">
        <v>453</v>
      </c>
      <c r="E493">
        <v>30</v>
      </c>
      <c r="F493">
        <v>1</v>
      </c>
      <c r="G493">
        <v>0</v>
      </c>
      <c r="H493">
        <v>0</v>
      </c>
      <c r="I493" t="s">
        <v>24</v>
      </c>
      <c r="J493" t="s">
        <v>597</v>
      </c>
      <c r="K493" t="s">
        <v>1998</v>
      </c>
      <c r="L493" s="3">
        <v>45841</v>
      </c>
      <c r="M493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2.0833333333333332E-2</v>
      </c>
      <c r="N493" s="3">
        <v>45824</v>
      </c>
      <c r="O493" s="5">
        <f>IFERROR((PlanMasine[[#This Row],[Norma]]/PlanMasine[[#This Row],[Q]])*(PlanMasine[[#This Row],[Q]]/SUMIF(C:C,PlanMasine[[#This Row],[RN]],B:B)*PlanMasine[[#This Row],[KPLQ]]),0)</f>
        <v>30</v>
      </c>
      <c r="P493">
        <v>175904</v>
      </c>
      <c r="Q493">
        <f>COUNTIF(PROMJENA!A:A,PlanMasine[[#This Row],[KPL]]&amp;"-"&amp;PlanMasine[[#This Row],[RN]])</f>
        <v>0</v>
      </c>
      <c r="R493">
        <f>IFERROR(INDEX(REDOSLIJED!A:A,MATCH(PlanMasine[[#This Row],[KPL]],REDOSLIJED!B:B,0)),MAX(REDOSLIJED!A:A)+1)</f>
        <v>45</v>
      </c>
      <c r="S493" s="9">
        <f>SUM($M$2:M493)</f>
        <v>18.003541666666671</v>
      </c>
      <c r="T493" s="3">
        <f>PlanMasine[[#This Row],[Datum SAS]]-1</f>
        <v>45823</v>
      </c>
      <c r="U493">
        <f>WEEKDAY(PlanMasine[[#This Row],[ZAVRŠETAK MAŠINSKE]],2)</f>
        <v>7</v>
      </c>
      <c r="V493" s="3">
        <f>IF(WEEKDAY(PlanMasine[[#This Row],[Datum SAS]]-1,2)=7,PlanMasine[[#This Row],[Datum SAS]]-3,PlanMasine[[#This Row],[Datum SAS]]-1)</f>
        <v>45821</v>
      </c>
      <c r="W493">
        <f>WEEKNUM(PlanMasine[[#This Row],[Column2]],1)</f>
        <v>24</v>
      </c>
    </row>
    <row r="494" spans="1:23" x14ac:dyDescent="0.35">
      <c r="A494">
        <v>1025693</v>
      </c>
      <c r="B494">
        <v>1</v>
      </c>
      <c r="C494">
        <v>1025786</v>
      </c>
      <c r="D494" t="s">
        <v>452</v>
      </c>
      <c r="E494">
        <v>10</v>
      </c>
      <c r="F494">
        <v>1</v>
      </c>
      <c r="G494">
        <v>0</v>
      </c>
      <c r="H494">
        <v>0</v>
      </c>
      <c r="I494" t="s">
        <v>24</v>
      </c>
      <c r="J494" t="s">
        <v>597</v>
      </c>
      <c r="K494" t="s">
        <v>1998</v>
      </c>
      <c r="L494" s="3">
        <v>45841</v>
      </c>
      <c r="M494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6.9444444444444441E-3</v>
      </c>
      <c r="N494" s="3">
        <v>45824</v>
      </c>
      <c r="O494" s="5">
        <f>IFERROR((PlanMasine[[#This Row],[Norma]]/PlanMasine[[#This Row],[Q]])*(PlanMasine[[#This Row],[Q]]/SUMIF(C:C,PlanMasine[[#This Row],[RN]],B:B)*PlanMasine[[#This Row],[KPLQ]]),0)</f>
        <v>10</v>
      </c>
      <c r="P494">
        <v>175901</v>
      </c>
      <c r="Q494">
        <f>COUNTIF(PROMJENA!A:A,PlanMasine[[#This Row],[KPL]]&amp;"-"&amp;PlanMasine[[#This Row],[RN]])</f>
        <v>0</v>
      </c>
      <c r="R494">
        <f>IFERROR(INDEX(REDOSLIJED!A:A,MATCH(PlanMasine[[#This Row],[KPL]],REDOSLIJED!B:B,0)),MAX(REDOSLIJED!A:A)+1)</f>
        <v>45</v>
      </c>
      <c r="S494" s="9">
        <f>SUM($M$2:M494)</f>
        <v>18.010486111111113</v>
      </c>
      <c r="T494" s="3">
        <f>PlanMasine[[#This Row],[Datum SAS]]-1</f>
        <v>45823</v>
      </c>
      <c r="U494">
        <f>WEEKDAY(PlanMasine[[#This Row],[ZAVRŠETAK MAŠINSKE]],2)</f>
        <v>7</v>
      </c>
      <c r="V494" s="3">
        <f>IF(WEEKDAY(PlanMasine[[#This Row],[Datum SAS]]-1,2)=7,PlanMasine[[#This Row],[Datum SAS]]-3,PlanMasine[[#This Row],[Datum SAS]]-1)</f>
        <v>45821</v>
      </c>
      <c r="W494">
        <f>WEEKNUM(PlanMasine[[#This Row],[Column2]],1)</f>
        <v>24</v>
      </c>
    </row>
    <row r="495" spans="1:23" x14ac:dyDescent="0.35">
      <c r="A495">
        <v>1025693</v>
      </c>
      <c r="B495">
        <v>1</v>
      </c>
      <c r="C495">
        <v>1025783</v>
      </c>
      <c r="D495" t="s">
        <v>1888</v>
      </c>
      <c r="E495">
        <v>25</v>
      </c>
      <c r="F495">
        <v>1</v>
      </c>
      <c r="G495">
        <v>0</v>
      </c>
      <c r="H495">
        <v>0</v>
      </c>
      <c r="I495" t="s">
        <v>24</v>
      </c>
      <c r="J495" t="s">
        <v>597</v>
      </c>
      <c r="K495" t="s">
        <v>1998</v>
      </c>
      <c r="L495" s="3">
        <v>45841</v>
      </c>
      <c r="M495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1.7361111111111112E-2</v>
      </c>
      <c r="N495" s="3">
        <v>45824</v>
      </c>
      <c r="O495" s="5">
        <f>IFERROR((PlanMasine[[#This Row],[Norma]]/PlanMasine[[#This Row],[Q]])*(PlanMasine[[#This Row],[Q]]/SUMIF(C:C,PlanMasine[[#This Row],[RN]],B:B)*PlanMasine[[#This Row],[KPLQ]]),0)</f>
        <v>25</v>
      </c>
      <c r="P495">
        <v>175898</v>
      </c>
      <c r="Q495">
        <f>COUNTIF(PROMJENA!A:A,PlanMasine[[#This Row],[KPL]]&amp;"-"&amp;PlanMasine[[#This Row],[RN]])</f>
        <v>0</v>
      </c>
      <c r="R495">
        <f>IFERROR(INDEX(REDOSLIJED!A:A,MATCH(PlanMasine[[#This Row],[KPL]],REDOSLIJED!B:B,0)),MAX(REDOSLIJED!A:A)+1)</f>
        <v>45</v>
      </c>
      <c r="S495" s="9">
        <f>SUM($M$2:M495)</f>
        <v>18.027847222222224</v>
      </c>
      <c r="T495" s="3">
        <f>PlanMasine[[#This Row],[Datum SAS]]-1</f>
        <v>45823</v>
      </c>
      <c r="U495">
        <f>WEEKDAY(PlanMasine[[#This Row],[ZAVRŠETAK MAŠINSKE]],2)</f>
        <v>7</v>
      </c>
      <c r="V495" s="3">
        <f>IF(WEEKDAY(PlanMasine[[#This Row],[Datum SAS]]-1,2)=7,PlanMasine[[#This Row],[Datum SAS]]-3,PlanMasine[[#This Row],[Datum SAS]]-1)</f>
        <v>45821</v>
      </c>
      <c r="W495">
        <f>WEEKNUM(PlanMasine[[#This Row],[Column2]],1)</f>
        <v>24</v>
      </c>
    </row>
    <row r="496" spans="1:23" x14ac:dyDescent="0.35">
      <c r="A496">
        <v>1025693</v>
      </c>
      <c r="B496">
        <v>1</v>
      </c>
      <c r="C496">
        <v>1025714</v>
      </c>
      <c r="D496" t="s">
        <v>451</v>
      </c>
      <c r="E496">
        <v>15</v>
      </c>
      <c r="F496">
        <v>1</v>
      </c>
      <c r="G496">
        <v>0</v>
      </c>
      <c r="H496">
        <v>0</v>
      </c>
      <c r="I496" t="s">
        <v>24</v>
      </c>
      <c r="J496" t="s">
        <v>597</v>
      </c>
      <c r="K496" t="s">
        <v>1998</v>
      </c>
      <c r="L496" s="3">
        <v>45841</v>
      </c>
      <c r="M496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1.0416666666666666E-2</v>
      </c>
      <c r="N496" s="3">
        <v>45824</v>
      </c>
      <c r="O496" s="5">
        <f>IFERROR((PlanMasine[[#This Row],[Norma]]/PlanMasine[[#This Row],[Q]])*(PlanMasine[[#This Row],[Q]]/SUMIF(C:C,PlanMasine[[#This Row],[RN]],B:B)*PlanMasine[[#This Row],[KPLQ]]),0)</f>
        <v>15</v>
      </c>
      <c r="P496">
        <v>175819</v>
      </c>
      <c r="Q496">
        <f>COUNTIF(PROMJENA!A:A,PlanMasine[[#This Row],[KPL]]&amp;"-"&amp;PlanMasine[[#This Row],[RN]])</f>
        <v>0</v>
      </c>
      <c r="R496">
        <f>IFERROR(INDEX(REDOSLIJED!A:A,MATCH(PlanMasine[[#This Row],[KPL]],REDOSLIJED!B:B,0)),MAX(REDOSLIJED!A:A)+1)</f>
        <v>45</v>
      </c>
      <c r="S496" s="9">
        <f>SUM($M$2:M496)</f>
        <v>18.038263888888892</v>
      </c>
      <c r="T496" s="3">
        <f>PlanMasine[[#This Row],[Datum SAS]]-1</f>
        <v>45823</v>
      </c>
      <c r="U496">
        <f>WEEKDAY(PlanMasine[[#This Row],[ZAVRŠETAK MAŠINSKE]],2)</f>
        <v>7</v>
      </c>
      <c r="V496" s="3">
        <f>IF(WEEKDAY(PlanMasine[[#This Row],[Datum SAS]]-1,2)=7,PlanMasine[[#This Row],[Datum SAS]]-3,PlanMasine[[#This Row],[Datum SAS]]-1)</f>
        <v>45821</v>
      </c>
      <c r="W496">
        <f>WEEKNUM(PlanMasine[[#This Row],[Column2]],1)</f>
        <v>24</v>
      </c>
    </row>
    <row r="497" spans="1:23" x14ac:dyDescent="0.35">
      <c r="A497">
        <v>1026317</v>
      </c>
      <c r="B497">
        <v>1</v>
      </c>
      <c r="C497">
        <v>1026362</v>
      </c>
      <c r="D497" t="s">
        <v>1860</v>
      </c>
      <c r="E497">
        <v>60</v>
      </c>
      <c r="F497">
        <v>1</v>
      </c>
      <c r="G497">
        <v>0</v>
      </c>
      <c r="H497">
        <v>0</v>
      </c>
      <c r="I497" t="s">
        <v>24</v>
      </c>
      <c r="J497" t="s">
        <v>597</v>
      </c>
      <c r="K497" t="s">
        <v>1999</v>
      </c>
      <c r="L497" s="3">
        <v>45839</v>
      </c>
      <c r="M497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4.1666666666666664E-2</v>
      </c>
      <c r="N497" s="3">
        <v>45824</v>
      </c>
      <c r="O497" s="5">
        <f>IFERROR((PlanMasine[[#This Row],[Norma]]/PlanMasine[[#This Row],[Q]])*(PlanMasine[[#This Row],[Q]]/SUMIF(C:C,PlanMasine[[#This Row],[RN]],B:B)*PlanMasine[[#This Row],[KPLQ]]),0)</f>
        <v>60</v>
      </c>
      <c r="P497">
        <v>179960</v>
      </c>
      <c r="Q497">
        <f>COUNTIF(PROMJENA!A:A,PlanMasine[[#This Row],[KPL]]&amp;"-"&amp;PlanMasine[[#This Row],[RN]])</f>
        <v>0</v>
      </c>
      <c r="R497">
        <f>IFERROR(INDEX(REDOSLIJED!A:A,MATCH(PlanMasine[[#This Row],[KPL]],REDOSLIJED!B:B,0)),MAX(REDOSLIJED!A:A)+1)</f>
        <v>45</v>
      </c>
      <c r="S497" s="9">
        <f>SUM($M$2:M497)</f>
        <v>18.07993055555556</v>
      </c>
      <c r="T497" s="3">
        <f>PlanMasine[[#This Row],[Datum SAS]]-1</f>
        <v>45823</v>
      </c>
      <c r="U497">
        <f>WEEKDAY(PlanMasine[[#This Row],[ZAVRŠETAK MAŠINSKE]],2)</f>
        <v>7</v>
      </c>
      <c r="V497" s="3">
        <f>IF(WEEKDAY(PlanMasine[[#This Row],[Datum SAS]]-1,2)=7,PlanMasine[[#This Row],[Datum SAS]]-3,PlanMasine[[#This Row],[Datum SAS]]-1)</f>
        <v>45821</v>
      </c>
      <c r="W497">
        <f>WEEKNUM(PlanMasine[[#This Row],[Column2]],1)</f>
        <v>24</v>
      </c>
    </row>
    <row r="498" spans="1:23" x14ac:dyDescent="0.35">
      <c r="A498">
        <v>1026317</v>
      </c>
      <c r="B498">
        <v>1</v>
      </c>
      <c r="C498">
        <v>1026342</v>
      </c>
      <c r="D498" t="s">
        <v>1861</v>
      </c>
      <c r="E498">
        <v>60</v>
      </c>
      <c r="F498">
        <v>1</v>
      </c>
      <c r="G498">
        <v>0</v>
      </c>
      <c r="H498">
        <v>0</v>
      </c>
      <c r="I498" t="s">
        <v>24</v>
      </c>
      <c r="J498" t="s">
        <v>597</v>
      </c>
      <c r="K498" t="s">
        <v>1999</v>
      </c>
      <c r="L498" s="3">
        <v>45839</v>
      </c>
      <c r="M498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4.1666666666666664E-2</v>
      </c>
      <c r="N498" s="3">
        <v>45824</v>
      </c>
      <c r="O498" s="5">
        <f>IFERROR((PlanMasine[[#This Row],[Norma]]/PlanMasine[[#This Row],[Q]])*(PlanMasine[[#This Row],[Q]]/SUMIF(C:C,PlanMasine[[#This Row],[RN]],B:B)*PlanMasine[[#This Row],[KPLQ]]),0)</f>
        <v>60</v>
      </c>
      <c r="P498">
        <v>179940</v>
      </c>
      <c r="Q498">
        <f>COUNTIF(PROMJENA!A:A,PlanMasine[[#This Row],[KPL]]&amp;"-"&amp;PlanMasine[[#This Row],[RN]])</f>
        <v>0</v>
      </c>
      <c r="R498">
        <f>IFERROR(INDEX(REDOSLIJED!A:A,MATCH(PlanMasine[[#This Row],[KPL]],REDOSLIJED!B:B,0)),MAX(REDOSLIJED!A:A)+1)</f>
        <v>45</v>
      </c>
      <c r="S498" s="9">
        <f>SUM($M$2:M498)</f>
        <v>18.121597222222228</v>
      </c>
      <c r="T498" s="3">
        <f>PlanMasine[[#This Row],[Datum SAS]]-1</f>
        <v>45823</v>
      </c>
      <c r="U498">
        <f>WEEKDAY(PlanMasine[[#This Row],[ZAVRŠETAK MAŠINSKE]],2)</f>
        <v>7</v>
      </c>
      <c r="V498" s="3">
        <f>IF(WEEKDAY(PlanMasine[[#This Row],[Datum SAS]]-1,2)=7,PlanMasine[[#This Row],[Datum SAS]]-3,PlanMasine[[#This Row],[Datum SAS]]-1)</f>
        <v>45821</v>
      </c>
      <c r="W498">
        <f>WEEKNUM(PlanMasine[[#This Row],[Column2]],1)</f>
        <v>24</v>
      </c>
    </row>
    <row r="499" spans="1:23" x14ac:dyDescent="0.35">
      <c r="A499">
        <v>1026317</v>
      </c>
      <c r="B499">
        <v>1</v>
      </c>
      <c r="C499">
        <v>1026388</v>
      </c>
      <c r="D499" t="s">
        <v>1832</v>
      </c>
      <c r="E499">
        <v>7</v>
      </c>
      <c r="F499">
        <v>1</v>
      </c>
      <c r="G499">
        <v>0</v>
      </c>
      <c r="H499">
        <v>0</v>
      </c>
      <c r="I499" t="s">
        <v>24</v>
      </c>
      <c r="J499" t="s">
        <v>597</v>
      </c>
      <c r="K499" t="s">
        <v>1999</v>
      </c>
      <c r="L499" s="3">
        <v>45839</v>
      </c>
      <c r="M499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4.8611111111111112E-3</v>
      </c>
      <c r="N499" s="3">
        <v>45824</v>
      </c>
      <c r="O499" s="5">
        <f>IFERROR((PlanMasine[[#This Row],[Norma]]/PlanMasine[[#This Row],[Q]])*(PlanMasine[[#This Row],[Q]]/SUMIF(C:C,PlanMasine[[#This Row],[RN]],B:B)*PlanMasine[[#This Row],[KPLQ]]),0)</f>
        <v>7</v>
      </c>
      <c r="P499">
        <v>179986</v>
      </c>
      <c r="Q499">
        <f>COUNTIF(PROMJENA!A:A,PlanMasine[[#This Row],[KPL]]&amp;"-"&amp;PlanMasine[[#This Row],[RN]])</f>
        <v>0</v>
      </c>
      <c r="R499">
        <f>IFERROR(INDEX(REDOSLIJED!A:A,MATCH(PlanMasine[[#This Row],[KPL]],REDOSLIJED!B:B,0)),MAX(REDOSLIJED!A:A)+1)</f>
        <v>45</v>
      </c>
      <c r="S499" s="9">
        <f>SUM($M$2:M499)</f>
        <v>18.126458333333339</v>
      </c>
      <c r="T499" s="3">
        <f>PlanMasine[[#This Row],[Datum SAS]]-1</f>
        <v>45823</v>
      </c>
      <c r="U499">
        <f>WEEKDAY(PlanMasine[[#This Row],[ZAVRŠETAK MAŠINSKE]],2)</f>
        <v>7</v>
      </c>
      <c r="V499" s="3">
        <f>IF(WEEKDAY(PlanMasine[[#This Row],[Datum SAS]]-1,2)=7,PlanMasine[[#This Row],[Datum SAS]]-3,PlanMasine[[#This Row],[Datum SAS]]-1)</f>
        <v>45821</v>
      </c>
      <c r="W499">
        <f>WEEKNUM(PlanMasine[[#This Row],[Column2]],1)</f>
        <v>24</v>
      </c>
    </row>
    <row r="500" spans="1:23" x14ac:dyDescent="0.35">
      <c r="A500">
        <v>1028010</v>
      </c>
      <c r="B500">
        <v>1</v>
      </c>
      <c r="C500">
        <v>1028025</v>
      </c>
      <c r="D500" t="s">
        <v>1790</v>
      </c>
      <c r="E500">
        <v>20</v>
      </c>
      <c r="F500">
        <v>1</v>
      </c>
      <c r="G500">
        <v>0</v>
      </c>
      <c r="H500">
        <v>0</v>
      </c>
      <c r="I500" t="s">
        <v>24</v>
      </c>
      <c r="J500" t="s">
        <v>597</v>
      </c>
      <c r="K500" t="s">
        <v>2000</v>
      </c>
      <c r="L500" s="3">
        <v>45856</v>
      </c>
      <c r="M500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1.3888888888888888E-2</v>
      </c>
      <c r="N500" s="3">
        <v>45824</v>
      </c>
      <c r="O500" s="5">
        <f>IFERROR((PlanMasine[[#This Row],[Norma]]/PlanMasine[[#This Row],[Q]])*(PlanMasine[[#This Row],[Q]]/SUMIF(C:C,PlanMasine[[#This Row],[RN]],B:B)*PlanMasine[[#This Row],[KPLQ]]),0)</f>
        <v>20</v>
      </c>
      <c r="P500">
        <v>206091</v>
      </c>
      <c r="Q500">
        <f>COUNTIF(PROMJENA!A:A,PlanMasine[[#This Row],[KPL]]&amp;"-"&amp;PlanMasine[[#This Row],[RN]])</f>
        <v>0</v>
      </c>
      <c r="R500">
        <f>IFERROR(INDEX(REDOSLIJED!A:A,MATCH(PlanMasine[[#This Row],[KPL]],REDOSLIJED!B:B,0)),MAX(REDOSLIJED!A:A)+1)</f>
        <v>45</v>
      </c>
      <c r="S500" s="9">
        <f>SUM($M$2:M500)</f>
        <v>18.140347222222228</v>
      </c>
      <c r="T500" s="3">
        <f>PlanMasine[[#This Row],[Datum SAS]]-1</f>
        <v>45823</v>
      </c>
      <c r="U500">
        <f>WEEKDAY(PlanMasine[[#This Row],[ZAVRŠETAK MAŠINSKE]],2)</f>
        <v>7</v>
      </c>
      <c r="V500" s="3">
        <f>IF(WEEKDAY(PlanMasine[[#This Row],[Datum SAS]]-1,2)=7,PlanMasine[[#This Row],[Datum SAS]]-3,PlanMasine[[#This Row],[Datum SAS]]-1)</f>
        <v>45821</v>
      </c>
      <c r="W500">
        <f>WEEKNUM(PlanMasine[[#This Row],[Column2]],1)</f>
        <v>24</v>
      </c>
    </row>
    <row r="501" spans="1:23" x14ac:dyDescent="0.35">
      <c r="A501">
        <v>1004127</v>
      </c>
      <c r="B501">
        <v>1</v>
      </c>
      <c r="C501">
        <v>1004155</v>
      </c>
      <c r="D501" t="s">
        <v>1495</v>
      </c>
      <c r="E501">
        <v>360</v>
      </c>
      <c r="F501">
        <v>12</v>
      </c>
      <c r="G501">
        <v>0</v>
      </c>
      <c r="H501">
        <v>0</v>
      </c>
      <c r="I501" t="s">
        <v>24</v>
      </c>
      <c r="J501" t="s">
        <v>597</v>
      </c>
      <c r="K501" t="s">
        <v>1881</v>
      </c>
      <c r="L501" s="3">
        <v>45820</v>
      </c>
      <c r="M501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2.0833333333333332E-2</v>
      </c>
      <c r="N501" s="3">
        <v>45825</v>
      </c>
      <c r="O501" s="5">
        <f>IFERROR((PlanMasine[[#This Row],[Norma]]/PlanMasine[[#This Row],[Q]])*(PlanMasine[[#This Row],[Q]]/SUMIF(C:C,PlanMasine[[#This Row],[RN]],B:B)*PlanMasine[[#This Row],[KPLQ]]),0)</f>
        <v>30</v>
      </c>
      <c r="P501">
        <v>220643</v>
      </c>
      <c r="Q501">
        <f>COUNTIF(PROMJENA!A:A,PlanMasine[[#This Row],[KPL]]&amp;"-"&amp;PlanMasine[[#This Row],[RN]])</f>
        <v>0</v>
      </c>
      <c r="R501">
        <f>IFERROR(INDEX(REDOSLIJED!A:A,MATCH(PlanMasine[[#This Row],[KPL]],REDOSLIJED!B:B,0)),MAX(REDOSLIJED!A:A)+1)</f>
        <v>45</v>
      </c>
      <c r="S501" s="9">
        <f>SUM($M$2:M501)</f>
        <v>18.161180555555561</v>
      </c>
      <c r="T501" s="3">
        <f>PlanMasine[[#This Row],[Datum SAS]]-1</f>
        <v>45824</v>
      </c>
      <c r="U501">
        <f>WEEKDAY(PlanMasine[[#This Row],[ZAVRŠETAK MAŠINSKE]],2)</f>
        <v>1</v>
      </c>
      <c r="V501" s="3">
        <f>IF(WEEKDAY(PlanMasine[[#This Row],[Datum SAS]]-1,2)=7,PlanMasine[[#This Row],[Datum SAS]]-3,PlanMasine[[#This Row],[Datum SAS]]-1)</f>
        <v>45824</v>
      </c>
      <c r="W501">
        <f>WEEKNUM(PlanMasine[[#This Row],[Column2]],1)</f>
        <v>25</v>
      </c>
    </row>
    <row r="502" spans="1:23" x14ac:dyDescent="0.35">
      <c r="A502">
        <v>1004127</v>
      </c>
      <c r="B502">
        <v>1</v>
      </c>
      <c r="C502">
        <v>1004154</v>
      </c>
      <c r="D502" t="s">
        <v>1802</v>
      </c>
      <c r="E502">
        <v>240</v>
      </c>
      <c r="F502">
        <v>12</v>
      </c>
      <c r="G502">
        <v>0</v>
      </c>
      <c r="H502">
        <v>0</v>
      </c>
      <c r="I502" t="s">
        <v>24</v>
      </c>
      <c r="J502" t="s">
        <v>597</v>
      </c>
      <c r="K502" t="s">
        <v>1881</v>
      </c>
      <c r="L502" s="3">
        <v>45820</v>
      </c>
      <c r="M502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1.3888888888888888E-2</v>
      </c>
      <c r="N502" s="3">
        <v>45825</v>
      </c>
      <c r="O502" s="5">
        <f>IFERROR((PlanMasine[[#This Row],[Norma]]/PlanMasine[[#This Row],[Q]])*(PlanMasine[[#This Row],[Q]]/SUMIF(C:C,PlanMasine[[#This Row],[RN]],B:B)*PlanMasine[[#This Row],[KPLQ]]),0)</f>
        <v>20</v>
      </c>
      <c r="P502">
        <v>220642</v>
      </c>
      <c r="Q502">
        <f>COUNTIF(PROMJENA!A:A,PlanMasine[[#This Row],[KPL]]&amp;"-"&amp;PlanMasine[[#This Row],[RN]])</f>
        <v>0</v>
      </c>
      <c r="R502">
        <f>IFERROR(INDEX(REDOSLIJED!A:A,MATCH(PlanMasine[[#This Row],[KPL]],REDOSLIJED!B:B,0)),MAX(REDOSLIJED!A:A)+1)</f>
        <v>45</v>
      </c>
      <c r="S502" s="9">
        <f>SUM($M$2:M502)</f>
        <v>18.17506944444445</v>
      </c>
      <c r="T502" s="3">
        <f>PlanMasine[[#This Row],[Datum SAS]]-1</f>
        <v>45824</v>
      </c>
      <c r="U502">
        <f>WEEKDAY(PlanMasine[[#This Row],[ZAVRŠETAK MAŠINSKE]],2)</f>
        <v>1</v>
      </c>
      <c r="V502" s="3">
        <f>IF(WEEKDAY(PlanMasine[[#This Row],[Datum SAS]]-1,2)=7,PlanMasine[[#This Row],[Datum SAS]]-3,PlanMasine[[#This Row],[Datum SAS]]-1)</f>
        <v>45824</v>
      </c>
      <c r="W502">
        <f>WEEKNUM(PlanMasine[[#This Row],[Column2]],1)</f>
        <v>25</v>
      </c>
    </row>
    <row r="503" spans="1:23" x14ac:dyDescent="0.35">
      <c r="A503">
        <v>1023999</v>
      </c>
      <c r="B503">
        <v>12</v>
      </c>
      <c r="C503">
        <v>1024003</v>
      </c>
      <c r="D503" t="s">
        <v>1801</v>
      </c>
      <c r="E503">
        <v>180</v>
      </c>
      <c r="F503">
        <v>12</v>
      </c>
      <c r="G503">
        <v>0</v>
      </c>
      <c r="H503">
        <v>0</v>
      </c>
      <c r="I503" t="s">
        <v>24</v>
      </c>
      <c r="J503" t="s">
        <v>597</v>
      </c>
      <c r="K503" t="s">
        <v>2001</v>
      </c>
      <c r="L503" s="3">
        <v>45841</v>
      </c>
      <c r="M503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0.125</v>
      </c>
      <c r="N503" s="3">
        <v>45825</v>
      </c>
      <c r="O503" s="5">
        <f>IFERROR((PlanMasine[[#This Row],[Norma]]/PlanMasine[[#This Row],[Q]])*(PlanMasine[[#This Row],[Q]]/SUMIF(C:C,PlanMasine[[#This Row],[RN]],B:B)*PlanMasine[[#This Row],[KPLQ]]),0)</f>
        <v>180</v>
      </c>
      <c r="P503">
        <v>220685</v>
      </c>
      <c r="Q503">
        <f>COUNTIF(PROMJENA!A:A,PlanMasine[[#This Row],[KPL]]&amp;"-"&amp;PlanMasine[[#This Row],[RN]])</f>
        <v>0</v>
      </c>
      <c r="R503">
        <f>IFERROR(INDEX(REDOSLIJED!A:A,MATCH(PlanMasine[[#This Row],[KPL]],REDOSLIJED!B:B,0)),MAX(REDOSLIJED!A:A)+1)</f>
        <v>45</v>
      </c>
      <c r="S503" s="9">
        <f>SUM($M$2:M503)</f>
        <v>18.30006944444445</v>
      </c>
      <c r="T503" s="3">
        <f>PlanMasine[[#This Row],[Datum SAS]]-1</f>
        <v>45824</v>
      </c>
      <c r="U503">
        <f>WEEKDAY(PlanMasine[[#This Row],[ZAVRŠETAK MAŠINSKE]],2)</f>
        <v>1</v>
      </c>
      <c r="V503" s="3">
        <f>IF(WEEKDAY(PlanMasine[[#This Row],[Datum SAS]]-1,2)=7,PlanMasine[[#This Row],[Datum SAS]]-3,PlanMasine[[#This Row],[Datum SAS]]-1)</f>
        <v>45824</v>
      </c>
      <c r="W503">
        <f>WEEKNUM(PlanMasine[[#This Row],[Column2]],1)</f>
        <v>25</v>
      </c>
    </row>
    <row r="504" spans="1:23" x14ac:dyDescent="0.35">
      <c r="A504">
        <v>1024022</v>
      </c>
      <c r="B504">
        <v>1</v>
      </c>
      <c r="C504">
        <v>1024039</v>
      </c>
      <c r="D504" t="s">
        <v>1802</v>
      </c>
      <c r="E504">
        <v>240</v>
      </c>
      <c r="F504">
        <v>12</v>
      </c>
      <c r="G504">
        <v>0</v>
      </c>
      <c r="H504">
        <v>0</v>
      </c>
      <c r="I504" t="s">
        <v>24</v>
      </c>
      <c r="J504" t="s">
        <v>597</v>
      </c>
      <c r="K504" t="s">
        <v>2002</v>
      </c>
      <c r="L504" s="3">
        <v>45841</v>
      </c>
      <c r="M504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1.3888888888888888E-2</v>
      </c>
      <c r="N504" s="3">
        <v>45825</v>
      </c>
      <c r="O504" s="5">
        <f>IFERROR((PlanMasine[[#This Row],[Norma]]/PlanMasine[[#This Row],[Q]])*(PlanMasine[[#This Row],[Q]]/SUMIF(C:C,PlanMasine[[#This Row],[RN]],B:B)*PlanMasine[[#This Row],[KPLQ]]),0)</f>
        <v>20</v>
      </c>
      <c r="P504">
        <v>220642</v>
      </c>
      <c r="Q504">
        <f>COUNTIF(PROMJENA!A:A,PlanMasine[[#This Row],[KPL]]&amp;"-"&amp;PlanMasine[[#This Row],[RN]])</f>
        <v>0</v>
      </c>
      <c r="R504">
        <f>IFERROR(INDEX(REDOSLIJED!A:A,MATCH(PlanMasine[[#This Row],[KPL]],REDOSLIJED!B:B,0)),MAX(REDOSLIJED!A:A)+1)</f>
        <v>45</v>
      </c>
      <c r="S504" s="9">
        <f>SUM($M$2:M504)</f>
        <v>18.313958333333339</v>
      </c>
      <c r="T504" s="3">
        <f>PlanMasine[[#This Row],[Datum SAS]]-1</f>
        <v>45824</v>
      </c>
      <c r="U504">
        <f>WEEKDAY(PlanMasine[[#This Row],[ZAVRŠETAK MAŠINSKE]],2)</f>
        <v>1</v>
      </c>
      <c r="V504" s="3">
        <f>IF(WEEKDAY(PlanMasine[[#This Row],[Datum SAS]]-1,2)=7,PlanMasine[[#This Row],[Datum SAS]]-3,PlanMasine[[#This Row],[Datum SAS]]-1)</f>
        <v>45824</v>
      </c>
      <c r="W504">
        <f>WEEKNUM(PlanMasine[[#This Row],[Column2]],1)</f>
        <v>25</v>
      </c>
    </row>
    <row r="505" spans="1:23" x14ac:dyDescent="0.35">
      <c r="A505">
        <v>1024022</v>
      </c>
      <c r="B505">
        <v>1</v>
      </c>
      <c r="C505">
        <v>1024040</v>
      </c>
      <c r="D505" t="s">
        <v>1495</v>
      </c>
      <c r="E505">
        <v>360</v>
      </c>
      <c r="F505">
        <v>12</v>
      </c>
      <c r="G505">
        <v>0</v>
      </c>
      <c r="H505">
        <v>0</v>
      </c>
      <c r="I505" t="s">
        <v>24</v>
      </c>
      <c r="J505" t="s">
        <v>597</v>
      </c>
      <c r="K505" t="s">
        <v>2002</v>
      </c>
      <c r="L505" s="3">
        <v>45841</v>
      </c>
      <c r="M505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2.0833333333333332E-2</v>
      </c>
      <c r="N505" s="3">
        <v>45825</v>
      </c>
      <c r="O505" s="5">
        <f>IFERROR((PlanMasine[[#This Row],[Norma]]/PlanMasine[[#This Row],[Q]])*(PlanMasine[[#This Row],[Q]]/SUMIF(C:C,PlanMasine[[#This Row],[RN]],B:B)*PlanMasine[[#This Row],[KPLQ]]),0)</f>
        <v>30</v>
      </c>
      <c r="P505">
        <v>220643</v>
      </c>
      <c r="Q505">
        <f>COUNTIF(PROMJENA!A:A,PlanMasine[[#This Row],[KPL]]&amp;"-"&amp;PlanMasine[[#This Row],[RN]])</f>
        <v>0</v>
      </c>
      <c r="R505">
        <f>IFERROR(INDEX(REDOSLIJED!A:A,MATCH(PlanMasine[[#This Row],[KPL]],REDOSLIJED!B:B,0)),MAX(REDOSLIJED!A:A)+1)</f>
        <v>45</v>
      </c>
      <c r="S505" s="9">
        <f>SUM($M$2:M505)</f>
        <v>18.334791666666671</v>
      </c>
      <c r="T505" s="3">
        <f>PlanMasine[[#This Row],[Datum SAS]]-1</f>
        <v>45824</v>
      </c>
      <c r="U505">
        <f>WEEKDAY(PlanMasine[[#This Row],[ZAVRŠETAK MAŠINSKE]],2)</f>
        <v>1</v>
      </c>
      <c r="V505" s="3">
        <f>IF(WEEKDAY(PlanMasine[[#This Row],[Datum SAS]]-1,2)=7,PlanMasine[[#This Row],[Datum SAS]]-3,PlanMasine[[#This Row],[Datum SAS]]-1)</f>
        <v>45824</v>
      </c>
      <c r="W505">
        <f>WEEKNUM(PlanMasine[[#This Row],[Column2]],1)</f>
        <v>25</v>
      </c>
    </row>
    <row r="506" spans="1:23" x14ac:dyDescent="0.35">
      <c r="A506">
        <v>1024023</v>
      </c>
      <c r="B506">
        <v>1</v>
      </c>
      <c r="C506">
        <v>1024040</v>
      </c>
      <c r="D506" t="s">
        <v>1495</v>
      </c>
      <c r="E506">
        <v>360</v>
      </c>
      <c r="F506">
        <v>12</v>
      </c>
      <c r="G506">
        <v>0</v>
      </c>
      <c r="H506">
        <v>0</v>
      </c>
      <c r="I506" t="s">
        <v>24</v>
      </c>
      <c r="J506" t="s">
        <v>597</v>
      </c>
      <c r="K506" t="s">
        <v>2002</v>
      </c>
      <c r="L506" s="3">
        <v>45841</v>
      </c>
      <c r="M506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2.0833333333333332E-2</v>
      </c>
      <c r="N506" s="3">
        <v>45825</v>
      </c>
      <c r="O506" s="5">
        <f>IFERROR((PlanMasine[[#This Row],[Norma]]/PlanMasine[[#This Row],[Q]])*(PlanMasine[[#This Row],[Q]]/SUMIF(C:C,PlanMasine[[#This Row],[RN]],B:B)*PlanMasine[[#This Row],[KPLQ]]),0)</f>
        <v>30</v>
      </c>
      <c r="P506">
        <v>220643</v>
      </c>
      <c r="Q506">
        <f>COUNTIF(PROMJENA!A:A,PlanMasine[[#This Row],[KPL]]&amp;"-"&amp;PlanMasine[[#This Row],[RN]])</f>
        <v>0</v>
      </c>
      <c r="R506">
        <f>IFERROR(INDEX(REDOSLIJED!A:A,MATCH(PlanMasine[[#This Row],[KPL]],REDOSLIJED!B:B,0)),MAX(REDOSLIJED!A:A)+1)</f>
        <v>45</v>
      </c>
      <c r="S506" s="9">
        <f>SUM($M$2:M506)</f>
        <v>18.355625000000003</v>
      </c>
      <c r="T506" s="3">
        <f>PlanMasine[[#This Row],[Datum SAS]]-1</f>
        <v>45824</v>
      </c>
      <c r="U506">
        <f>WEEKDAY(PlanMasine[[#This Row],[ZAVRŠETAK MAŠINSKE]],2)</f>
        <v>1</v>
      </c>
      <c r="V506" s="3">
        <f>IF(WEEKDAY(PlanMasine[[#This Row],[Datum SAS]]-1,2)=7,PlanMasine[[#This Row],[Datum SAS]]-3,PlanMasine[[#This Row],[Datum SAS]]-1)</f>
        <v>45824</v>
      </c>
      <c r="W506">
        <f>WEEKNUM(PlanMasine[[#This Row],[Column2]],1)</f>
        <v>25</v>
      </c>
    </row>
    <row r="507" spans="1:23" x14ac:dyDescent="0.35">
      <c r="A507">
        <v>1024023</v>
      </c>
      <c r="B507">
        <v>1</v>
      </c>
      <c r="C507">
        <v>1024039</v>
      </c>
      <c r="D507" t="s">
        <v>1802</v>
      </c>
      <c r="E507">
        <v>240</v>
      </c>
      <c r="F507">
        <v>12</v>
      </c>
      <c r="G507">
        <v>0</v>
      </c>
      <c r="H507">
        <v>0</v>
      </c>
      <c r="I507" t="s">
        <v>24</v>
      </c>
      <c r="J507" t="s">
        <v>597</v>
      </c>
      <c r="K507" t="s">
        <v>2002</v>
      </c>
      <c r="L507" s="3">
        <v>45841</v>
      </c>
      <c r="M507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1.3888888888888888E-2</v>
      </c>
      <c r="N507" s="3">
        <v>45825</v>
      </c>
      <c r="O507" s="5">
        <f>IFERROR((PlanMasine[[#This Row],[Norma]]/PlanMasine[[#This Row],[Q]])*(PlanMasine[[#This Row],[Q]]/SUMIF(C:C,PlanMasine[[#This Row],[RN]],B:B)*PlanMasine[[#This Row],[KPLQ]]),0)</f>
        <v>20</v>
      </c>
      <c r="P507">
        <v>220642</v>
      </c>
      <c r="Q507">
        <f>COUNTIF(PROMJENA!A:A,PlanMasine[[#This Row],[KPL]]&amp;"-"&amp;PlanMasine[[#This Row],[RN]])</f>
        <v>0</v>
      </c>
      <c r="R507">
        <f>IFERROR(INDEX(REDOSLIJED!A:A,MATCH(PlanMasine[[#This Row],[KPL]],REDOSLIJED!B:B,0)),MAX(REDOSLIJED!A:A)+1)</f>
        <v>45</v>
      </c>
      <c r="S507" s="9">
        <f>SUM($M$2:M507)</f>
        <v>18.369513888888893</v>
      </c>
      <c r="T507" s="3">
        <f>PlanMasine[[#This Row],[Datum SAS]]-1</f>
        <v>45824</v>
      </c>
      <c r="U507">
        <f>WEEKDAY(PlanMasine[[#This Row],[ZAVRŠETAK MAŠINSKE]],2)</f>
        <v>1</v>
      </c>
      <c r="V507" s="3">
        <f>IF(WEEKDAY(PlanMasine[[#This Row],[Datum SAS]]-1,2)=7,PlanMasine[[#This Row],[Datum SAS]]-3,PlanMasine[[#This Row],[Datum SAS]]-1)</f>
        <v>45824</v>
      </c>
      <c r="W507">
        <f>WEEKNUM(PlanMasine[[#This Row],[Column2]],1)</f>
        <v>25</v>
      </c>
    </row>
    <row r="508" spans="1:23" x14ac:dyDescent="0.35">
      <c r="A508">
        <v>1024024</v>
      </c>
      <c r="B508">
        <v>1</v>
      </c>
      <c r="C508">
        <v>1024040</v>
      </c>
      <c r="D508" t="s">
        <v>1495</v>
      </c>
      <c r="E508">
        <v>360</v>
      </c>
      <c r="F508">
        <v>12</v>
      </c>
      <c r="G508">
        <v>0</v>
      </c>
      <c r="H508">
        <v>0</v>
      </c>
      <c r="I508" t="s">
        <v>24</v>
      </c>
      <c r="J508" t="s">
        <v>597</v>
      </c>
      <c r="K508" t="s">
        <v>2002</v>
      </c>
      <c r="L508" s="3">
        <v>45841</v>
      </c>
      <c r="M508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2.0833333333333332E-2</v>
      </c>
      <c r="N508" s="3">
        <v>45825</v>
      </c>
      <c r="O508" s="5">
        <f>IFERROR((PlanMasine[[#This Row],[Norma]]/PlanMasine[[#This Row],[Q]])*(PlanMasine[[#This Row],[Q]]/SUMIF(C:C,PlanMasine[[#This Row],[RN]],B:B)*PlanMasine[[#This Row],[KPLQ]]),0)</f>
        <v>30</v>
      </c>
      <c r="P508">
        <v>220643</v>
      </c>
      <c r="Q508">
        <f>COUNTIF(PROMJENA!A:A,PlanMasine[[#This Row],[KPL]]&amp;"-"&amp;PlanMasine[[#This Row],[RN]])</f>
        <v>0</v>
      </c>
      <c r="R508">
        <f>IFERROR(INDEX(REDOSLIJED!A:A,MATCH(PlanMasine[[#This Row],[KPL]],REDOSLIJED!B:B,0)),MAX(REDOSLIJED!A:A)+1)</f>
        <v>45</v>
      </c>
      <c r="S508" s="9">
        <f>SUM($M$2:M508)</f>
        <v>18.390347222222225</v>
      </c>
      <c r="T508" s="3">
        <f>PlanMasine[[#This Row],[Datum SAS]]-1</f>
        <v>45824</v>
      </c>
      <c r="U508">
        <f>WEEKDAY(PlanMasine[[#This Row],[ZAVRŠETAK MAŠINSKE]],2)</f>
        <v>1</v>
      </c>
      <c r="V508" s="3">
        <f>IF(WEEKDAY(PlanMasine[[#This Row],[Datum SAS]]-1,2)=7,PlanMasine[[#This Row],[Datum SAS]]-3,PlanMasine[[#This Row],[Datum SAS]]-1)</f>
        <v>45824</v>
      </c>
      <c r="W508">
        <f>WEEKNUM(PlanMasine[[#This Row],[Column2]],1)</f>
        <v>25</v>
      </c>
    </row>
    <row r="509" spans="1:23" x14ac:dyDescent="0.35">
      <c r="A509">
        <v>1024024</v>
      </c>
      <c r="B509">
        <v>1</v>
      </c>
      <c r="C509">
        <v>1024039</v>
      </c>
      <c r="D509" t="s">
        <v>1802</v>
      </c>
      <c r="E509">
        <v>240</v>
      </c>
      <c r="F509">
        <v>12</v>
      </c>
      <c r="G509">
        <v>0</v>
      </c>
      <c r="H509">
        <v>0</v>
      </c>
      <c r="I509" t="s">
        <v>24</v>
      </c>
      <c r="J509" t="s">
        <v>597</v>
      </c>
      <c r="K509" t="s">
        <v>2002</v>
      </c>
      <c r="L509" s="3">
        <v>45841</v>
      </c>
      <c r="M509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1.3888888888888888E-2</v>
      </c>
      <c r="N509" s="3">
        <v>45825</v>
      </c>
      <c r="O509" s="5">
        <f>IFERROR((PlanMasine[[#This Row],[Norma]]/PlanMasine[[#This Row],[Q]])*(PlanMasine[[#This Row],[Q]]/SUMIF(C:C,PlanMasine[[#This Row],[RN]],B:B)*PlanMasine[[#This Row],[KPLQ]]),0)</f>
        <v>20</v>
      </c>
      <c r="P509">
        <v>220642</v>
      </c>
      <c r="Q509">
        <f>COUNTIF(PROMJENA!A:A,PlanMasine[[#This Row],[KPL]]&amp;"-"&amp;PlanMasine[[#This Row],[RN]])</f>
        <v>0</v>
      </c>
      <c r="R509">
        <f>IFERROR(INDEX(REDOSLIJED!A:A,MATCH(PlanMasine[[#This Row],[KPL]],REDOSLIJED!B:B,0)),MAX(REDOSLIJED!A:A)+1)</f>
        <v>45</v>
      </c>
      <c r="S509" s="9">
        <f>SUM($M$2:M509)</f>
        <v>18.404236111111114</v>
      </c>
      <c r="T509" s="3">
        <f>PlanMasine[[#This Row],[Datum SAS]]-1</f>
        <v>45824</v>
      </c>
      <c r="U509">
        <f>WEEKDAY(PlanMasine[[#This Row],[ZAVRŠETAK MAŠINSKE]],2)</f>
        <v>1</v>
      </c>
      <c r="V509" s="3">
        <f>IF(WEEKDAY(PlanMasine[[#This Row],[Datum SAS]]-1,2)=7,PlanMasine[[#This Row],[Datum SAS]]-3,PlanMasine[[#This Row],[Datum SAS]]-1)</f>
        <v>45824</v>
      </c>
      <c r="W509">
        <f>WEEKNUM(PlanMasine[[#This Row],[Column2]],1)</f>
        <v>25</v>
      </c>
    </row>
    <row r="510" spans="1:23" x14ac:dyDescent="0.35">
      <c r="A510">
        <v>1024025</v>
      </c>
      <c r="B510">
        <v>1</v>
      </c>
      <c r="C510">
        <v>1024039</v>
      </c>
      <c r="D510" t="s">
        <v>1802</v>
      </c>
      <c r="E510">
        <v>240</v>
      </c>
      <c r="F510">
        <v>12</v>
      </c>
      <c r="G510">
        <v>0</v>
      </c>
      <c r="H510">
        <v>0</v>
      </c>
      <c r="I510" t="s">
        <v>24</v>
      </c>
      <c r="J510" t="s">
        <v>597</v>
      </c>
      <c r="K510" t="s">
        <v>2002</v>
      </c>
      <c r="L510" s="3">
        <v>45841</v>
      </c>
      <c r="M510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1.3888888888888888E-2</v>
      </c>
      <c r="N510" s="3">
        <v>45825</v>
      </c>
      <c r="O510" s="5">
        <f>IFERROR((PlanMasine[[#This Row],[Norma]]/PlanMasine[[#This Row],[Q]])*(PlanMasine[[#This Row],[Q]]/SUMIF(C:C,PlanMasine[[#This Row],[RN]],B:B)*PlanMasine[[#This Row],[KPLQ]]),0)</f>
        <v>20</v>
      </c>
      <c r="P510">
        <v>220642</v>
      </c>
      <c r="Q510">
        <f>COUNTIF(PROMJENA!A:A,PlanMasine[[#This Row],[KPL]]&amp;"-"&amp;PlanMasine[[#This Row],[RN]])</f>
        <v>0</v>
      </c>
      <c r="R510">
        <f>IFERROR(INDEX(REDOSLIJED!A:A,MATCH(PlanMasine[[#This Row],[KPL]],REDOSLIJED!B:B,0)),MAX(REDOSLIJED!A:A)+1)</f>
        <v>45</v>
      </c>
      <c r="S510" s="9">
        <f>SUM($M$2:M510)</f>
        <v>18.418125000000003</v>
      </c>
      <c r="T510" s="3">
        <f>PlanMasine[[#This Row],[Datum SAS]]-1</f>
        <v>45824</v>
      </c>
      <c r="U510">
        <f>WEEKDAY(PlanMasine[[#This Row],[ZAVRŠETAK MAŠINSKE]],2)</f>
        <v>1</v>
      </c>
      <c r="V510" s="3">
        <f>IF(WEEKDAY(PlanMasine[[#This Row],[Datum SAS]]-1,2)=7,PlanMasine[[#This Row],[Datum SAS]]-3,PlanMasine[[#This Row],[Datum SAS]]-1)</f>
        <v>45824</v>
      </c>
      <c r="W510">
        <f>WEEKNUM(PlanMasine[[#This Row],[Column2]],1)</f>
        <v>25</v>
      </c>
    </row>
    <row r="511" spans="1:23" x14ac:dyDescent="0.35">
      <c r="A511">
        <v>1024025</v>
      </c>
      <c r="B511">
        <v>1</v>
      </c>
      <c r="C511">
        <v>1024040</v>
      </c>
      <c r="D511" t="s">
        <v>1495</v>
      </c>
      <c r="E511">
        <v>360</v>
      </c>
      <c r="F511">
        <v>12</v>
      </c>
      <c r="G511">
        <v>0</v>
      </c>
      <c r="H511">
        <v>0</v>
      </c>
      <c r="I511" t="s">
        <v>24</v>
      </c>
      <c r="J511" t="s">
        <v>597</v>
      </c>
      <c r="K511" t="s">
        <v>2002</v>
      </c>
      <c r="L511" s="3">
        <v>45841</v>
      </c>
      <c r="M511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2.0833333333333332E-2</v>
      </c>
      <c r="N511" s="3">
        <v>45825</v>
      </c>
      <c r="O511" s="5">
        <f>IFERROR((PlanMasine[[#This Row],[Norma]]/PlanMasine[[#This Row],[Q]])*(PlanMasine[[#This Row],[Q]]/SUMIF(C:C,PlanMasine[[#This Row],[RN]],B:B)*PlanMasine[[#This Row],[KPLQ]]),0)</f>
        <v>30</v>
      </c>
      <c r="P511">
        <v>220643</v>
      </c>
      <c r="Q511">
        <f>COUNTIF(PROMJENA!A:A,PlanMasine[[#This Row],[KPL]]&amp;"-"&amp;PlanMasine[[#This Row],[RN]])</f>
        <v>0</v>
      </c>
      <c r="R511">
        <f>IFERROR(INDEX(REDOSLIJED!A:A,MATCH(PlanMasine[[#This Row],[KPL]],REDOSLIJED!B:B,0)),MAX(REDOSLIJED!A:A)+1)</f>
        <v>45</v>
      </c>
      <c r="S511" s="9">
        <f>SUM($M$2:M511)</f>
        <v>18.438958333333336</v>
      </c>
      <c r="T511" s="3">
        <f>PlanMasine[[#This Row],[Datum SAS]]-1</f>
        <v>45824</v>
      </c>
      <c r="U511">
        <f>WEEKDAY(PlanMasine[[#This Row],[ZAVRŠETAK MAŠINSKE]],2)</f>
        <v>1</v>
      </c>
      <c r="V511" s="3">
        <f>IF(WEEKDAY(PlanMasine[[#This Row],[Datum SAS]]-1,2)=7,PlanMasine[[#This Row],[Datum SAS]]-3,PlanMasine[[#This Row],[Datum SAS]]-1)</f>
        <v>45824</v>
      </c>
      <c r="W511">
        <f>WEEKNUM(PlanMasine[[#This Row],[Column2]],1)</f>
        <v>25</v>
      </c>
    </row>
    <row r="512" spans="1:23" x14ac:dyDescent="0.35">
      <c r="A512">
        <v>1024026</v>
      </c>
      <c r="B512">
        <v>1</v>
      </c>
      <c r="C512">
        <v>1024040</v>
      </c>
      <c r="D512" t="s">
        <v>1495</v>
      </c>
      <c r="E512">
        <v>360</v>
      </c>
      <c r="F512">
        <v>12</v>
      </c>
      <c r="G512">
        <v>0</v>
      </c>
      <c r="H512">
        <v>0</v>
      </c>
      <c r="I512" t="s">
        <v>24</v>
      </c>
      <c r="J512" t="s">
        <v>597</v>
      </c>
      <c r="K512" t="s">
        <v>2002</v>
      </c>
      <c r="L512" s="3">
        <v>45841</v>
      </c>
      <c r="M512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2.0833333333333332E-2</v>
      </c>
      <c r="N512" s="3">
        <v>45825</v>
      </c>
      <c r="O512" s="5">
        <f>IFERROR((PlanMasine[[#This Row],[Norma]]/PlanMasine[[#This Row],[Q]])*(PlanMasine[[#This Row],[Q]]/SUMIF(C:C,PlanMasine[[#This Row],[RN]],B:B)*PlanMasine[[#This Row],[KPLQ]]),0)</f>
        <v>30</v>
      </c>
      <c r="P512">
        <v>220643</v>
      </c>
      <c r="Q512">
        <f>COUNTIF(PROMJENA!A:A,PlanMasine[[#This Row],[KPL]]&amp;"-"&amp;PlanMasine[[#This Row],[RN]])</f>
        <v>0</v>
      </c>
      <c r="R512">
        <f>IFERROR(INDEX(REDOSLIJED!A:A,MATCH(PlanMasine[[#This Row],[KPL]],REDOSLIJED!B:B,0)),MAX(REDOSLIJED!A:A)+1)</f>
        <v>45</v>
      </c>
      <c r="S512" s="9">
        <f>SUM($M$2:M512)</f>
        <v>18.459791666666668</v>
      </c>
      <c r="T512" s="3">
        <f>PlanMasine[[#This Row],[Datum SAS]]-1</f>
        <v>45824</v>
      </c>
      <c r="U512">
        <f>WEEKDAY(PlanMasine[[#This Row],[ZAVRŠETAK MAŠINSKE]],2)</f>
        <v>1</v>
      </c>
      <c r="V512" s="3">
        <f>IF(WEEKDAY(PlanMasine[[#This Row],[Datum SAS]]-1,2)=7,PlanMasine[[#This Row],[Datum SAS]]-3,PlanMasine[[#This Row],[Datum SAS]]-1)</f>
        <v>45824</v>
      </c>
      <c r="W512">
        <f>WEEKNUM(PlanMasine[[#This Row],[Column2]],1)</f>
        <v>25</v>
      </c>
    </row>
    <row r="513" spans="1:23" x14ac:dyDescent="0.35">
      <c r="A513">
        <v>1024026</v>
      </c>
      <c r="B513">
        <v>1</v>
      </c>
      <c r="C513">
        <v>1024039</v>
      </c>
      <c r="D513" t="s">
        <v>1802</v>
      </c>
      <c r="E513">
        <v>240</v>
      </c>
      <c r="F513">
        <v>12</v>
      </c>
      <c r="G513">
        <v>0</v>
      </c>
      <c r="H513">
        <v>0</v>
      </c>
      <c r="I513" t="s">
        <v>24</v>
      </c>
      <c r="J513" t="s">
        <v>597</v>
      </c>
      <c r="K513" t="s">
        <v>2002</v>
      </c>
      <c r="L513" s="3">
        <v>45841</v>
      </c>
      <c r="M513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1.3888888888888888E-2</v>
      </c>
      <c r="N513" s="3">
        <v>45825</v>
      </c>
      <c r="O513" s="5">
        <f>IFERROR((PlanMasine[[#This Row],[Norma]]/PlanMasine[[#This Row],[Q]])*(PlanMasine[[#This Row],[Q]]/SUMIF(C:C,PlanMasine[[#This Row],[RN]],B:B)*PlanMasine[[#This Row],[KPLQ]]),0)</f>
        <v>20</v>
      </c>
      <c r="P513">
        <v>220642</v>
      </c>
      <c r="Q513">
        <f>COUNTIF(PROMJENA!A:A,PlanMasine[[#This Row],[KPL]]&amp;"-"&amp;PlanMasine[[#This Row],[RN]])</f>
        <v>0</v>
      </c>
      <c r="R513">
        <f>IFERROR(INDEX(REDOSLIJED!A:A,MATCH(PlanMasine[[#This Row],[KPL]],REDOSLIJED!B:B,0)),MAX(REDOSLIJED!A:A)+1)</f>
        <v>45</v>
      </c>
      <c r="S513" s="9">
        <f>SUM($M$2:M513)</f>
        <v>18.473680555555557</v>
      </c>
      <c r="T513" s="3">
        <f>PlanMasine[[#This Row],[Datum SAS]]-1</f>
        <v>45824</v>
      </c>
      <c r="U513">
        <f>WEEKDAY(PlanMasine[[#This Row],[ZAVRŠETAK MAŠINSKE]],2)</f>
        <v>1</v>
      </c>
      <c r="V513" s="3">
        <f>IF(WEEKDAY(PlanMasine[[#This Row],[Datum SAS]]-1,2)=7,PlanMasine[[#This Row],[Datum SAS]]-3,PlanMasine[[#This Row],[Datum SAS]]-1)</f>
        <v>45824</v>
      </c>
      <c r="W513">
        <f>WEEKNUM(PlanMasine[[#This Row],[Column2]],1)</f>
        <v>25</v>
      </c>
    </row>
    <row r="514" spans="1:23" x14ac:dyDescent="0.35">
      <c r="A514">
        <v>1024027</v>
      </c>
      <c r="B514">
        <v>1</v>
      </c>
      <c r="C514">
        <v>1024039</v>
      </c>
      <c r="D514" t="s">
        <v>1802</v>
      </c>
      <c r="E514">
        <v>240</v>
      </c>
      <c r="F514">
        <v>12</v>
      </c>
      <c r="G514">
        <v>0</v>
      </c>
      <c r="H514">
        <v>0</v>
      </c>
      <c r="I514" t="s">
        <v>24</v>
      </c>
      <c r="J514" t="s">
        <v>597</v>
      </c>
      <c r="K514" t="s">
        <v>2002</v>
      </c>
      <c r="L514" s="3">
        <v>45841</v>
      </c>
      <c r="M514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1.3888888888888888E-2</v>
      </c>
      <c r="N514" s="3">
        <v>45825</v>
      </c>
      <c r="O514" s="5">
        <f>IFERROR((PlanMasine[[#This Row],[Norma]]/PlanMasine[[#This Row],[Q]])*(PlanMasine[[#This Row],[Q]]/SUMIF(C:C,PlanMasine[[#This Row],[RN]],B:B)*PlanMasine[[#This Row],[KPLQ]]),0)</f>
        <v>20</v>
      </c>
      <c r="P514">
        <v>220642</v>
      </c>
      <c r="Q514">
        <f>COUNTIF(PROMJENA!A:A,PlanMasine[[#This Row],[KPL]]&amp;"-"&amp;PlanMasine[[#This Row],[RN]])</f>
        <v>0</v>
      </c>
      <c r="R514">
        <f>IFERROR(INDEX(REDOSLIJED!A:A,MATCH(PlanMasine[[#This Row],[KPL]],REDOSLIJED!B:B,0)),MAX(REDOSLIJED!A:A)+1)</f>
        <v>45</v>
      </c>
      <c r="S514" s="9">
        <f>SUM($M$2:M514)</f>
        <v>18.487569444444446</v>
      </c>
      <c r="T514" s="3">
        <f>PlanMasine[[#This Row],[Datum SAS]]-1</f>
        <v>45824</v>
      </c>
      <c r="U514">
        <f>WEEKDAY(PlanMasine[[#This Row],[ZAVRŠETAK MAŠINSKE]],2)</f>
        <v>1</v>
      </c>
      <c r="V514" s="3">
        <f>IF(WEEKDAY(PlanMasine[[#This Row],[Datum SAS]]-1,2)=7,PlanMasine[[#This Row],[Datum SAS]]-3,PlanMasine[[#This Row],[Datum SAS]]-1)</f>
        <v>45824</v>
      </c>
      <c r="W514">
        <f>WEEKNUM(PlanMasine[[#This Row],[Column2]],1)</f>
        <v>25</v>
      </c>
    </row>
    <row r="515" spans="1:23" x14ac:dyDescent="0.35">
      <c r="A515">
        <v>1024027</v>
      </c>
      <c r="B515">
        <v>1</v>
      </c>
      <c r="C515">
        <v>1024040</v>
      </c>
      <c r="D515" t="s">
        <v>1495</v>
      </c>
      <c r="E515">
        <v>360</v>
      </c>
      <c r="F515">
        <v>12</v>
      </c>
      <c r="G515">
        <v>0</v>
      </c>
      <c r="H515">
        <v>0</v>
      </c>
      <c r="I515" t="s">
        <v>24</v>
      </c>
      <c r="J515" t="s">
        <v>597</v>
      </c>
      <c r="K515" t="s">
        <v>2002</v>
      </c>
      <c r="L515" s="3">
        <v>45841</v>
      </c>
      <c r="M515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2.0833333333333332E-2</v>
      </c>
      <c r="N515" s="3">
        <v>45825</v>
      </c>
      <c r="O515" s="5">
        <f>IFERROR((PlanMasine[[#This Row],[Norma]]/PlanMasine[[#This Row],[Q]])*(PlanMasine[[#This Row],[Q]]/SUMIF(C:C,PlanMasine[[#This Row],[RN]],B:B)*PlanMasine[[#This Row],[KPLQ]]),0)</f>
        <v>30</v>
      </c>
      <c r="P515">
        <v>220643</v>
      </c>
      <c r="Q515">
        <f>COUNTIF(PROMJENA!A:A,PlanMasine[[#This Row],[KPL]]&amp;"-"&amp;PlanMasine[[#This Row],[RN]])</f>
        <v>0</v>
      </c>
      <c r="R515">
        <f>IFERROR(INDEX(REDOSLIJED!A:A,MATCH(PlanMasine[[#This Row],[KPL]],REDOSLIJED!B:B,0)),MAX(REDOSLIJED!A:A)+1)</f>
        <v>45</v>
      </c>
      <c r="S515" s="9">
        <f>SUM($M$2:M515)</f>
        <v>18.508402777777778</v>
      </c>
      <c r="T515" s="3">
        <f>PlanMasine[[#This Row],[Datum SAS]]-1</f>
        <v>45824</v>
      </c>
      <c r="U515">
        <f>WEEKDAY(PlanMasine[[#This Row],[ZAVRŠETAK MAŠINSKE]],2)</f>
        <v>1</v>
      </c>
      <c r="V515" s="3">
        <f>IF(WEEKDAY(PlanMasine[[#This Row],[Datum SAS]]-1,2)=7,PlanMasine[[#This Row],[Datum SAS]]-3,PlanMasine[[#This Row],[Datum SAS]]-1)</f>
        <v>45824</v>
      </c>
      <c r="W515">
        <f>WEEKNUM(PlanMasine[[#This Row],[Column2]],1)</f>
        <v>25</v>
      </c>
    </row>
    <row r="516" spans="1:23" x14ac:dyDescent="0.35">
      <c r="A516">
        <v>1024028</v>
      </c>
      <c r="B516">
        <v>1</v>
      </c>
      <c r="C516">
        <v>1024040</v>
      </c>
      <c r="D516" t="s">
        <v>1495</v>
      </c>
      <c r="E516">
        <v>360</v>
      </c>
      <c r="F516">
        <v>12</v>
      </c>
      <c r="G516">
        <v>0</v>
      </c>
      <c r="H516">
        <v>0</v>
      </c>
      <c r="I516" t="s">
        <v>24</v>
      </c>
      <c r="J516" t="s">
        <v>597</v>
      </c>
      <c r="K516" t="s">
        <v>2002</v>
      </c>
      <c r="L516" s="3">
        <v>45841</v>
      </c>
      <c r="M516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2.0833333333333332E-2</v>
      </c>
      <c r="N516" s="3">
        <v>45825</v>
      </c>
      <c r="O516" s="5">
        <f>IFERROR((PlanMasine[[#This Row],[Norma]]/PlanMasine[[#This Row],[Q]])*(PlanMasine[[#This Row],[Q]]/SUMIF(C:C,PlanMasine[[#This Row],[RN]],B:B)*PlanMasine[[#This Row],[KPLQ]]),0)</f>
        <v>30</v>
      </c>
      <c r="P516">
        <v>220643</v>
      </c>
      <c r="Q516">
        <f>COUNTIF(PROMJENA!A:A,PlanMasine[[#This Row],[KPL]]&amp;"-"&amp;PlanMasine[[#This Row],[RN]])</f>
        <v>0</v>
      </c>
      <c r="R516">
        <f>IFERROR(INDEX(REDOSLIJED!A:A,MATCH(PlanMasine[[#This Row],[KPL]],REDOSLIJED!B:B,0)),MAX(REDOSLIJED!A:A)+1)</f>
        <v>45</v>
      </c>
      <c r="S516" s="9">
        <f>SUM($M$2:M516)</f>
        <v>18.529236111111111</v>
      </c>
      <c r="T516" s="3">
        <f>PlanMasine[[#This Row],[Datum SAS]]-1</f>
        <v>45824</v>
      </c>
      <c r="U516">
        <f>WEEKDAY(PlanMasine[[#This Row],[ZAVRŠETAK MAŠINSKE]],2)</f>
        <v>1</v>
      </c>
      <c r="V516" s="3">
        <f>IF(WEEKDAY(PlanMasine[[#This Row],[Datum SAS]]-1,2)=7,PlanMasine[[#This Row],[Datum SAS]]-3,PlanMasine[[#This Row],[Datum SAS]]-1)</f>
        <v>45824</v>
      </c>
      <c r="W516">
        <f>WEEKNUM(PlanMasine[[#This Row],[Column2]],1)</f>
        <v>25</v>
      </c>
    </row>
    <row r="517" spans="1:23" x14ac:dyDescent="0.35">
      <c r="A517">
        <v>1024028</v>
      </c>
      <c r="B517">
        <v>1</v>
      </c>
      <c r="C517">
        <v>1024039</v>
      </c>
      <c r="D517" t="s">
        <v>1802</v>
      </c>
      <c r="E517">
        <v>240</v>
      </c>
      <c r="F517">
        <v>12</v>
      </c>
      <c r="G517">
        <v>0</v>
      </c>
      <c r="H517">
        <v>0</v>
      </c>
      <c r="I517" t="s">
        <v>24</v>
      </c>
      <c r="J517" t="s">
        <v>597</v>
      </c>
      <c r="K517" t="s">
        <v>2002</v>
      </c>
      <c r="L517" s="3">
        <v>45841</v>
      </c>
      <c r="M517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1.3888888888888888E-2</v>
      </c>
      <c r="N517" s="3">
        <v>45825</v>
      </c>
      <c r="O517" s="5">
        <f>IFERROR((PlanMasine[[#This Row],[Norma]]/PlanMasine[[#This Row],[Q]])*(PlanMasine[[#This Row],[Q]]/SUMIF(C:C,PlanMasine[[#This Row],[RN]],B:B)*PlanMasine[[#This Row],[KPLQ]]),0)</f>
        <v>20</v>
      </c>
      <c r="P517">
        <v>220642</v>
      </c>
      <c r="Q517">
        <f>COUNTIF(PROMJENA!A:A,PlanMasine[[#This Row],[KPL]]&amp;"-"&amp;PlanMasine[[#This Row],[RN]])</f>
        <v>0</v>
      </c>
      <c r="R517">
        <f>IFERROR(INDEX(REDOSLIJED!A:A,MATCH(PlanMasine[[#This Row],[KPL]],REDOSLIJED!B:B,0)),MAX(REDOSLIJED!A:A)+1)</f>
        <v>45</v>
      </c>
      <c r="S517" s="9">
        <f>SUM($M$2:M517)</f>
        <v>18.543125</v>
      </c>
      <c r="T517" s="3">
        <f>PlanMasine[[#This Row],[Datum SAS]]-1</f>
        <v>45824</v>
      </c>
      <c r="U517">
        <f>WEEKDAY(PlanMasine[[#This Row],[ZAVRŠETAK MAŠINSKE]],2)</f>
        <v>1</v>
      </c>
      <c r="V517" s="3">
        <f>IF(WEEKDAY(PlanMasine[[#This Row],[Datum SAS]]-1,2)=7,PlanMasine[[#This Row],[Datum SAS]]-3,PlanMasine[[#This Row],[Datum SAS]]-1)</f>
        <v>45824</v>
      </c>
      <c r="W517">
        <f>WEEKNUM(PlanMasine[[#This Row],[Column2]],1)</f>
        <v>25</v>
      </c>
    </row>
    <row r="518" spans="1:23" x14ac:dyDescent="0.35">
      <c r="A518">
        <v>1024029</v>
      </c>
      <c r="B518">
        <v>1</v>
      </c>
      <c r="C518">
        <v>1024039</v>
      </c>
      <c r="D518" t="s">
        <v>1802</v>
      </c>
      <c r="E518">
        <v>240</v>
      </c>
      <c r="F518">
        <v>12</v>
      </c>
      <c r="G518">
        <v>0</v>
      </c>
      <c r="H518">
        <v>0</v>
      </c>
      <c r="I518" t="s">
        <v>24</v>
      </c>
      <c r="J518" t="s">
        <v>597</v>
      </c>
      <c r="K518" t="s">
        <v>2002</v>
      </c>
      <c r="L518" s="3">
        <v>45841</v>
      </c>
      <c r="M518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1.3888888888888888E-2</v>
      </c>
      <c r="N518" s="3">
        <v>45825</v>
      </c>
      <c r="O518" s="5">
        <f>IFERROR((PlanMasine[[#This Row],[Norma]]/PlanMasine[[#This Row],[Q]])*(PlanMasine[[#This Row],[Q]]/SUMIF(C:C,PlanMasine[[#This Row],[RN]],B:B)*PlanMasine[[#This Row],[KPLQ]]),0)</f>
        <v>20</v>
      </c>
      <c r="P518">
        <v>220642</v>
      </c>
      <c r="Q518">
        <f>COUNTIF(PROMJENA!A:A,PlanMasine[[#This Row],[KPL]]&amp;"-"&amp;PlanMasine[[#This Row],[RN]])</f>
        <v>0</v>
      </c>
      <c r="R518">
        <f>IFERROR(INDEX(REDOSLIJED!A:A,MATCH(PlanMasine[[#This Row],[KPL]],REDOSLIJED!B:B,0)),MAX(REDOSLIJED!A:A)+1)</f>
        <v>45</v>
      </c>
      <c r="S518" s="9">
        <f>SUM($M$2:M518)</f>
        <v>18.557013888888889</v>
      </c>
      <c r="T518" s="3">
        <f>PlanMasine[[#This Row],[Datum SAS]]-1</f>
        <v>45824</v>
      </c>
      <c r="U518">
        <f>WEEKDAY(PlanMasine[[#This Row],[ZAVRŠETAK MAŠINSKE]],2)</f>
        <v>1</v>
      </c>
      <c r="V518" s="3">
        <f>IF(WEEKDAY(PlanMasine[[#This Row],[Datum SAS]]-1,2)=7,PlanMasine[[#This Row],[Datum SAS]]-3,PlanMasine[[#This Row],[Datum SAS]]-1)</f>
        <v>45824</v>
      </c>
      <c r="W518">
        <f>WEEKNUM(PlanMasine[[#This Row],[Column2]],1)</f>
        <v>25</v>
      </c>
    </row>
    <row r="519" spans="1:23" x14ac:dyDescent="0.35">
      <c r="A519">
        <v>1024029</v>
      </c>
      <c r="B519">
        <v>1</v>
      </c>
      <c r="C519">
        <v>1024040</v>
      </c>
      <c r="D519" t="s">
        <v>1495</v>
      </c>
      <c r="E519">
        <v>360</v>
      </c>
      <c r="F519">
        <v>12</v>
      </c>
      <c r="G519">
        <v>0</v>
      </c>
      <c r="H519">
        <v>0</v>
      </c>
      <c r="I519" t="s">
        <v>24</v>
      </c>
      <c r="J519" t="s">
        <v>597</v>
      </c>
      <c r="K519" t="s">
        <v>2002</v>
      </c>
      <c r="L519" s="3">
        <v>45841</v>
      </c>
      <c r="M519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2.0833333333333332E-2</v>
      </c>
      <c r="N519" s="3">
        <v>45825</v>
      </c>
      <c r="O519" s="5">
        <f>IFERROR((PlanMasine[[#This Row],[Norma]]/PlanMasine[[#This Row],[Q]])*(PlanMasine[[#This Row],[Q]]/SUMIF(C:C,PlanMasine[[#This Row],[RN]],B:B)*PlanMasine[[#This Row],[KPLQ]]),0)</f>
        <v>30</v>
      </c>
      <c r="P519">
        <v>220643</v>
      </c>
      <c r="Q519">
        <f>COUNTIF(PROMJENA!A:A,PlanMasine[[#This Row],[KPL]]&amp;"-"&amp;PlanMasine[[#This Row],[RN]])</f>
        <v>0</v>
      </c>
      <c r="R519">
        <f>IFERROR(INDEX(REDOSLIJED!A:A,MATCH(PlanMasine[[#This Row],[KPL]],REDOSLIJED!B:B,0)),MAX(REDOSLIJED!A:A)+1)</f>
        <v>45</v>
      </c>
      <c r="S519" s="9">
        <f>SUM($M$2:M519)</f>
        <v>18.577847222222221</v>
      </c>
      <c r="T519" s="3">
        <f>PlanMasine[[#This Row],[Datum SAS]]-1</f>
        <v>45824</v>
      </c>
      <c r="U519">
        <f>WEEKDAY(PlanMasine[[#This Row],[ZAVRŠETAK MAŠINSKE]],2)</f>
        <v>1</v>
      </c>
      <c r="V519" s="3">
        <f>IF(WEEKDAY(PlanMasine[[#This Row],[Datum SAS]]-1,2)=7,PlanMasine[[#This Row],[Datum SAS]]-3,PlanMasine[[#This Row],[Datum SAS]]-1)</f>
        <v>45824</v>
      </c>
      <c r="W519">
        <f>WEEKNUM(PlanMasine[[#This Row],[Column2]],1)</f>
        <v>25</v>
      </c>
    </row>
    <row r="520" spans="1:23" x14ac:dyDescent="0.35">
      <c r="A520">
        <v>1024030</v>
      </c>
      <c r="B520">
        <v>1</v>
      </c>
      <c r="C520">
        <v>1024040</v>
      </c>
      <c r="D520" t="s">
        <v>1495</v>
      </c>
      <c r="E520">
        <v>360</v>
      </c>
      <c r="F520">
        <v>12</v>
      </c>
      <c r="G520">
        <v>0</v>
      </c>
      <c r="H520">
        <v>0</v>
      </c>
      <c r="I520" t="s">
        <v>24</v>
      </c>
      <c r="J520" t="s">
        <v>597</v>
      </c>
      <c r="K520" t="s">
        <v>2002</v>
      </c>
      <c r="L520" s="3">
        <v>45841</v>
      </c>
      <c r="M520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2.0833333333333332E-2</v>
      </c>
      <c r="N520" s="3">
        <v>45825</v>
      </c>
      <c r="O520" s="5">
        <f>IFERROR((PlanMasine[[#This Row],[Norma]]/PlanMasine[[#This Row],[Q]])*(PlanMasine[[#This Row],[Q]]/SUMIF(C:C,PlanMasine[[#This Row],[RN]],B:B)*PlanMasine[[#This Row],[KPLQ]]),0)</f>
        <v>30</v>
      </c>
      <c r="P520">
        <v>220643</v>
      </c>
      <c r="Q520">
        <f>COUNTIF(PROMJENA!A:A,PlanMasine[[#This Row],[KPL]]&amp;"-"&amp;PlanMasine[[#This Row],[RN]])</f>
        <v>0</v>
      </c>
      <c r="R520">
        <f>IFERROR(INDEX(REDOSLIJED!A:A,MATCH(PlanMasine[[#This Row],[KPL]],REDOSLIJED!B:B,0)),MAX(REDOSLIJED!A:A)+1)</f>
        <v>45</v>
      </c>
      <c r="S520" s="9">
        <f>SUM($M$2:M520)</f>
        <v>18.598680555555553</v>
      </c>
      <c r="T520" s="3">
        <f>PlanMasine[[#This Row],[Datum SAS]]-1</f>
        <v>45824</v>
      </c>
      <c r="U520">
        <f>WEEKDAY(PlanMasine[[#This Row],[ZAVRŠETAK MAŠINSKE]],2)</f>
        <v>1</v>
      </c>
      <c r="V520" s="3">
        <f>IF(WEEKDAY(PlanMasine[[#This Row],[Datum SAS]]-1,2)=7,PlanMasine[[#This Row],[Datum SAS]]-3,PlanMasine[[#This Row],[Datum SAS]]-1)</f>
        <v>45824</v>
      </c>
      <c r="W520">
        <f>WEEKNUM(PlanMasine[[#This Row],[Column2]],1)</f>
        <v>25</v>
      </c>
    </row>
    <row r="521" spans="1:23" x14ac:dyDescent="0.35">
      <c r="A521">
        <v>1024030</v>
      </c>
      <c r="B521">
        <v>1</v>
      </c>
      <c r="C521">
        <v>1024039</v>
      </c>
      <c r="D521" t="s">
        <v>1802</v>
      </c>
      <c r="E521">
        <v>240</v>
      </c>
      <c r="F521">
        <v>12</v>
      </c>
      <c r="G521">
        <v>0</v>
      </c>
      <c r="H521">
        <v>0</v>
      </c>
      <c r="I521" t="s">
        <v>24</v>
      </c>
      <c r="J521" t="s">
        <v>597</v>
      </c>
      <c r="K521" t="s">
        <v>2002</v>
      </c>
      <c r="L521" s="3">
        <v>45841</v>
      </c>
      <c r="M521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1.3888888888888888E-2</v>
      </c>
      <c r="N521" s="3">
        <v>45825</v>
      </c>
      <c r="O521" s="5">
        <f>IFERROR((PlanMasine[[#This Row],[Norma]]/PlanMasine[[#This Row],[Q]])*(PlanMasine[[#This Row],[Q]]/SUMIF(C:C,PlanMasine[[#This Row],[RN]],B:B)*PlanMasine[[#This Row],[KPLQ]]),0)</f>
        <v>20</v>
      </c>
      <c r="P521">
        <v>220642</v>
      </c>
      <c r="Q521">
        <f>COUNTIF(PROMJENA!A:A,PlanMasine[[#This Row],[KPL]]&amp;"-"&amp;PlanMasine[[#This Row],[RN]])</f>
        <v>0</v>
      </c>
      <c r="R521">
        <f>IFERROR(INDEX(REDOSLIJED!A:A,MATCH(PlanMasine[[#This Row],[KPL]],REDOSLIJED!B:B,0)),MAX(REDOSLIJED!A:A)+1)</f>
        <v>45</v>
      </c>
      <c r="S521" s="9">
        <f>SUM($M$2:M521)</f>
        <v>18.612569444444443</v>
      </c>
      <c r="T521" s="3">
        <f>PlanMasine[[#This Row],[Datum SAS]]-1</f>
        <v>45824</v>
      </c>
      <c r="U521">
        <f>WEEKDAY(PlanMasine[[#This Row],[ZAVRŠETAK MAŠINSKE]],2)</f>
        <v>1</v>
      </c>
      <c r="V521" s="3">
        <f>IF(WEEKDAY(PlanMasine[[#This Row],[Datum SAS]]-1,2)=7,PlanMasine[[#This Row],[Datum SAS]]-3,PlanMasine[[#This Row],[Datum SAS]]-1)</f>
        <v>45824</v>
      </c>
      <c r="W521">
        <f>WEEKNUM(PlanMasine[[#This Row],[Column2]],1)</f>
        <v>25</v>
      </c>
    </row>
    <row r="522" spans="1:23" x14ac:dyDescent="0.35">
      <c r="A522">
        <v>1024031</v>
      </c>
      <c r="B522">
        <v>1</v>
      </c>
      <c r="C522">
        <v>1024039</v>
      </c>
      <c r="D522" t="s">
        <v>1802</v>
      </c>
      <c r="E522">
        <v>240</v>
      </c>
      <c r="F522">
        <v>12</v>
      </c>
      <c r="G522">
        <v>0</v>
      </c>
      <c r="H522">
        <v>0</v>
      </c>
      <c r="I522" t="s">
        <v>24</v>
      </c>
      <c r="J522" t="s">
        <v>597</v>
      </c>
      <c r="K522" t="s">
        <v>2002</v>
      </c>
      <c r="L522" s="3">
        <v>45841</v>
      </c>
      <c r="M522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1.3888888888888888E-2</v>
      </c>
      <c r="N522" s="3">
        <v>45825</v>
      </c>
      <c r="O522" s="5">
        <f>IFERROR((PlanMasine[[#This Row],[Norma]]/PlanMasine[[#This Row],[Q]])*(PlanMasine[[#This Row],[Q]]/SUMIF(C:C,PlanMasine[[#This Row],[RN]],B:B)*PlanMasine[[#This Row],[KPLQ]]),0)</f>
        <v>20</v>
      </c>
      <c r="P522">
        <v>220642</v>
      </c>
      <c r="Q522">
        <f>COUNTIF(PROMJENA!A:A,PlanMasine[[#This Row],[KPL]]&amp;"-"&amp;PlanMasine[[#This Row],[RN]])</f>
        <v>0</v>
      </c>
      <c r="R522">
        <f>IFERROR(INDEX(REDOSLIJED!A:A,MATCH(PlanMasine[[#This Row],[KPL]],REDOSLIJED!B:B,0)),MAX(REDOSLIJED!A:A)+1)</f>
        <v>45</v>
      </c>
      <c r="S522" s="9">
        <f>SUM($M$2:M522)</f>
        <v>18.626458333333332</v>
      </c>
      <c r="T522" s="3">
        <f>PlanMasine[[#This Row],[Datum SAS]]-1</f>
        <v>45824</v>
      </c>
      <c r="U522">
        <f>WEEKDAY(PlanMasine[[#This Row],[ZAVRŠETAK MAŠINSKE]],2)</f>
        <v>1</v>
      </c>
      <c r="V522" s="3">
        <f>IF(WEEKDAY(PlanMasine[[#This Row],[Datum SAS]]-1,2)=7,PlanMasine[[#This Row],[Datum SAS]]-3,PlanMasine[[#This Row],[Datum SAS]]-1)</f>
        <v>45824</v>
      </c>
      <c r="W522">
        <f>WEEKNUM(PlanMasine[[#This Row],[Column2]],1)</f>
        <v>25</v>
      </c>
    </row>
    <row r="523" spans="1:23" x14ac:dyDescent="0.35">
      <c r="A523">
        <v>1024031</v>
      </c>
      <c r="B523">
        <v>1</v>
      </c>
      <c r="C523">
        <v>1024040</v>
      </c>
      <c r="D523" t="s">
        <v>1495</v>
      </c>
      <c r="E523">
        <v>360</v>
      </c>
      <c r="F523">
        <v>12</v>
      </c>
      <c r="G523">
        <v>0</v>
      </c>
      <c r="H523">
        <v>0</v>
      </c>
      <c r="I523" t="s">
        <v>24</v>
      </c>
      <c r="J523" t="s">
        <v>597</v>
      </c>
      <c r="K523" t="s">
        <v>2002</v>
      </c>
      <c r="L523" s="3">
        <v>45841</v>
      </c>
      <c r="M523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2.0833333333333332E-2</v>
      </c>
      <c r="N523" s="3">
        <v>45825</v>
      </c>
      <c r="O523" s="5">
        <f>IFERROR((PlanMasine[[#This Row],[Norma]]/PlanMasine[[#This Row],[Q]])*(PlanMasine[[#This Row],[Q]]/SUMIF(C:C,PlanMasine[[#This Row],[RN]],B:B)*PlanMasine[[#This Row],[KPLQ]]),0)</f>
        <v>30</v>
      </c>
      <c r="P523">
        <v>220643</v>
      </c>
      <c r="Q523">
        <f>COUNTIF(PROMJENA!A:A,PlanMasine[[#This Row],[KPL]]&amp;"-"&amp;PlanMasine[[#This Row],[RN]])</f>
        <v>0</v>
      </c>
      <c r="R523">
        <f>IFERROR(INDEX(REDOSLIJED!A:A,MATCH(PlanMasine[[#This Row],[KPL]],REDOSLIJED!B:B,0)),MAX(REDOSLIJED!A:A)+1)</f>
        <v>45</v>
      </c>
      <c r="S523" s="9">
        <f>SUM($M$2:M523)</f>
        <v>18.647291666666664</v>
      </c>
      <c r="T523" s="3">
        <f>PlanMasine[[#This Row],[Datum SAS]]-1</f>
        <v>45824</v>
      </c>
      <c r="U523">
        <f>WEEKDAY(PlanMasine[[#This Row],[ZAVRŠETAK MAŠINSKE]],2)</f>
        <v>1</v>
      </c>
      <c r="V523" s="3">
        <f>IF(WEEKDAY(PlanMasine[[#This Row],[Datum SAS]]-1,2)=7,PlanMasine[[#This Row],[Datum SAS]]-3,PlanMasine[[#This Row],[Datum SAS]]-1)</f>
        <v>45824</v>
      </c>
      <c r="W523">
        <f>WEEKNUM(PlanMasine[[#This Row],[Column2]],1)</f>
        <v>25</v>
      </c>
    </row>
    <row r="524" spans="1:23" x14ac:dyDescent="0.35">
      <c r="A524">
        <v>1024032</v>
      </c>
      <c r="B524">
        <v>1</v>
      </c>
      <c r="C524">
        <v>1024040</v>
      </c>
      <c r="D524" t="s">
        <v>1495</v>
      </c>
      <c r="E524">
        <v>360</v>
      </c>
      <c r="F524">
        <v>12</v>
      </c>
      <c r="G524">
        <v>0</v>
      </c>
      <c r="H524">
        <v>0</v>
      </c>
      <c r="I524" t="s">
        <v>24</v>
      </c>
      <c r="J524" t="s">
        <v>597</v>
      </c>
      <c r="K524" t="s">
        <v>2002</v>
      </c>
      <c r="L524" s="3">
        <v>45841</v>
      </c>
      <c r="M524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2.0833333333333332E-2</v>
      </c>
      <c r="N524" s="3">
        <v>45825</v>
      </c>
      <c r="O524" s="5">
        <f>IFERROR((PlanMasine[[#This Row],[Norma]]/PlanMasine[[#This Row],[Q]])*(PlanMasine[[#This Row],[Q]]/SUMIF(C:C,PlanMasine[[#This Row],[RN]],B:B)*PlanMasine[[#This Row],[KPLQ]]),0)</f>
        <v>30</v>
      </c>
      <c r="P524">
        <v>220643</v>
      </c>
      <c r="Q524">
        <f>COUNTIF(PROMJENA!A:A,PlanMasine[[#This Row],[KPL]]&amp;"-"&amp;PlanMasine[[#This Row],[RN]])</f>
        <v>0</v>
      </c>
      <c r="R524">
        <f>IFERROR(INDEX(REDOSLIJED!A:A,MATCH(PlanMasine[[#This Row],[KPL]],REDOSLIJED!B:B,0)),MAX(REDOSLIJED!A:A)+1)</f>
        <v>45</v>
      </c>
      <c r="S524" s="9">
        <f>SUM($M$2:M524)</f>
        <v>18.668124999999996</v>
      </c>
      <c r="T524" s="3">
        <f>PlanMasine[[#This Row],[Datum SAS]]-1</f>
        <v>45824</v>
      </c>
      <c r="U524">
        <f>WEEKDAY(PlanMasine[[#This Row],[ZAVRŠETAK MAŠINSKE]],2)</f>
        <v>1</v>
      </c>
      <c r="V524" s="3">
        <f>IF(WEEKDAY(PlanMasine[[#This Row],[Datum SAS]]-1,2)=7,PlanMasine[[#This Row],[Datum SAS]]-3,PlanMasine[[#This Row],[Datum SAS]]-1)</f>
        <v>45824</v>
      </c>
      <c r="W524">
        <f>WEEKNUM(PlanMasine[[#This Row],[Column2]],1)</f>
        <v>25</v>
      </c>
    </row>
    <row r="525" spans="1:23" x14ac:dyDescent="0.35">
      <c r="A525">
        <v>1024032</v>
      </c>
      <c r="B525">
        <v>1</v>
      </c>
      <c r="C525">
        <v>1024039</v>
      </c>
      <c r="D525" t="s">
        <v>1802</v>
      </c>
      <c r="E525">
        <v>240</v>
      </c>
      <c r="F525">
        <v>12</v>
      </c>
      <c r="G525">
        <v>0</v>
      </c>
      <c r="H525">
        <v>0</v>
      </c>
      <c r="I525" t="s">
        <v>24</v>
      </c>
      <c r="J525" t="s">
        <v>597</v>
      </c>
      <c r="K525" t="s">
        <v>2002</v>
      </c>
      <c r="L525" s="3">
        <v>45841</v>
      </c>
      <c r="M525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1.3888888888888888E-2</v>
      </c>
      <c r="N525" s="3">
        <v>45825</v>
      </c>
      <c r="O525" s="5">
        <f>IFERROR((PlanMasine[[#This Row],[Norma]]/PlanMasine[[#This Row],[Q]])*(PlanMasine[[#This Row],[Q]]/SUMIF(C:C,PlanMasine[[#This Row],[RN]],B:B)*PlanMasine[[#This Row],[KPLQ]]),0)</f>
        <v>20</v>
      </c>
      <c r="P525">
        <v>220642</v>
      </c>
      <c r="Q525">
        <f>COUNTIF(PROMJENA!A:A,PlanMasine[[#This Row],[KPL]]&amp;"-"&amp;PlanMasine[[#This Row],[RN]])</f>
        <v>0</v>
      </c>
      <c r="R525">
        <f>IFERROR(INDEX(REDOSLIJED!A:A,MATCH(PlanMasine[[#This Row],[KPL]],REDOSLIJED!B:B,0)),MAX(REDOSLIJED!A:A)+1)</f>
        <v>45</v>
      </c>
      <c r="S525" s="9">
        <f>SUM($M$2:M525)</f>
        <v>18.682013888888886</v>
      </c>
      <c r="T525" s="3">
        <f>PlanMasine[[#This Row],[Datum SAS]]-1</f>
        <v>45824</v>
      </c>
      <c r="U525">
        <f>WEEKDAY(PlanMasine[[#This Row],[ZAVRŠETAK MAŠINSKE]],2)</f>
        <v>1</v>
      </c>
      <c r="V525" s="3">
        <f>IF(WEEKDAY(PlanMasine[[#This Row],[Datum SAS]]-1,2)=7,PlanMasine[[#This Row],[Datum SAS]]-3,PlanMasine[[#This Row],[Datum SAS]]-1)</f>
        <v>45824</v>
      </c>
      <c r="W525">
        <f>WEEKNUM(PlanMasine[[#This Row],[Column2]],1)</f>
        <v>25</v>
      </c>
    </row>
    <row r="526" spans="1:23" x14ac:dyDescent="0.35">
      <c r="A526">
        <v>1024033</v>
      </c>
      <c r="B526">
        <v>1</v>
      </c>
      <c r="C526">
        <v>1024040</v>
      </c>
      <c r="D526" t="s">
        <v>1495</v>
      </c>
      <c r="E526">
        <v>360</v>
      </c>
      <c r="F526">
        <v>12</v>
      </c>
      <c r="G526">
        <v>0</v>
      </c>
      <c r="H526">
        <v>0</v>
      </c>
      <c r="I526" t="s">
        <v>24</v>
      </c>
      <c r="J526" t="s">
        <v>597</v>
      </c>
      <c r="K526" t="s">
        <v>2002</v>
      </c>
      <c r="L526" s="3">
        <v>45841</v>
      </c>
      <c r="M526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2.0833333333333332E-2</v>
      </c>
      <c r="N526" s="3">
        <v>45825</v>
      </c>
      <c r="O526" s="5">
        <f>IFERROR((PlanMasine[[#This Row],[Norma]]/PlanMasine[[#This Row],[Q]])*(PlanMasine[[#This Row],[Q]]/SUMIF(C:C,PlanMasine[[#This Row],[RN]],B:B)*PlanMasine[[#This Row],[KPLQ]]),0)</f>
        <v>30</v>
      </c>
      <c r="P526">
        <v>220643</v>
      </c>
      <c r="Q526">
        <f>COUNTIF(PROMJENA!A:A,PlanMasine[[#This Row],[KPL]]&amp;"-"&amp;PlanMasine[[#This Row],[RN]])</f>
        <v>0</v>
      </c>
      <c r="R526">
        <f>IFERROR(INDEX(REDOSLIJED!A:A,MATCH(PlanMasine[[#This Row],[KPL]],REDOSLIJED!B:B,0)),MAX(REDOSLIJED!A:A)+1)</f>
        <v>45</v>
      </c>
      <c r="S526" s="9">
        <f>SUM($M$2:M526)</f>
        <v>18.702847222222218</v>
      </c>
      <c r="T526" s="3">
        <f>PlanMasine[[#This Row],[Datum SAS]]-1</f>
        <v>45824</v>
      </c>
      <c r="U526">
        <f>WEEKDAY(PlanMasine[[#This Row],[ZAVRŠETAK MAŠINSKE]],2)</f>
        <v>1</v>
      </c>
      <c r="V526" s="3">
        <f>IF(WEEKDAY(PlanMasine[[#This Row],[Datum SAS]]-1,2)=7,PlanMasine[[#This Row],[Datum SAS]]-3,PlanMasine[[#This Row],[Datum SAS]]-1)</f>
        <v>45824</v>
      </c>
      <c r="W526">
        <f>WEEKNUM(PlanMasine[[#This Row],[Column2]],1)</f>
        <v>25</v>
      </c>
    </row>
    <row r="527" spans="1:23" x14ac:dyDescent="0.35">
      <c r="A527">
        <v>1024033</v>
      </c>
      <c r="B527">
        <v>1</v>
      </c>
      <c r="C527">
        <v>1024039</v>
      </c>
      <c r="D527" t="s">
        <v>1802</v>
      </c>
      <c r="E527">
        <v>240</v>
      </c>
      <c r="F527">
        <v>12</v>
      </c>
      <c r="G527">
        <v>0</v>
      </c>
      <c r="H527">
        <v>0</v>
      </c>
      <c r="I527" t="s">
        <v>24</v>
      </c>
      <c r="J527" t="s">
        <v>597</v>
      </c>
      <c r="K527" t="s">
        <v>2002</v>
      </c>
      <c r="L527" s="3">
        <v>45841</v>
      </c>
      <c r="M527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1.3888888888888888E-2</v>
      </c>
      <c r="N527" s="3">
        <v>45825</v>
      </c>
      <c r="O527" s="5">
        <f>IFERROR((PlanMasine[[#This Row],[Norma]]/PlanMasine[[#This Row],[Q]])*(PlanMasine[[#This Row],[Q]]/SUMIF(C:C,PlanMasine[[#This Row],[RN]],B:B)*PlanMasine[[#This Row],[KPLQ]]),0)</f>
        <v>20</v>
      </c>
      <c r="P527">
        <v>220642</v>
      </c>
      <c r="Q527">
        <f>COUNTIF(PROMJENA!A:A,PlanMasine[[#This Row],[KPL]]&amp;"-"&amp;PlanMasine[[#This Row],[RN]])</f>
        <v>0</v>
      </c>
      <c r="R527">
        <f>IFERROR(INDEX(REDOSLIJED!A:A,MATCH(PlanMasine[[#This Row],[KPL]],REDOSLIJED!B:B,0)),MAX(REDOSLIJED!A:A)+1)</f>
        <v>45</v>
      </c>
      <c r="S527" s="9">
        <f>SUM($M$2:M527)</f>
        <v>18.716736111111107</v>
      </c>
      <c r="T527" s="3">
        <f>PlanMasine[[#This Row],[Datum SAS]]-1</f>
        <v>45824</v>
      </c>
      <c r="U527">
        <f>WEEKDAY(PlanMasine[[#This Row],[ZAVRŠETAK MAŠINSKE]],2)</f>
        <v>1</v>
      </c>
      <c r="V527" s="3">
        <f>IF(WEEKDAY(PlanMasine[[#This Row],[Datum SAS]]-1,2)=7,PlanMasine[[#This Row],[Datum SAS]]-3,PlanMasine[[#This Row],[Datum SAS]]-1)</f>
        <v>45824</v>
      </c>
      <c r="W527">
        <f>WEEKNUM(PlanMasine[[#This Row],[Column2]],1)</f>
        <v>25</v>
      </c>
    </row>
    <row r="528" spans="1:23" x14ac:dyDescent="0.35">
      <c r="A528">
        <v>1024865</v>
      </c>
      <c r="B528">
        <v>1</v>
      </c>
      <c r="C528">
        <v>1024846</v>
      </c>
      <c r="D528" t="s">
        <v>243</v>
      </c>
      <c r="E528">
        <v>10</v>
      </c>
      <c r="F528">
        <v>1</v>
      </c>
      <c r="G528">
        <v>0</v>
      </c>
      <c r="H528">
        <v>0</v>
      </c>
      <c r="I528" t="s">
        <v>24</v>
      </c>
      <c r="J528" t="s">
        <v>597</v>
      </c>
      <c r="K528" t="s">
        <v>2003</v>
      </c>
      <c r="L528" s="3">
        <v>45838</v>
      </c>
      <c r="M528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6.9444444444444441E-3</v>
      </c>
      <c r="N528" s="3">
        <v>45825</v>
      </c>
      <c r="O528" s="5">
        <f>IFERROR((PlanMasine[[#This Row],[Norma]]/PlanMasine[[#This Row],[Q]])*(PlanMasine[[#This Row],[Q]]/SUMIF(C:C,PlanMasine[[#This Row],[RN]],B:B)*PlanMasine[[#This Row],[KPLQ]]),0)</f>
        <v>10</v>
      </c>
      <c r="P528">
        <v>155678</v>
      </c>
      <c r="Q528">
        <f>COUNTIF(PROMJENA!A:A,PlanMasine[[#This Row],[KPL]]&amp;"-"&amp;PlanMasine[[#This Row],[RN]])</f>
        <v>0</v>
      </c>
      <c r="R528">
        <f>IFERROR(INDEX(REDOSLIJED!A:A,MATCH(PlanMasine[[#This Row],[KPL]],REDOSLIJED!B:B,0)),MAX(REDOSLIJED!A:A)+1)</f>
        <v>45</v>
      </c>
      <c r="S528" s="9">
        <f>SUM($M$2:M528)</f>
        <v>18.72368055555555</v>
      </c>
      <c r="T528" s="3">
        <f>PlanMasine[[#This Row],[Datum SAS]]-1</f>
        <v>45824</v>
      </c>
      <c r="U528">
        <f>WEEKDAY(PlanMasine[[#This Row],[ZAVRŠETAK MAŠINSKE]],2)</f>
        <v>1</v>
      </c>
      <c r="V528" s="3">
        <f>IF(WEEKDAY(PlanMasine[[#This Row],[Datum SAS]]-1,2)=7,PlanMasine[[#This Row],[Datum SAS]]-3,PlanMasine[[#This Row],[Datum SAS]]-1)</f>
        <v>45824</v>
      </c>
      <c r="W528">
        <f>WEEKNUM(PlanMasine[[#This Row],[Column2]],1)</f>
        <v>25</v>
      </c>
    </row>
    <row r="529" spans="1:23" x14ac:dyDescent="0.35">
      <c r="A529">
        <v>1024865</v>
      </c>
      <c r="B529">
        <v>1</v>
      </c>
      <c r="C529">
        <v>1024860</v>
      </c>
      <c r="D529" t="s">
        <v>239</v>
      </c>
      <c r="E529">
        <v>10</v>
      </c>
      <c r="F529">
        <v>1</v>
      </c>
      <c r="G529">
        <v>0</v>
      </c>
      <c r="H529">
        <v>0</v>
      </c>
      <c r="I529" t="s">
        <v>24</v>
      </c>
      <c r="J529" t="s">
        <v>597</v>
      </c>
      <c r="K529" t="s">
        <v>2003</v>
      </c>
      <c r="L529" s="3">
        <v>45838</v>
      </c>
      <c r="M529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6.9444444444444441E-3</v>
      </c>
      <c r="N529" s="3">
        <v>45825</v>
      </c>
      <c r="O529" s="5">
        <f>IFERROR((PlanMasine[[#This Row],[Norma]]/PlanMasine[[#This Row],[Q]])*(PlanMasine[[#This Row],[Q]]/SUMIF(C:C,PlanMasine[[#This Row],[RN]],B:B)*PlanMasine[[#This Row],[KPLQ]]),0)</f>
        <v>10</v>
      </c>
      <c r="P529">
        <v>155692</v>
      </c>
      <c r="Q529">
        <f>COUNTIF(PROMJENA!A:A,PlanMasine[[#This Row],[KPL]]&amp;"-"&amp;PlanMasine[[#This Row],[RN]])</f>
        <v>0</v>
      </c>
      <c r="R529">
        <f>IFERROR(INDEX(REDOSLIJED!A:A,MATCH(PlanMasine[[#This Row],[KPL]],REDOSLIJED!B:B,0)),MAX(REDOSLIJED!A:A)+1)</f>
        <v>45</v>
      </c>
      <c r="S529" s="9">
        <f>SUM($M$2:M529)</f>
        <v>18.730624999999993</v>
      </c>
      <c r="T529" s="3">
        <f>PlanMasine[[#This Row],[Datum SAS]]-1</f>
        <v>45824</v>
      </c>
      <c r="U529">
        <f>WEEKDAY(PlanMasine[[#This Row],[ZAVRŠETAK MAŠINSKE]],2)</f>
        <v>1</v>
      </c>
      <c r="V529" s="3">
        <f>IF(WEEKDAY(PlanMasine[[#This Row],[Datum SAS]]-1,2)=7,PlanMasine[[#This Row],[Datum SAS]]-3,PlanMasine[[#This Row],[Datum SAS]]-1)</f>
        <v>45824</v>
      </c>
      <c r="W529">
        <f>WEEKNUM(PlanMasine[[#This Row],[Column2]],1)</f>
        <v>25</v>
      </c>
    </row>
    <row r="530" spans="1:23" x14ac:dyDescent="0.35">
      <c r="A530">
        <v>1020544</v>
      </c>
      <c r="B530">
        <v>1</v>
      </c>
      <c r="C530">
        <v>1020549</v>
      </c>
      <c r="D530" t="s">
        <v>994</v>
      </c>
      <c r="E530">
        <v>50</v>
      </c>
      <c r="F530">
        <v>4</v>
      </c>
      <c r="G530">
        <v>0</v>
      </c>
      <c r="H530">
        <v>0</v>
      </c>
      <c r="I530" t="s">
        <v>24</v>
      </c>
      <c r="J530" t="s">
        <v>597</v>
      </c>
      <c r="K530" t="s">
        <v>2004</v>
      </c>
      <c r="L530" s="3">
        <v>45869</v>
      </c>
      <c r="M530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8.6805555555555559E-3</v>
      </c>
      <c r="N530" s="3">
        <v>45826</v>
      </c>
      <c r="O530" s="5">
        <f>IFERROR((PlanMasine[[#This Row],[Norma]]/PlanMasine[[#This Row],[Q]])*(PlanMasine[[#This Row],[Q]]/SUMIF(C:C,PlanMasine[[#This Row],[RN]],B:B)*PlanMasine[[#This Row],[KPLQ]]),0)</f>
        <v>12.5</v>
      </c>
      <c r="P530">
        <v>139606</v>
      </c>
      <c r="Q530">
        <f>COUNTIF(PROMJENA!A:A,PlanMasine[[#This Row],[KPL]]&amp;"-"&amp;PlanMasine[[#This Row],[RN]])</f>
        <v>0</v>
      </c>
      <c r="R530">
        <f>IFERROR(INDEX(REDOSLIJED!A:A,MATCH(PlanMasine[[#This Row],[KPL]],REDOSLIJED!B:B,0)),MAX(REDOSLIJED!A:A)+1)</f>
        <v>45</v>
      </c>
      <c r="S530" s="9">
        <f>SUM($M$2:M530)</f>
        <v>18.73930555555555</v>
      </c>
      <c r="T530" s="3">
        <f>PlanMasine[[#This Row],[Datum SAS]]-1</f>
        <v>45825</v>
      </c>
      <c r="U530">
        <f>WEEKDAY(PlanMasine[[#This Row],[ZAVRŠETAK MAŠINSKE]],2)</f>
        <v>2</v>
      </c>
      <c r="V530" s="3">
        <f>IF(WEEKDAY(PlanMasine[[#This Row],[Datum SAS]]-1,2)=7,PlanMasine[[#This Row],[Datum SAS]]-3,PlanMasine[[#This Row],[Datum SAS]]-1)</f>
        <v>45825</v>
      </c>
      <c r="W530">
        <f>WEEKNUM(PlanMasine[[#This Row],[Column2]],1)</f>
        <v>25</v>
      </c>
    </row>
    <row r="531" spans="1:23" x14ac:dyDescent="0.35">
      <c r="A531">
        <v>1020544</v>
      </c>
      <c r="B531">
        <v>1</v>
      </c>
      <c r="C531">
        <v>1020551</v>
      </c>
      <c r="D531" t="s">
        <v>1772</v>
      </c>
      <c r="E531">
        <v>80</v>
      </c>
      <c r="F531">
        <v>4</v>
      </c>
      <c r="G531">
        <v>0</v>
      </c>
      <c r="H531">
        <v>0</v>
      </c>
      <c r="I531" t="s">
        <v>24</v>
      </c>
      <c r="J531" t="s">
        <v>597</v>
      </c>
      <c r="K531" t="s">
        <v>2004</v>
      </c>
      <c r="L531" s="3">
        <v>45869</v>
      </c>
      <c r="M531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1.3888888888888888E-2</v>
      </c>
      <c r="N531" s="3">
        <v>45826</v>
      </c>
      <c r="O531" s="5">
        <f>IFERROR((PlanMasine[[#This Row],[Norma]]/PlanMasine[[#This Row],[Q]])*(PlanMasine[[#This Row],[Q]]/SUMIF(C:C,PlanMasine[[#This Row],[RN]],B:B)*PlanMasine[[#This Row],[KPLQ]]),0)</f>
        <v>20</v>
      </c>
      <c r="P531">
        <v>139608</v>
      </c>
      <c r="Q531">
        <f>COUNTIF(PROMJENA!A:A,PlanMasine[[#This Row],[KPL]]&amp;"-"&amp;PlanMasine[[#This Row],[RN]])</f>
        <v>0</v>
      </c>
      <c r="R531">
        <f>IFERROR(INDEX(REDOSLIJED!A:A,MATCH(PlanMasine[[#This Row],[KPL]],REDOSLIJED!B:B,0)),MAX(REDOSLIJED!A:A)+1)</f>
        <v>45</v>
      </c>
      <c r="S531" s="9">
        <f>SUM($M$2:M531)</f>
        <v>18.753194444444439</v>
      </c>
      <c r="T531" s="3">
        <f>PlanMasine[[#This Row],[Datum SAS]]-1</f>
        <v>45825</v>
      </c>
      <c r="U531">
        <f>WEEKDAY(PlanMasine[[#This Row],[ZAVRŠETAK MAŠINSKE]],2)</f>
        <v>2</v>
      </c>
      <c r="V531" s="3">
        <f>IF(WEEKDAY(PlanMasine[[#This Row],[Datum SAS]]-1,2)=7,PlanMasine[[#This Row],[Datum SAS]]-3,PlanMasine[[#This Row],[Datum SAS]]-1)</f>
        <v>45825</v>
      </c>
      <c r="W531">
        <f>WEEKNUM(PlanMasine[[#This Row],[Column2]],1)</f>
        <v>25</v>
      </c>
    </row>
    <row r="532" spans="1:23" x14ac:dyDescent="0.35">
      <c r="A532">
        <v>1020544</v>
      </c>
      <c r="B532">
        <v>1</v>
      </c>
      <c r="C532">
        <v>1020558</v>
      </c>
      <c r="D532" t="s">
        <v>1771</v>
      </c>
      <c r="E532">
        <v>60</v>
      </c>
      <c r="F532">
        <v>4</v>
      </c>
      <c r="G532">
        <v>0</v>
      </c>
      <c r="H532">
        <v>0</v>
      </c>
      <c r="I532" t="s">
        <v>24</v>
      </c>
      <c r="J532" t="s">
        <v>597</v>
      </c>
      <c r="K532" t="s">
        <v>2004</v>
      </c>
      <c r="L532" s="3">
        <v>45869</v>
      </c>
      <c r="M532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1.0416666666666666E-2</v>
      </c>
      <c r="N532" s="3">
        <v>45826</v>
      </c>
      <c r="O532" s="5">
        <f>IFERROR((PlanMasine[[#This Row],[Norma]]/PlanMasine[[#This Row],[Q]])*(PlanMasine[[#This Row],[Q]]/SUMIF(C:C,PlanMasine[[#This Row],[RN]],B:B)*PlanMasine[[#This Row],[KPLQ]]),0)</f>
        <v>15</v>
      </c>
      <c r="P532">
        <v>139615</v>
      </c>
      <c r="Q532">
        <f>COUNTIF(PROMJENA!A:A,PlanMasine[[#This Row],[KPL]]&amp;"-"&amp;PlanMasine[[#This Row],[RN]])</f>
        <v>0</v>
      </c>
      <c r="R532">
        <f>IFERROR(INDEX(REDOSLIJED!A:A,MATCH(PlanMasine[[#This Row],[KPL]],REDOSLIJED!B:B,0)),MAX(REDOSLIJED!A:A)+1)</f>
        <v>45</v>
      </c>
      <c r="S532" s="9">
        <f>SUM($M$2:M532)</f>
        <v>18.763611111111107</v>
      </c>
      <c r="T532" s="3">
        <f>PlanMasine[[#This Row],[Datum SAS]]-1</f>
        <v>45825</v>
      </c>
      <c r="U532">
        <f>WEEKDAY(PlanMasine[[#This Row],[ZAVRŠETAK MAŠINSKE]],2)</f>
        <v>2</v>
      </c>
      <c r="V532" s="3">
        <f>IF(WEEKDAY(PlanMasine[[#This Row],[Datum SAS]]-1,2)=7,PlanMasine[[#This Row],[Datum SAS]]-3,PlanMasine[[#This Row],[Datum SAS]]-1)</f>
        <v>45825</v>
      </c>
      <c r="W532">
        <f>WEEKNUM(PlanMasine[[#This Row],[Column2]],1)</f>
        <v>25</v>
      </c>
    </row>
    <row r="533" spans="1:23" x14ac:dyDescent="0.35">
      <c r="A533">
        <v>1020544</v>
      </c>
      <c r="B533">
        <v>1</v>
      </c>
      <c r="C533">
        <v>1020562</v>
      </c>
      <c r="D533" t="s">
        <v>1770</v>
      </c>
      <c r="E533">
        <v>120</v>
      </c>
      <c r="F533">
        <v>4</v>
      </c>
      <c r="G533">
        <v>0</v>
      </c>
      <c r="H533">
        <v>0</v>
      </c>
      <c r="I533" t="s">
        <v>24</v>
      </c>
      <c r="J533" t="s">
        <v>597</v>
      </c>
      <c r="K533" t="s">
        <v>2004</v>
      </c>
      <c r="L533" s="3">
        <v>45869</v>
      </c>
      <c r="M533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2.0833333333333332E-2</v>
      </c>
      <c r="N533" s="3">
        <v>45826</v>
      </c>
      <c r="O533" s="5">
        <f>IFERROR((PlanMasine[[#This Row],[Norma]]/PlanMasine[[#This Row],[Q]])*(PlanMasine[[#This Row],[Q]]/SUMIF(C:C,PlanMasine[[#This Row],[RN]],B:B)*PlanMasine[[#This Row],[KPLQ]]),0)</f>
        <v>30</v>
      </c>
      <c r="P533">
        <v>139619</v>
      </c>
      <c r="Q533">
        <f>COUNTIF(PROMJENA!A:A,PlanMasine[[#This Row],[KPL]]&amp;"-"&amp;PlanMasine[[#This Row],[RN]])</f>
        <v>0</v>
      </c>
      <c r="R533">
        <f>IFERROR(INDEX(REDOSLIJED!A:A,MATCH(PlanMasine[[#This Row],[KPL]],REDOSLIJED!B:B,0)),MAX(REDOSLIJED!A:A)+1)</f>
        <v>45</v>
      </c>
      <c r="S533" s="9">
        <f>SUM($M$2:M533)</f>
        <v>18.784444444444439</v>
      </c>
      <c r="T533" s="3">
        <f>PlanMasine[[#This Row],[Datum SAS]]-1</f>
        <v>45825</v>
      </c>
      <c r="U533">
        <f>WEEKDAY(PlanMasine[[#This Row],[ZAVRŠETAK MAŠINSKE]],2)</f>
        <v>2</v>
      </c>
      <c r="V533" s="3">
        <f>IF(WEEKDAY(PlanMasine[[#This Row],[Datum SAS]]-1,2)=7,PlanMasine[[#This Row],[Datum SAS]]-3,PlanMasine[[#This Row],[Datum SAS]]-1)</f>
        <v>45825</v>
      </c>
      <c r="W533">
        <f>WEEKNUM(PlanMasine[[#This Row],[Column2]],1)</f>
        <v>25</v>
      </c>
    </row>
    <row r="534" spans="1:23" x14ac:dyDescent="0.35">
      <c r="A534">
        <v>1020544</v>
      </c>
      <c r="B534">
        <v>1</v>
      </c>
      <c r="C534">
        <v>1020567</v>
      </c>
      <c r="D534" t="s">
        <v>1855</v>
      </c>
      <c r="E534">
        <v>80</v>
      </c>
      <c r="F534">
        <v>8</v>
      </c>
      <c r="G534">
        <v>0</v>
      </c>
      <c r="H534">
        <v>0</v>
      </c>
      <c r="I534" t="s">
        <v>24</v>
      </c>
      <c r="J534" t="s">
        <v>597</v>
      </c>
      <c r="K534" t="s">
        <v>2004</v>
      </c>
      <c r="L534" s="3">
        <v>45869</v>
      </c>
      <c r="M534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1.3888888888888888E-2</v>
      </c>
      <c r="N534" s="3">
        <v>45826</v>
      </c>
      <c r="O534" s="5">
        <f>IFERROR((PlanMasine[[#This Row],[Norma]]/PlanMasine[[#This Row],[Q]])*(PlanMasine[[#This Row],[Q]]/SUMIF(C:C,PlanMasine[[#This Row],[RN]],B:B)*PlanMasine[[#This Row],[KPLQ]]),0)</f>
        <v>20</v>
      </c>
      <c r="P534">
        <v>139624</v>
      </c>
      <c r="Q534">
        <f>COUNTIF(PROMJENA!A:A,PlanMasine[[#This Row],[KPL]]&amp;"-"&amp;PlanMasine[[#This Row],[RN]])</f>
        <v>0</v>
      </c>
      <c r="R534">
        <f>IFERROR(INDEX(REDOSLIJED!A:A,MATCH(PlanMasine[[#This Row],[KPL]],REDOSLIJED!B:B,0)),MAX(REDOSLIJED!A:A)+1)</f>
        <v>45</v>
      </c>
      <c r="S534" s="9">
        <f>SUM($M$2:M534)</f>
        <v>18.798333333333328</v>
      </c>
      <c r="T534" s="3">
        <f>PlanMasine[[#This Row],[Datum SAS]]-1</f>
        <v>45825</v>
      </c>
      <c r="U534">
        <f>WEEKDAY(PlanMasine[[#This Row],[ZAVRŠETAK MAŠINSKE]],2)</f>
        <v>2</v>
      </c>
      <c r="V534" s="3">
        <f>IF(WEEKDAY(PlanMasine[[#This Row],[Datum SAS]]-1,2)=7,PlanMasine[[#This Row],[Datum SAS]]-3,PlanMasine[[#This Row],[Datum SAS]]-1)</f>
        <v>45825</v>
      </c>
      <c r="W534">
        <f>WEEKNUM(PlanMasine[[#This Row],[Column2]],1)</f>
        <v>25</v>
      </c>
    </row>
    <row r="535" spans="1:23" x14ac:dyDescent="0.35">
      <c r="A535">
        <v>1020544</v>
      </c>
      <c r="B535">
        <v>1</v>
      </c>
      <c r="C535">
        <v>1020561</v>
      </c>
      <c r="D535" t="s">
        <v>977</v>
      </c>
      <c r="E535">
        <v>100</v>
      </c>
      <c r="F535">
        <v>4</v>
      </c>
      <c r="G535">
        <v>0</v>
      </c>
      <c r="H535">
        <v>0</v>
      </c>
      <c r="I535" t="s">
        <v>24</v>
      </c>
      <c r="J535" t="s">
        <v>597</v>
      </c>
      <c r="K535" t="s">
        <v>2004</v>
      </c>
      <c r="L535" s="3">
        <v>45869</v>
      </c>
      <c r="M535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1.7361111111111112E-2</v>
      </c>
      <c r="N535" s="3">
        <v>45826</v>
      </c>
      <c r="O535" s="5">
        <f>IFERROR((PlanMasine[[#This Row],[Norma]]/PlanMasine[[#This Row],[Q]])*(PlanMasine[[#This Row],[Q]]/SUMIF(C:C,PlanMasine[[#This Row],[RN]],B:B)*PlanMasine[[#This Row],[KPLQ]]),0)</f>
        <v>25</v>
      </c>
      <c r="P535">
        <v>139618</v>
      </c>
      <c r="Q535">
        <f>COUNTIF(PROMJENA!A:A,PlanMasine[[#This Row],[KPL]]&amp;"-"&amp;PlanMasine[[#This Row],[RN]])</f>
        <v>0</v>
      </c>
      <c r="R535">
        <f>IFERROR(INDEX(REDOSLIJED!A:A,MATCH(PlanMasine[[#This Row],[KPL]],REDOSLIJED!B:B,0)),MAX(REDOSLIJED!A:A)+1)</f>
        <v>45</v>
      </c>
      <c r="S535" s="9">
        <f>SUM($M$2:M535)</f>
        <v>18.815694444444439</v>
      </c>
      <c r="T535" s="3">
        <f>PlanMasine[[#This Row],[Datum SAS]]-1</f>
        <v>45825</v>
      </c>
      <c r="U535">
        <f>WEEKDAY(PlanMasine[[#This Row],[ZAVRŠETAK MAŠINSKE]],2)</f>
        <v>2</v>
      </c>
      <c r="V535" s="3">
        <f>IF(WEEKDAY(PlanMasine[[#This Row],[Datum SAS]]-1,2)=7,PlanMasine[[#This Row],[Datum SAS]]-3,PlanMasine[[#This Row],[Datum SAS]]-1)</f>
        <v>45825</v>
      </c>
      <c r="W535">
        <f>WEEKNUM(PlanMasine[[#This Row],[Column2]],1)</f>
        <v>25</v>
      </c>
    </row>
    <row r="536" spans="1:23" x14ac:dyDescent="0.35">
      <c r="A536">
        <v>1020544</v>
      </c>
      <c r="B536">
        <v>1</v>
      </c>
      <c r="C536">
        <v>1020574</v>
      </c>
      <c r="D536" t="s">
        <v>1457</v>
      </c>
      <c r="E536">
        <v>300</v>
      </c>
      <c r="F536">
        <v>4</v>
      </c>
      <c r="G536">
        <v>0</v>
      </c>
      <c r="H536">
        <v>0</v>
      </c>
      <c r="I536" t="s">
        <v>24</v>
      </c>
      <c r="J536" t="s">
        <v>597</v>
      </c>
      <c r="K536" t="s">
        <v>2004</v>
      </c>
      <c r="L536" s="3">
        <v>45869</v>
      </c>
      <c r="M536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5.2083333333333336E-2</v>
      </c>
      <c r="N536" s="3">
        <v>45826</v>
      </c>
      <c r="O536" s="5">
        <f>IFERROR((PlanMasine[[#This Row],[Norma]]/PlanMasine[[#This Row],[Q]])*(PlanMasine[[#This Row],[Q]]/SUMIF(C:C,PlanMasine[[#This Row],[RN]],B:B)*PlanMasine[[#This Row],[KPLQ]]),0)</f>
        <v>75</v>
      </c>
      <c r="P536">
        <v>139631</v>
      </c>
      <c r="Q536">
        <f>COUNTIF(PROMJENA!A:A,PlanMasine[[#This Row],[KPL]]&amp;"-"&amp;PlanMasine[[#This Row],[RN]])</f>
        <v>0</v>
      </c>
      <c r="R536">
        <f>IFERROR(INDEX(REDOSLIJED!A:A,MATCH(PlanMasine[[#This Row],[KPL]],REDOSLIJED!B:B,0)),MAX(REDOSLIJED!A:A)+1)</f>
        <v>45</v>
      </c>
      <c r="S536" s="9">
        <f>SUM($M$2:M536)</f>
        <v>18.867777777777771</v>
      </c>
      <c r="T536" s="3">
        <f>PlanMasine[[#This Row],[Datum SAS]]-1</f>
        <v>45825</v>
      </c>
      <c r="U536">
        <f>WEEKDAY(PlanMasine[[#This Row],[ZAVRŠETAK MAŠINSKE]],2)</f>
        <v>2</v>
      </c>
      <c r="V536" s="3">
        <f>IF(WEEKDAY(PlanMasine[[#This Row],[Datum SAS]]-1,2)=7,PlanMasine[[#This Row],[Datum SAS]]-3,PlanMasine[[#This Row],[Datum SAS]]-1)</f>
        <v>45825</v>
      </c>
      <c r="W536">
        <f>WEEKNUM(PlanMasine[[#This Row],[Column2]],1)</f>
        <v>25</v>
      </c>
    </row>
    <row r="537" spans="1:23" x14ac:dyDescent="0.35">
      <c r="A537">
        <v>1020544</v>
      </c>
      <c r="B537">
        <v>1</v>
      </c>
      <c r="C537">
        <v>1020548</v>
      </c>
      <c r="D537" t="s">
        <v>993</v>
      </c>
      <c r="E537">
        <v>50</v>
      </c>
      <c r="F537">
        <v>4</v>
      </c>
      <c r="G537">
        <v>0</v>
      </c>
      <c r="H537">
        <v>0</v>
      </c>
      <c r="I537" t="s">
        <v>24</v>
      </c>
      <c r="J537" t="s">
        <v>597</v>
      </c>
      <c r="K537" t="s">
        <v>2004</v>
      </c>
      <c r="L537" s="3">
        <v>45869</v>
      </c>
      <c r="M537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8.6805555555555559E-3</v>
      </c>
      <c r="N537" s="3">
        <v>45826</v>
      </c>
      <c r="O537" s="5">
        <f>IFERROR((PlanMasine[[#This Row],[Norma]]/PlanMasine[[#This Row],[Q]])*(PlanMasine[[#This Row],[Q]]/SUMIF(C:C,PlanMasine[[#This Row],[RN]],B:B)*PlanMasine[[#This Row],[KPLQ]]),0)</f>
        <v>12.5</v>
      </c>
      <c r="P537">
        <v>139605</v>
      </c>
      <c r="Q537">
        <f>COUNTIF(PROMJENA!A:A,PlanMasine[[#This Row],[KPL]]&amp;"-"&amp;PlanMasine[[#This Row],[RN]])</f>
        <v>0</v>
      </c>
      <c r="R537">
        <f>IFERROR(INDEX(REDOSLIJED!A:A,MATCH(PlanMasine[[#This Row],[KPL]],REDOSLIJED!B:B,0)),MAX(REDOSLIJED!A:A)+1)</f>
        <v>45</v>
      </c>
      <c r="S537" s="9">
        <f>SUM($M$2:M537)</f>
        <v>18.876458333333328</v>
      </c>
      <c r="T537" s="3">
        <f>PlanMasine[[#This Row],[Datum SAS]]-1</f>
        <v>45825</v>
      </c>
      <c r="U537">
        <f>WEEKDAY(PlanMasine[[#This Row],[ZAVRŠETAK MAŠINSKE]],2)</f>
        <v>2</v>
      </c>
      <c r="V537" s="3">
        <f>IF(WEEKDAY(PlanMasine[[#This Row],[Datum SAS]]-1,2)=7,PlanMasine[[#This Row],[Datum SAS]]-3,PlanMasine[[#This Row],[Datum SAS]]-1)</f>
        <v>45825</v>
      </c>
      <c r="W537">
        <f>WEEKNUM(PlanMasine[[#This Row],[Column2]],1)</f>
        <v>25</v>
      </c>
    </row>
    <row r="538" spans="1:23" x14ac:dyDescent="0.35">
      <c r="A538">
        <v>1020545</v>
      </c>
      <c r="B538">
        <v>1</v>
      </c>
      <c r="C538">
        <v>1020551</v>
      </c>
      <c r="D538" t="s">
        <v>1772</v>
      </c>
      <c r="E538">
        <v>80</v>
      </c>
      <c r="F538">
        <v>4</v>
      </c>
      <c r="G538">
        <v>0</v>
      </c>
      <c r="H538">
        <v>0</v>
      </c>
      <c r="I538" t="s">
        <v>24</v>
      </c>
      <c r="J538" t="s">
        <v>597</v>
      </c>
      <c r="K538" t="s">
        <v>2004</v>
      </c>
      <c r="L538" s="3">
        <v>45869</v>
      </c>
      <c r="M538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1.3888888888888888E-2</v>
      </c>
      <c r="N538" s="3">
        <v>45826</v>
      </c>
      <c r="O538" s="5">
        <f>IFERROR((PlanMasine[[#This Row],[Norma]]/PlanMasine[[#This Row],[Q]])*(PlanMasine[[#This Row],[Q]]/SUMIF(C:C,PlanMasine[[#This Row],[RN]],B:B)*PlanMasine[[#This Row],[KPLQ]]),0)</f>
        <v>20</v>
      </c>
      <c r="P538">
        <v>139608</v>
      </c>
      <c r="Q538">
        <f>COUNTIF(PROMJENA!A:A,PlanMasine[[#This Row],[KPL]]&amp;"-"&amp;PlanMasine[[#This Row],[RN]])</f>
        <v>0</v>
      </c>
      <c r="R538">
        <f>IFERROR(INDEX(REDOSLIJED!A:A,MATCH(PlanMasine[[#This Row],[KPL]],REDOSLIJED!B:B,0)),MAX(REDOSLIJED!A:A)+1)</f>
        <v>45</v>
      </c>
      <c r="S538" s="9">
        <f>SUM($M$2:M538)</f>
        <v>18.890347222222218</v>
      </c>
      <c r="T538" s="3">
        <f>PlanMasine[[#This Row],[Datum SAS]]-1</f>
        <v>45825</v>
      </c>
      <c r="U538">
        <f>WEEKDAY(PlanMasine[[#This Row],[ZAVRŠETAK MAŠINSKE]],2)</f>
        <v>2</v>
      </c>
      <c r="V538" s="3">
        <f>IF(WEEKDAY(PlanMasine[[#This Row],[Datum SAS]]-1,2)=7,PlanMasine[[#This Row],[Datum SAS]]-3,PlanMasine[[#This Row],[Datum SAS]]-1)</f>
        <v>45825</v>
      </c>
      <c r="W538">
        <f>WEEKNUM(PlanMasine[[#This Row],[Column2]],1)</f>
        <v>25</v>
      </c>
    </row>
    <row r="539" spans="1:23" x14ac:dyDescent="0.35">
      <c r="A539">
        <v>1020545</v>
      </c>
      <c r="B539">
        <v>1</v>
      </c>
      <c r="C539">
        <v>1020558</v>
      </c>
      <c r="D539" t="s">
        <v>1771</v>
      </c>
      <c r="E539">
        <v>60</v>
      </c>
      <c r="F539">
        <v>4</v>
      </c>
      <c r="G539">
        <v>0</v>
      </c>
      <c r="H539">
        <v>0</v>
      </c>
      <c r="I539" t="s">
        <v>24</v>
      </c>
      <c r="J539" t="s">
        <v>597</v>
      </c>
      <c r="K539" t="s">
        <v>2004</v>
      </c>
      <c r="L539" s="3">
        <v>45869</v>
      </c>
      <c r="M539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1.0416666666666666E-2</v>
      </c>
      <c r="N539" s="3">
        <v>45826</v>
      </c>
      <c r="O539" s="5">
        <f>IFERROR((PlanMasine[[#This Row],[Norma]]/PlanMasine[[#This Row],[Q]])*(PlanMasine[[#This Row],[Q]]/SUMIF(C:C,PlanMasine[[#This Row],[RN]],B:B)*PlanMasine[[#This Row],[KPLQ]]),0)</f>
        <v>15</v>
      </c>
      <c r="P539">
        <v>139615</v>
      </c>
      <c r="Q539">
        <f>COUNTIF(PROMJENA!A:A,PlanMasine[[#This Row],[KPL]]&amp;"-"&amp;PlanMasine[[#This Row],[RN]])</f>
        <v>0</v>
      </c>
      <c r="R539">
        <f>IFERROR(INDEX(REDOSLIJED!A:A,MATCH(PlanMasine[[#This Row],[KPL]],REDOSLIJED!B:B,0)),MAX(REDOSLIJED!A:A)+1)</f>
        <v>45</v>
      </c>
      <c r="S539" s="9">
        <f>SUM($M$2:M539)</f>
        <v>18.900763888888886</v>
      </c>
      <c r="T539" s="3">
        <f>PlanMasine[[#This Row],[Datum SAS]]-1</f>
        <v>45825</v>
      </c>
      <c r="U539">
        <f>WEEKDAY(PlanMasine[[#This Row],[ZAVRŠETAK MAŠINSKE]],2)</f>
        <v>2</v>
      </c>
      <c r="V539" s="3">
        <f>IF(WEEKDAY(PlanMasine[[#This Row],[Datum SAS]]-1,2)=7,PlanMasine[[#This Row],[Datum SAS]]-3,PlanMasine[[#This Row],[Datum SAS]]-1)</f>
        <v>45825</v>
      </c>
      <c r="W539">
        <f>WEEKNUM(PlanMasine[[#This Row],[Column2]],1)</f>
        <v>25</v>
      </c>
    </row>
    <row r="540" spans="1:23" x14ac:dyDescent="0.35">
      <c r="A540">
        <v>1020545</v>
      </c>
      <c r="B540">
        <v>1</v>
      </c>
      <c r="C540">
        <v>1020549</v>
      </c>
      <c r="D540" t="s">
        <v>994</v>
      </c>
      <c r="E540">
        <v>50</v>
      </c>
      <c r="F540">
        <v>4</v>
      </c>
      <c r="G540">
        <v>0</v>
      </c>
      <c r="H540">
        <v>0</v>
      </c>
      <c r="I540" t="s">
        <v>24</v>
      </c>
      <c r="J540" t="s">
        <v>597</v>
      </c>
      <c r="K540" t="s">
        <v>2004</v>
      </c>
      <c r="L540" s="3">
        <v>45869</v>
      </c>
      <c r="M540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8.6805555555555559E-3</v>
      </c>
      <c r="N540" s="3">
        <v>45826</v>
      </c>
      <c r="O540" s="5">
        <f>IFERROR((PlanMasine[[#This Row],[Norma]]/PlanMasine[[#This Row],[Q]])*(PlanMasine[[#This Row],[Q]]/SUMIF(C:C,PlanMasine[[#This Row],[RN]],B:B)*PlanMasine[[#This Row],[KPLQ]]),0)</f>
        <v>12.5</v>
      </c>
      <c r="P540">
        <v>139606</v>
      </c>
      <c r="Q540">
        <f>COUNTIF(PROMJENA!A:A,PlanMasine[[#This Row],[KPL]]&amp;"-"&amp;PlanMasine[[#This Row],[RN]])</f>
        <v>0</v>
      </c>
      <c r="R540">
        <f>IFERROR(INDEX(REDOSLIJED!A:A,MATCH(PlanMasine[[#This Row],[KPL]],REDOSLIJED!B:B,0)),MAX(REDOSLIJED!A:A)+1)</f>
        <v>45</v>
      </c>
      <c r="S540" s="9">
        <f>SUM($M$2:M540)</f>
        <v>18.909444444444443</v>
      </c>
      <c r="T540" s="3">
        <f>PlanMasine[[#This Row],[Datum SAS]]-1</f>
        <v>45825</v>
      </c>
      <c r="U540">
        <f>WEEKDAY(PlanMasine[[#This Row],[ZAVRŠETAK MAŠINSKE]],2)</f>
        <v>2</v>
      </c>
      <c r="V540" s="3">
        <f>IF(WEEKDAY(PlanMasine[[#This Row],[Datum SAS]]-1,2)=7,PlanMasine[[#This Row],[Datum SAS]]-3,PlanMasine[[#This Row],[Datum SAS]]-1)</f>
        <v>45825</v>
      </c>
      <c r="W540">
        <f>WEEKNUM(PlanMasine[[#This Row],[Column2]],1)</f>
        <v>25</v>
      </c>
    </row>
    <row r="541" spans="1:23" x14ac:dyDescent="0.35">
      <c r="A541">
        <v>1020545</v>
      </c>
      <c r="B541">
        <v>1</v>
      </c>
      <c r="C541">
        <v>1020548</v>
      </c>
      <c r="D541" t="s">
        <v>993</v>
      </c>
      <c r="E541">
        <v>50</v>
      </c>
      <c r="F541">
        <v>4</v>
      </c>
      <c r="G541">
        <v>0</v>
      </c>
      <c r="H541">
        <v>0</v>
      </c>
      <c r="I541" t="s">
        <v>24</v>
      </c>
      <c r="J541" t="s">
        <v>597</v>
      </c>
      <c r="K541" t="s">
        <v>2004</v>
      </c>
      <c r="L541" s="3">
        <v>45869</v>
      </c>
      <c r="M541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8.6805555555555559E-3</v>
      </c>
      <c r="N541" s="3">
        <v>45826</v>
      </c>
      <c r="O541" s="5">
        <f>IFERROR((PlanMasine[[#This Row],[Norma]]/PlanMasine[[#This Row],[Q]])*(PlanMasine[[#This Row],[Q]]/SUMIF(C:C,PlanMasine[[#This Row],[RN]],B:B)*PlanMasine[[#This Row],[KPLQ]]),0)</f>
        <v>12.5</v>
      </c>
      <c r="P541">
        <v>139605</v>
      </c>
      <c r="Q541">
        <f>COUNTIF(PROMJENA!A:A,PlanMasine[[#This Row],[KPL]]&amp;"-"&amp;PlanMasine[[#This Row],[RN]])</f>
        <v>0</v>
      </c>
      <c r="R541">
        <f>IFERROR(INDEX(REDOSLIJED!A:A,MATCH(PlanMasine[[#This Row],[KPL]],REDOSLIJED!B:B,0)),MAX(REDOSLIJED!A:A)+1)</f>
        <v>45</v>
      </c>
      <c r="S541" s="9">
        <f>SUM($M$2:M541)</f>
        <v>18.918125</v>
      </c>
      <c r="T541" s="3">
        <f>PlanMasine[[#This Row],[Datum SAS]]-1</f>
        <v>45825</v>
      </c>
      <c r="U541">
        <f>WEEKDAY(PlanMasine[[#This Row],[ZAVRŠETAK MAŠINSKE]],2)</f>
        <v>2</v>
      </c>
      <c r="V541" s="3">
        <f>IF(WEEKDAY(PlanMasine[[#This Row],[Datum SAS]]-1,2)=7,PlanMasine[[#This Row],[Datum SAS]]-3,PlanMasine[[#This Row],[Datum SAS]]-1)</f>
        <v>45825</v>
      </c>
      <c r="W541">
        <f>WEEKNUM(PlanMasine[[#This Row],[Column2]],1)</f>
        <v>25</v>
      </c>
    </row>
    <row r="542" spans="1:23" x14ac:dyDescent="0.35">
      <c r="A542">
        <v>1020545</v>
      </c>
      <c r="B542">
        <v>1</v>
      </c>
      <c r="C542">
        <v>1020561</v>
      </c>
      <c r="D542" t="s">
        <v>977</v>
      </c>
      <c r="E542">
        <v>100</v>
      </c>
      <c r="F542">
        <v>4</v>
      </c>
      <c r="G542">
        <v>0</v>
      </c>
      <c r="H542">
        <v>0</v>
      </c>
      <c r="I542" t="s">
        <v>24</v>
      </c>
      <c r="J542" t="s">
        <v>597</v>
      </c>
      <c r="K542" t="s">
        <v>2004</v>
      </c>
      <c r="L542" s="3">
        <v>45869</v>
      </c>
      <c r="M542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1.7361111111111112E-2</v>
      </c>
      <c r="N542" s="3">
        <v>45826</v>
      </c>
      <c r="O542" s="5">
        <f>IFERROR((PlanMasine[[#This Row],[Norma]]/PlanMasine[[#This Row],[Q]])*(PlanMasine[[#This Row],[Q]]/SUMIF(C:C,PlanMasine[[#This Row],[RN]],B:B)*PlanMasine[[#This Row],[KPLQ]]),0)</f>
        <v>25</v>
      </c>
      <c r="P542">
        <v>139618</v>
      </c>
      <c r="Q542">
        <f>COUNTIF(PROMJENA!A:A,PlanMasine[[#This Row],[KPL]]&amp;"-"&amp;PlanMasine[[#This Row],[RN]])</f>
        <v>0</v>
      </c>
      <c r="R542">
        <f>IFERROR(INDEX(REDOSLIJED!A:A,MATCH(PlanMasine[[#This Row],[KPL]],REDOSLIJED!B:B,0)),MAX(REDOSLIJED!A:A)+1)</f>
        <v>45</v>
      </c>
      <c r="S542" s="9">
        <f>SUM($M$2:M542)</f>
        <v>18.935486111111111</v>
      </c>
      <c r="T542" s="3">
        <f>PlanMasine[[#This Row],[Datum SAS]]-1</f>
        <v>45825</v>
      </c>
      <c r="U542">
        <f>WEEKDAY(PlanMasine[[#This Row],[ZAVRŠETAK MAŠINSKE]],2)</f>
        <v>2</v>
      </c>
      <c r="V542" s="3">
        <f>IF(WEEKDAY(PlanMasine[[#This Row],[Datum SAS]]-1,2)=7,PlanMasine[[#This Row],[Datum SAS]]-3,PlanMasine[[#This Row],[Datum SAS]]-1)</f>
        <v>45825</v>
      </c>
      <c r="W542">
        <f>WEEKNUM(PlanMasine[[#This Row],[Column2]],1)</f>
        <v>25</v>
      </c>
    </row>
    <row r="543" spans="1:23" x14ac:dyDescent="0.35">
      <c r="A543">
        <v>1020545</v>
      </c>
      <c r="B543">
        <v>1</v>
      </c>
      <c r="C543">
        <v>1020562</v>
      </c>
      <c r="D543" t="s">
        <v>1770</v>
      </c>
      <c r="E543">
        <v>120</v>
      </c>
      <c r="F543">
        <v>4</v>
      </c>
      <c r="G543">
        <v>0</v>
      </c>
      <c r="H543">
        <v>0</v>
      </c>
      <c r="I543" t="s">
        <v>24</v>
      </c>
      <c r="J543" t="s">
        <v>597</v>
      </c>
      <c r="K543" t="s">
        <v>2004</v>
      </c>
      <c r="L543" s="3">
        <v>45869</v>
      </c>
      <c r="M543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2.0833333333333332E-2</v>
      </c>
      <c r="N543" s="3">
        <v>45826</v>
      </c>
      <c r="O543" s="5">
        <f>IFERROR((PlanMasine[[#This Row],[Norma]]/PlanMasine[[#This Row],[Q]])*(PlanMasine[[#This Row],[Q]]/SUMIF(C:C,PlanMasine[[#This Row],[RN]],B:B)*PlanMasine[[#This Row],[KPLQ]]),0)</f>
        <v>30</v>
      </c>
      <c r="P543">
        <v>139619</v>
      </c>
      <c r="Q543">
        <f>COUNTIF(PROMJENA!A:A,PlanMasine[[#This Row],[KPL]]&amp;"-"&amp;PlanMasine[[#This Row],[RN]])</f>
        <v>0</v>
      </c>
      <c r="R543">
        <f>IFERROR(INDEX(REDOSLIJED!A:A,MATCH(PlanMasine[[#This Row],[KPL]],REDOSLIJED!B:B,0)),MAX(REDOSLIJED!A:A)+1)</f>
        <v>45</v>
      </c>
      <c r="S543" s="9">
        <f>SUM($M$2:M543)</f>
        <v>18.956319444444443</v>
      </c>
      <c r="T543" s="3">
        <f>PlanMasine[[#This Row],[Datum SAS]]-1</f>
        <v>45825</v>
      </c>
      <c r="U543">
        <f>WEEKDAY(PlanMasine[[#This Row],[ZAVRŠETAK MAŠINSKE]],2)</f>
        <v>2</v>
      </c>
      <c r="V543" s="3">
        <f>IF(WEEKDAY(PlanMasine[[#This Row],[Datum SAS]]-1,2)=7,PlanMasine[[#This Row],[Datum SAS]]-3,PlanMasine[[#This Row],[Datum SAS]]-1)</f>
        <v>45825</v>
      </c>
      <c r="W543">
        <f>WEEKNUM(PlanMasine[[#This Row],[Column2]],1)</f>
        <v>25</v>
      </c>
    </row>
    <row r="544" spans="1:23" x14ac:dyDescent="0.35">
      <c r="A544">
        <v>1020545</v>
      </c>
      <c r="B544">
        <v>1</v>
      </c>
      <c r="C544">
        <v>1020567</v>
      </c>
      <c r="D544" t="s">
        <v>1855</v>
      </c>
      <c r="E544">
        <v>80</v>
      </c>
      <c r="F544">
        <v>8</v>
      </c>
      <c r="G544">
        <v>0</v>
      </c>
      <c r="H544">
        <v>0</v>
      </c>
      <c r="I544" t="s">
        <v>24</v>
      </c>
      <c r="J544" t="s">
        <v>597</v>
      </c>
      <c r="K544" t="s">
        <v>2004</v>
      </c>
      <c r="L544" s="3">
        <v>45869</v>
      </c>
      <c r="M544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1.3888888888888888E-2</v>
      </c>
      <c r="N544" s="3">
        <v>45826</v>
      </c>
      <c r="O544" s="5">
        <f>IFERROR((PlanMasine[[#This Row],[Norma]]/PlanMasine[[#This Row],[Q]])*(PlanMasine[[#This Row],[Q]]/SUMIF(C:C,PlanMasine[[#This Row],[RN]],B:B)*PlanMasine[[#This Row],[KPLQ]]),0)</f>
        <v>20</v>
      </c>
      <c r="P544">
        <v>139624</v>
      </c>
      <c r="Q544">
        <f>COUNTIF(PROMJENA!A:A,PlanMasine[[#This Row],[KPL]]&amp;"-"&amp;PlanMasine[[#This Row],[RN]])</f>
        <v>0</v>
      </c>
      <c r="R544">
        <f>IFERROR(INDEX(REDOSLIJED!A:A,MATCH(PlanMasine[[#This Row],[KPL]],REDOSLIJED!B:B,0)),MAX(REDOSLIJED!A:A)+1)</f>
        <v>45</v>
      </c>
      <c r="S544" s="9">
        <f>SUM($M$2:M544)</f>
        <v>18.970208333333332</v>
      </c>
      <c r="T544" s="3">
        <f>PlanMasine[[#This Row],[Datum SAS]]-1</f>
        <v>45825</v>
      </c>
      <c r="U544">
        <f>WEEKDAY(PlanMasine[[#This Row],[ZAVRŠETAK MAŠINSKE]],2)</f>
        <v>2</v>
      </c>
      <c r="V544" s="3">
        <f>IF(WEEKDAY(PlanMasine[[#This Row],[Datum SAS]]-1,2)=7,PlanMasine[[#This Row],[Datum SAS]]-3,PlanMasine[[#This Row],[Datum SAS]]-1)</f>
        <v>45825</v>
      </c>
      <c r="W544">
        <f>WEEKNUM(PlanMasine[[#This Row],[Column2]],1)</f>
        <v>25</v>
      </c>
    </row>
    <row r="545" spans="1:23" x14ac:dyDescent="0.35">
      <c r="A545">
        <v>1020545</v>
      </c>
      <c r="B545">
        <v>1</v>
      </c>
      <c r="C545">
        <v>1020574</v>
      </c>
      <c r="D545" t="s">
        <v>1457</v>
      </c>
      <c r="E545">
        <v>300</v>
      </c>
      <c r="F545">
        <v>4</v>
      </c>
      <c r="G545">
        <v>0</v>
      </c>
      <c r="H545">
        <v>0</v>
      </c>
      <c r="I545" t="s">
        <v>24</v>
      </c>
      <c r="J545" t="s">
        <v>597</v>
      </c>
      <c r="K545" t="s">
        <v>2004</v>
      </c>
      <c r="L545" s="3">
        <v>45869</v>
      </c>
      <c r="M545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5.2083333333333336E-2</v>
      </c>
      <c r="N545" s="3">
        <v>45826</v>
      </c>
      <c r="O545" s="5">
        <f>IFERROR((PlanMasine[[#This Row],[Norma]]/PlanMasine[[#This Row],[Q]])*(PlanMasine[[#This Row],[Q]]/SUMIF(C:C,PlanMasine[[#This Row],[RN]],B:B)*PlanMasine[[#This Row],[KPLQ]]),0)</f>
        <v>75</v>
      </c>
      <c r="P545">
        <v>139631</v>
      </c>
      <c r="Q545">
        <f>COUNTIF(PROMJENA!A:A,PlanMasine[[#This Row],[KPL]]&amp;"-"&amp;PlanMasine[[#This Row],[RN]])</f>
        <v>0</v>
      </c>
      <c r="R545">
        <f>IFERROR(INDEX(REDOSLIJED!A:A,MATCH(PlanMasine[[#This Row],[KPL]],REDOSLIJED!B:B,0)),MAX(REDOSLIJED!A:A)+1)</f>
        <v>45</v>
      </c>
      <c r="S545" s="9">
        <f>SUM($M$2:M545)</f>
        <v>19.022291666666664</v>
      </c>
      <c r="T545" s="3">
        <f>PlanMasine[[#This Row],[Datum SAS]]-1</f>
        <v>45825</v>
      </c>
      <c r="U545">
        <f>WEEKDAY(PlanMasine[[#This Row],[ZAVRŠETAK MAŠINSKE]],2)</f>
        <v>2</v>
      </c>
      <c r="V545" s="3">
        <f>IF(WEEKDAY(PlanMasine[[#This Row],[Datum SAS]]-1,2)=7,PlanMasine[[#This Row],[Datum SAS]]-3,PlanMasine[[#This Row],[Datum SAS]]-1)</f>
        <v>45825</v>
      </c>
      <c r="W545">
        <f>WEEKNUM(PlanMasine[[#This Row],[Column2]],1)</f>
        <v>25</v>
      </c>
    </row>
    <row r="546" spans="1:23" x14ac:dyDescent="0.35">
      <c r="A546">
        <v>1020546</v>
      </c>
      <c r="B546">
        <v>1</v>
      </c>
      <c r="C546">
        <v>1020558</v>
      </c>
      <c r="D546" t="s">
        <v>1771</v>
      </c>
      <c r="E546">
        <v>60</v>
      </c>
      <c r="F546">
        <v>4</v>
      </c>
      <c r="G546">
        <v>0</v>
      </c>
      <c r="H546">
        <v>0</v>
      </c>
      <c r="I546" t="s">
        <v>24</v>
      </c>
      <c r="J546" t="s">
        <v>597</v>
      </c>
      <c r="K546" t="s">
        <v>2004</v>
      </c>
      <c r="L546" s="3">
        <v>45869</v>
      </c>
      <c r="M546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1.0416666666666666E-2</v>
      </c>
      <c r="N546" s="3">
        <v>45826</v>
      </c>
      <c r="O546" s="5">
        <f>IFERROR((PlanMasine[[#This Row],[Norma]]/PlanMasine[[#This Row],[Q]])*(PlanMasine[[#This Row],[Q]]/SUMIF(C:C,PlanMasine[[#This Row],[RN]],B:B)*PlanMasine[[#This Row],[KPLQ]]),0)</f>
        <v>15</v>
      </c>
      <c r="P546">
        <v>139615</v>
      </c>
      <c r="Q546">
        <f>COUNTIF(PROMJENA!A:A,PlanMasine[[#This Row],[KPL]]&amp;"-"&amp;PlanMasine[[#This Row],[RN]])</f>
        <v>0</v>
      </c>
      <c r="R546">
        <f>IFERROR(INDEX(REDOSLIJED!A:A,MATCH(PlanMasine[[#This Row],[KPL]],REDOSLIJED!B:B,0)),MAX(REDOSLIJED!A:A)+1)</f>
        <v>45</v>
      </c>
      <c r="S546" s="9">
        <f>SUM($M$2:M546)</f>
        <v>19.032708333333332</v>
      </c>
      <c r="T546" s="3">
        <f>PlanMasine[[#This Row],[Datum SAS]]-1</f>
        <v>45825</v>
      </c>
      <c r="U546">
        <f>WEEKDAY(PlanMasine[[#This Row],[ZAVRŠETAK MAŠINSKE]],2)</f>
        <v>2</v>
      </c>
      <c r="V546" s="3">
        <f>IF(WEEKDAY(PlanMasine[[#This Row],[Datum SAS]]-1,2)=7,PlanMasine[[#This Row],[Datum SAS]]-3,PlanMasine[[#This Row],[Datum SAS]]-1)</f>
        <v>45825</v>
      </c>
      <c r="W546">
        <f>WEEKNUM(PlanMasine[[#This Row],[Column2]],1)</f>
        <v>25</v>
      </c>
    </row>
    <row r="547" spans="1:23" x14ac:dyDescent="0.35">
      <c r="A547">
        <v>1020546</v>
      </c>
      <c r="B547">
        <v>1</v>
      </c>
      <c r="C547">
        <v>1020548</v>
      </c>
      <c r="D547" t="s">
        <v>993</v>
      </c>
      <c r="E547">
        <v>50</v>
      </c>
      <c r="F547">
        <v>4</v>
      </c>
      <c r="G547">
        <v>0</v>
      </c>
      <c r="H547">
        <v>0</v>
      </c>
      <c r="I547" t="s">
        <v>24</v>
      </c>
      <c r="J547" t="s">
        <v>597</v>
      </c>
      <c r="K547" t="s">
        <v>2004</v>
      </c>
      <c r="L547" s="3">
        <v>45869</v>
      </c>
      <c r="M547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8.6805555555555559E-3</v>
      </c>
      <c r="N547" s="3">
        <v>45826</v>
      </c>
      <c r="O547" s="5">
        <f>IFERROR((PlanMasine[[#This Row],[Norma]]/PlanMasine[[#This Row],[Q]])*(PlanMasine[[#This Row],[Q]]/SUMIF(C:C,PlanMasine[[#This Row],[RN]],B:B)*PlanMasine[[#This Row],[KPLQ]]),0)</f>
        <v>12.5</v>
      </c>
      <c r="P547">
        <v>139605</v>
      </c>
      <c r="Q547">
        <f>COUNTIF(PROMJENA!A:A,PlanMasine[[#This Row],[KPL]]&amp;"-"&amp;PlanMasine[[#This Row],[RN]])</f>
        <v>0</v>
      </c>
      <c r="R547">
        <f>IFERROR(INDEX(REDOSLIJED!A:A,MATCH(PlanMasine[[#This Row],[KPL]],REDOSLIJED!B:B,0)),MAX(REDOSLIJED!A:A)+1)</f>
        <v>45</v>
      </c>
      <c r="S547" s="9">
        <f>SUM($M$2:M547)</f>
        <v>19.041388888888889</v>
      </c>
      <c r="T547" s="3">
        <f>PlanMasine[[#This Row],[Datum SAS]]-1</f>
        <v>45825</v>
      </c>
      <c r="U547">
        <f>WEEKDAY(PlanMasine[[#This Row],[ZAVRŠETAK MAŠINSKE]],2)</f>
        <v>2</v>
      </c>
      <c r="V547" s="3">
        <f>IF(WEEKDAY(PlanMasine[[#This Row],[Datum SAS]]-1,2)=7,PlanMasine[[#This Row],[Datum SAS]]-3,PlanMasine[[#This Row],[Datum SAS]]-1)</f>
        <v>45825</v>
      </c>
      <c r="W547">
        <f>WEEKNUM(PlanMasine[[#This Row],[Column2]],1)</f>
        <v>25</v>
      </c>
    </row>
    <row r="548" spans="1:23" x14ac:dyDescent="0.35">
      <c r="A548">
        <v>1020546</v>
      </c>
      <c r="B548">
        <v>1</v>
      </c>
      <c r="C548">
        <v>1020567</v>
      </c>
      <c r="D548" t="s">
        <v>1855</v>
      </c>
      <c r="E548">
        <v>80</v>
      </c>
      <c r="F548">
        <v>8</v>
      </c>
      <c r="G548">
        <v>0</v>
      </c>
      <c r="H548">
        <v>0</v>
      </c>
      <c r="I548" t="s">
        <v>24</v>
      </c>
      <c r="J548" t="s">
        <v>597</v>
      </c>
      <c r="K548" t="s">
        <v>2004</v>
      </c>
      <c r="L548" s="3">
        <v>45869</v>
      </c>
      <c r="M548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1.3888888888888888E-2</v>
      </c>
      <c r="N548" s="3">
        <v>45826</v>
      </c>
      <c r="O548" s="5">
        <f>IFERROR((PlanMasine[[#This Row],[Norma]]/PlanMasine[[#This Row],[Q]])*(PlanMasine[[#This Row],[Q]]/SUMIF(C:C,PlanMasine[[#This Row],[RN]],B:B)*PlanMasine[[#This Row],[KPLQ]]),0)</f>
        <v>20</v>
      </c>
      <c r="P548">
        <v>139624</v>
      </c>
      <c r="Q548">
        <f>COUNTIF(PROMJENA!A:A,PlanMasine[[#This Row],[KPL]]&amp;"-"&amp;PlanMasine[[#This Row],[RN]])</f>
        <v>0</v>
      </c>
      <c r="R548">
        <f>IFERROR(INDEX(REDOSLIJED!A:A,MATCH(PlanMasine[[#This Row],[KPL]],REDOSLIJED!B:B,0)),MAX(REDOSLIJED!A:A)+1)</f>
        <v>45</v>
      </c>
      <c r="S548" s="9">
        <f>SUM($M$2:M548)</f>
        <v>19.055277777777778</v>
      </c>
      <c r="T548" s="3">
        <f>PlanMasine[[#This Row],[Datum SAS]]-1</f>
        <v>45825</v>
      </c>
      <c r="U548">
        <f>WEEKDAY(PlanMasine[[#This Row],[ZAVRŠETAK MAŠINSKE]],2)</f>
        <v>2</v>
      </c>
      <c r="V548" s="3">
        <f>IF(WEEKDAY(PlanMasine[[#This Row],[Datum SAS]]-1,2)=7,PlanMasine[[#This Row],[Datum SAS]]-3,PlanMasine[[#This Row],[Datum SAS]]-1)</f>
        <v>45825</v>
      </c>
      <c r="W548">
        <f>WEEKNUM(PlanMasine[[#This Row],[Column2]],1)</f>
        <v>25</v>
      </c>
    </row>
    <row r="549" spans="1:23" x14ac:dyDescent="0.35">
      <c r="A549">
        <v>1020546</v>
      </c>
      <c r="B549">
        <v>1</v>
      </c>
      <c r="C549">
        <v>1020574</v>
      </c>
      <c r="D549" t="s">
        <v>1457</v>
      </c>
      <c r="E549">
        <v>300</v>
      </c>
      <c r="F549">
        <v>4</v>
      </c>
      <c r="G549">
        <v>0</v>
      </c>
      <c r="H549">
        <v>0</v>
      </c>
      <c r="I549" t="s">
        <v>24</v>
      </c>
      <c r="J549" t="s">
        <v>597</v>
      </c>
      <c r="K549" t="s">
        <v>2004</v>
      </c>
      <c r="L549" s="3">
        <v>45869</v>
      </c>
      <c r="M549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5.2083333333333336E-2</v>
      </c>
      <c r="N549" s="3">
        <v>45826</v>
      </c>
      <c r="O549" s="5">
        <f>IFERROR((PlanMasine[[#This Row],[Norma]]/PlanMasine[[#This Row],[Q]])*(PlanMasine[[#This Row],[Q]]/SUMIF(C:C,PlanMasine[[#This Row],[RN]],B:B)*PlanMasine[[#This Row],[KPLQ]]),0)</f>
        <v>75</v>
      </c>
      <c r="P549">
        <v>139631</v>
      </c>
      <c r="Q549">
        <f>COUNTIF(PROMJENA!A:A,PlanMasine[[#This Row],[KPL]]&amp;"-"&amp;PlanMasine[[#This Row],[RN]])</f>
        <v>0</v>
      </c>
      <c r="R549">
        <f>IFERROR(INDEX(REDOSLIJED!A:A,MATCH(PlanMasine[[#This Row],[KPL]],REDOSLIJED!B:B,0)),MAX(REDOSLIJED!A:A)+1)</f>
        <v>45</v>
      </c>
      <c r="S549" s="9">
        <f>SUM($M$2:M549)</f>
        <v>19.107361111111111</v>
      </c>
      <c r="T549" s="3">
        <f>PlanMasine[[#This Row],[Datum SAS]]-1</f>
        <v>45825</v>
      </c>
      <c r="U549">
        <f>WEEKDAY(PlanMasine[[#This Row],[ZAVRŠETAK MAŠINSKE]],2)</f>
        <v>2</v>
      </c>
      <c r="V549" s="3">
        <f>IF(WEEKDAY(PlanMasine[[#This Row],[Datum SAS]]-1,2)=7,PlanMasine[[#This Row],[Datum SAS]]-3,PlanMasine[[#This Row],[Datum SAS]]-1)</f>
        <v>45825</v>
      </c>
      <c r="W549">
        <f>WEEKNUM(PlanMasine[[#This Row],[Column2]],1)</f>
        <v>25</v>
      </c>
    </row>
    <row r="550" spans="1:23" x14ac:dyDescent="0.35">
      <c r="A550">
        <v>1020546</v>
      </c>
      <c r="B550">
        <v>1</v>
      </c>
      <c r="C550">
        <v>1020562</v>
      </c>
      <c r="D550" t="s">
        <v>1770</v>
      </c>
      <c r="E550">
        <v>120</v>
      </c>
      <c r="F550">
        <v>4</v>
      </c>
      <c r="G550">
        <v>0</v>
      </c>
      <c r="H550">
        <v>0</v>
      </c>
      <c r="I550" t="s">
        <v>24</v>
      </c>
      <c r="J550" t="s">
        <v>597</v>
      </c>
      <c r="K550" t="s">
        <v>2004</v>
      </c>
      <c r="L550" s="3">
        <v>45869</v>
      </c>
      <c r="M550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2.0833333333333332E-2</v>
      </c>
      <c r="N550" s="3">
        <v>45826</v>
      </c>
      <c r="O550" s="5">
        <f>IFERROR((PlanMasine[[#This Row],[Norma]]/PlanMasine[[#This Row],[Q]])*(PlanMasine[[#This Row],[Q]]/SUMIF(C:C,PlanMasine[[#This Row],[RN]],B:B)*PlanMasine[[#This Row],[KPLQ]]),0)</f>
        <v>30</v>
      </c>
      <c r="P550">
        <v>139619</v>
      </c>
      <c r="Q550">
        <f>COUNTIF(PROMJENA!A:A,PlanMasine[[#This Row],[KPL]]&amp;"-"&amp;PlanMasine[[#This Row],[RN]])</f>
        <v>0</v>
      </c>
      <c r="R550">
        <f>IFERROR(INDEX(REDOSLIJED!A:A,MATCH(PlanMasine[[#This Row],[KPL]],REDOSLIJED!B:B,0)),MAX(REDOSLIJED!A:A)+1)</f>
        <v>45</v>
      </c>
      <c r="S550" s="9">
        <f>SUM($M$2:M550)</f>
        <v>19.128194444444443</v>
      </c>
      <c r="T550" s="3">
        <f>PlanMasine[[#This Row],[Datum SAS]]-1</f>
        <v>45825</v>
      </c>
      <c r="U550">
        <f>WEEKDAY(PlanMasine[[#This Row],[ZAVRŠETAK MAŠINSKE]],2)</f>
        <v>2</v>
      </c>
      <c r="V550" s="3">
        <f>IF(WEEKDAY(PlanMasine[[#This Row],[Datum SAS]]-1,2)=7,PlanMasine[[#This Row],[Datum SAS]]-3,PlanMasine[[#This Row],[Datum SAS]]-1)</f>
        <v>45825</v>
      </c>
      <c r="W550">
        <f>WEEKNUM(PlanMasine[[#This Row],[Column2]],1)</f>
        <v>25</v>
      </c>
    </row>
    <row r="551" spans="1:23" x14ac:dyDescent="0.35">
      <c r="A551">
        <v>1020546</v>
      </c>
      <c r="B551">
        <v>1</v>
      </c>
      <c r="C551">
        <v>1020561</v>
      </c>
      <c r="D551" t="s">
        <v>977</v>
      </c>
      <c r="E551">
        <v>100</v>
      </c>
      <c r="F551">
        <v>4</v>
      </c>
      <c r="G551">
        <v>0</v>
      </c>
      <c r="H551">
        <v>0</v>
      </c>
      <c r="I551" t="s">
        <v>24</v>
      </c>
      <c r="J551" t="s">
        <v>597</v>
      </c>
      <c r="K551" t="s">
        <v>2004</v>
      </c>
      <c r="L551" s="3">
        <v>45869</v>
      </c>
      <c r="M551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1.7361111111111112E-2</v>
      </c>
      <c r="N551" s="3">
        <v>45826</v>
      </c>
      <c r="O551" s="5">
        <f>IFERROR((PlanMasine[[#This Row],[Norma]]/PlanMasine[[#This Row],[Q]])*(PlanMasine[[#This Row],[Q]]/SUMIF(C:C,PlanMasine[[#This Row],[RN]],B:B)*PlanMasine[[#This Row],[KPLQ]]),0)</f>
        <v>25</v>
      </c>
      <c r="P551">
        <v>139618</v>
      </c>
      <c r="Q551">
        <f>COUNTIF(PROMJENA!A:A,PlanMasine[[#This Row],[KPL]]&amp;"-"&amp;PlanMasine[[#This Row],[RN]])</f>
        <v>0</v>
      </c>
      <c r="R551">
        <f>IFERROR(INDEX(REDOSLIJED!A:A,MATCH(PlanMasine[[#This Row],[KPL]],REDOSLIJED!B:B,0)),MAX(REDOSLIJED!A:A)+1)</f>
        <v>45</v>
      </c>
      <c r="S551" s="9">
        <f>SUM($M$2:M551)</f>
        <v>19.145555555555553</v>
      </c>
      <c r="T551" s="3">
        <f>PlanMasine[[#This Row],[Datum SAS]]-1</f>
        <v>45825</v>
      </c>
      <c r="U551">
        <f>WEEKDAY(PlanMasine[[#This Row],[ZAVRŠETAK MAŠINSKE]],2)</f>
        <v>2</v>
      </c>
      <c r="V551" s="3">
        <f>IF(WEEKDAY(PlanMasine[[#This Row],[Datum SAS]]-1,2)=7,PlanMasine[[#This Row],[Datum SAS]]-3,PlanMasine[[#This Row],[Datum SAS]]-1)</f>
        <v>45825</v>
      </c>
      <c r="W551">
        <f>WEEKNUM(PlanMasine[[#This Row],[Column2]],1)</f>
        <v>25</v>
      </c>
    </row>
    <row r="552" spans="1:23" x14ac:dyDescent="0.35">
      <c r="A552">
        <v>1020546</v>
      </c>
      <c r="B552">
        <v>1</v>
      </c>
      <c r="C552">
        <v>1020551</v>
      </c>
      <c r="D552" t="s">
        <v>1772</v>
      </c>
      <c r="E552">
        <v>80</v>
      </c>
      <c r="F552">
        <v>4</v>
      </c>
      <c r="G552">
        <v>0</v>
      </c>
      <c r="H552">
        <v>0</v>
      </c>
      <c r="I552" t="s">
        <v>24</v>
      </c>
      <c r="J552" t="s">
        <v>597</v>
      </c>
      <c r="K552" t="s">
        <v>2004</v>
      </c>
      <c r="L552" s="3">
        <v>45869</v>
      </c>
      <c r="M552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1.3888888888888888E-2</v>
      </c>
      <c r="N552" s="3">
        <v>45826</v>
      </c>
      <c r="O552" s="5">
        <f>IFERROR((PlanMasine[[#This Row],[Norma]]/PlanMasine[[#This Row],[Q]])*(PlanMasine[[#This Row],[Q]]/SUMIF(C:C,PlanMasine[[#This Row],[RN]],B:B)*PlanMasine[[#This Row],[KPLQ]]),0)</f>
        <v>20</v>
      </c>
      <c r="P552">
        <v>139608</v>
      </c>
      <c r="Q552">
        <f>COUNTIF(PROMJENA!A:A,PlanMasine[[#This Row],[KPL]]&amp;"-"&amp;PlanMasine[[#This Row],[RN]])</f>
        <v>0</v>
      </c>
      <c r="R552">
        <f>IFERROR(INDEX(REDOSLIJED!A:A,MATCH(PlanMasine[[#This Row],[KPL]],REDOSLIJED!B:B,0)),MAX(REDOSLIJED!A:A)+1)</f>
        <v>45</v>
      </c>
      <c r="S552" s="9">
        <f>SUM($M$2:M552)</f>
        <v>19.159444444444443</v>
      </c>
      <c r="T552" s="3">
        <f>PlanMasine[[#This Row],[Datum SAS]]-1</f>
        <v>45825</v>
      </c>
      <c r="U552">
        <f>WEEKDAY(PlanMasine[[#This Row],[ZAVRŠETAK MAŠINSKE]],2)</f>
        <v>2</v>
      </c>
      <c r="V552" s="3">
        <f>IF(WEEKDAY(PlanMasine[[#This Row],[Datum SAS]]-1,2)=7,PlanMasine[[#This Row],[Datum SAS]]-3,PlanMasine[[#This Row],[Datum SAS]]-1)</f>
        <v>45825</v>
      </c>
      <c r="W552">
        <f>WEEKNUM(PlanMasine[[#This Row],[Column2]],1)</f>
        <v>25</v>
      </c>
    </row>
    <row r="553" spans="1:23" x14ac:dyDescent="0.35">
      <c r="A553">
        <v>1020546</v>
      </c>
      <c r="B553">
        <v>1</v>
      </c>
      <c r="C553">
        <v>1020549</v>
      </c>
      <c r="D553" t="s">
        <v>994</v>
      </c>
      <c r="E553">
        <v>50</v>
      </c>
      <c r="F553">
        <v>4</v>
      </c>
      <c r="G553">
        <v>0</v>
      </c>
      <c r="H553">
        <v>0</v>
      </c>
      <c r="I553" t="s">
        <v>24</v>
      </c>
      <c r="J553" t="s">
        <v>597</v>
      </c>
      <c r="K553" t="s">
        <v>2004</v>
      </c>
      <c r="L553" s="3">
        <v>45869</v>
      </c>
      <c r="M553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8.6805555555555559E-3</v>
      </c>
      <c r="N553" s="3">
        <v>45826</v>
      </c>
      <c r="O553" s="5">
        <f>IFERROR((PlanMasine[[#This Row],[Norma]]/PlanMasine[[#This Row],[Q]])*(PlanMasine[[#This Row],[Q]]/SUMIF(C:C,PlanMasine[[#This Row],[RN]],B:B)*PlanMasine[[#This Row],[KPLQ]]),0)</f>
        <v>12.5</v>
      </c>
      <c r="P553">
        <v>139606</v>
      </c>
      <c r="Q553">
        <f>COUNTIF(PROMJENA!A:A,PlanMasine[[#This Row],[KPL]]&amp;"-"&amp;PlanMasine[[#This Row],[RN]])</f>
        <v>0</v>
      </c>
      <c r="R553">
        <f>IFERROR(INDEX(REDOSLIJED!A:A,MATCH(PlanMasine[[#This Row],[KPL]],REDOSLIJED!B:B,0)),MAX(REDOSLIJED!A:A)+1)</f>
        <v>45</v>
      </c>
      <c r="S553" s="9">
        <f>SUM($M$2:M553)</f>
        <v>19.168125</v>
      </c>
      <c r="T553" s="3">
        <f>PlanMasine[[#This Row],[Datum SAS]]-1</f>
        <v>45825</v>
      </c>
      <c r="U553">
        <f>WEEKDAY(PlanMasine[[#This Row],[ZAVRŠETAK MAŠINSKE]],2)</f>
        <v>2</v>
      </c>
      <c r="V553" s="3">
        <f>IF(WEEKDAY(PlanMasine[[#This Row],[Datum SAS]]-1,2)=7,PlanMasine[[#This Row],[Datum SAS]]-3,PlanMasine[[#This Row],[Datum SAS]]-1)</f>
        <v>45825</v>
      </c>
      <c r="W553">
        <f>WEEKNUM(PlanMasine[[#This Row],[Column2]],1)</f>
        <v>25</v>
      </c>
    </row>
    <row r="554" spans="1:23" x14ac:dyDescent="0.35">
      <c r="A554">
        <v>1020547</v>
      </c>
      <c r="B554">
        <v>1</v>
      </c>
      <c r="C554">
        <v>1020549</v>
      </c>
      <c r="D554" t="s">
        <v>994</v>
      </c>
      <c r="E554">
        <v>50</v>
      </c>
      <c r="F554">
        <v>4</v>
      </c>
      <c r="G554">
        <v>0</v>
      </c>
      <c r="H554">
        <v>0</v>
      </c>
      <c r="I554" t="s">
        <v>24</v>
      </c>
      <c r="J554" t="s">
        <v>597</v>
      </c>
      <c r="K554" t="s">
        <v>2004</v>
      </c>
      <c r="L554" s="3">
        <v>45869</v>
      </c>
      <c r="M554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8.6805555555555559E-3</v>
      </c>
      <c r="N554" s="3">
        <v>45826</v>
      </c>
      <c r="O554" s="5">
        <f>IFERROR((PlanMasine[[#This Row],[Norma]]/PlanMasine[[#This Row],[Q]])*(PlanMasine[[#This Row],[Q]]/SUMIF(C:C,PlanMasine[[#This Row],[RN]],B:B)*PlanMasine[[#This Row],[KPLQ]]),0)</f>
        <v>12.5</v>
      </c>
      <c r="P554">
        <v>139606</v>
      </c>
      <c r="Q554">
        <f>COUNTIF(PROMJENA!A:A,PlanMasine[[#This Row],[KPL]]&amp;"-"&amp;PlanMasine[[#This Row],[RN]])</f>
        <v>0</v>
      </c>
      <c r="R554">
        <f>IFERROR(INDEX(REDOSLIJED!A:A,MATCH(PlanMasine[[#This Row],[KPL]],REDOSLIJED!B:B,0)),MAX(REDOSLIJED!A:A)+1)</f>
        <v>45</v>
      </c>
      <c r="S554" s="9">
        <f>SUM($M$2:M554)</f>
        <v>19.176805555555557</v>
      </c>
      <c r="T554" s="3">
        <f>PlanMasine[[#This Row],[Datum SAS]]-1</f>
        <v>45825</v>
      </c>
      <c r="U554">
        <f>WEEKDAY(PlanMasine[[#This Row],[ZAVRŠETAK MAŠINSKE]],2)</f>
        <v>2</v>
      </c>
      <c r="V554" s="3">
        <f>IF(WEEKDAY(PlanMasine[[#This Row],[Datum SAS]]-1,2)=7,PlanMasine[[#This Row],[Datum SAS]]-3,PlanMasine[[#This Row],[Datum SAS]]-1)</f>
        <v>45825</v>
      </c>
      <c r="W554">
        <f>WEEKNUM(PlanMasine[[#This Row],[Column2]],1)</f>
        <v>25</v>
      </c>
    </row>
    <row r="555" spans="1:23" x14ac:dyDescent="0.35">
      <c r="A555">
        <v>1020547</v>
      </c>
      <c r="B555">
        <v>1</v>
      </c>
      <c r="C555">
        <v>1020551</v>
      </c>
      <c r="D555" t="s">
        <v>1772</v>
      </c>
      <c r="E555">
        <v>80</v>
      </c>
      <c r="F555">
        <v>4</v>
      </c>
      <c r="G555">
        <v>0</v>
      </c>
      <c r="H555">
        <v>0</v>
      </c>
      <c r="I555" t="s">
        <v>24</v>
      </c>
      <c r="J555" t="s">
        <v>597</v>
      </c>
      <c r="K555" t="s">
        <v>2004</v>
      </c>
      <c r="L555" s="3">
        <v>45869</v>
      </c>
      <c r="M555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1.3888888888888888E-2</v>
      </c>
      <c r="N555" s="3">
        <v>45826</v>
      </c>
      <c r="O555" s="5">
        <f>IFERROR((PlanMasine[[#This Row],[Norma]]/PlanMasine[[#This Row],[Q]])*(PlanMasine[[#This Row],[Q]]/SUMIF(C:C,PlanMasine[[#This Row],[RN]],B:B)*PlanMasine[[#This Row],[KPLQ]]),0)</f>
        <v>20</v>
      </c>
      <c r="P555">
        <v>139608</v>
      </c>
      <c r="Q555">
        <f>COUNTIF(PROMJENA!A:A,PlanMasine[[#This Row],[KPL]]&amp;"-"&amp;PlanMasine[[#This Row],[RN]])</f>
        <v>0</v>
      </c>
      <c r="R555">
        <f>IFERROR(INDEX(REDOSLIJED!A:A,MATCH(PlanMasine[[#This Row],[KPL]],REDOSLIJED!B:B,0)),MAX(REDOSLIJED!A:A)+1)</f>
        <v>45</v>
      </c>
      <c r="S555" s="9">
        <f>SUM($M$2:M555)</f>
        <v>19.190694444444446</v>
      </c>
      <c r="T555" s="3">
        <f>PlanMasine[[#This Row],[Datum SAS]]-1</f>
        <v>45825</v>
      </c>
      <c r="U555">
        <f>WEEKDAY(PlanMasine[[#This Row],[ZAVRŠETAK MAŠINSKE]],2)</f>
        <v>2</v>
      </c>
      <c r="V555" s="3">
        <f>IF(WEEKDAY(PlanMasine[[#This Row],[Datum SAS]]-1,2)=7,PlanMasine[[#This Row],[Datum SAS]]-3,PlanMasine[[#This Row],[Datum SAS]]-1)</f>
        <v>45825</v>
      </c>
      <c r="W555">
        <f>WEEKNUM(PlanMasine[[#This Row],[Column2]],1)</f>
        <v>25</v>
      </c>
    </row>
    <row r="556" spans="1:23" x14ac:dyDescent="0.35">
      <c r="A556">
        <v>1020547</v>
      </c>
      <c r="B556">
        <v>1</v>
      </c>
      <c r="C556">
        <v>1020558</v>
      </c>
      <c r="D556" t="s">
        <v>1771</v>
      </c>
      <c r="E556">
        <v>60</v>
      </c>
      <c r="F556">
        <v>4</v>
      </c>
      <c r="G556">
        <v>0</v>
      </c>
      <c r="H556">
        <v>0</v>
      </c>
      <c r="I556" t="s">
        <v>24</v>
      </c>
      <c r="J556" t="s">
        <v>597</v>
      </c>
      <c r="K556" t="s">
        <v>2004</v>
      </c>
      <c r="L556" s="3">
        <v>45869</v>
      </c>
      <c r="M556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1.0416666666666666E-2</v>
      </c>
      <c r="N556" s="3">
        <v>45826</v>
      </c>
      <c r="O556" s="5">
        <f>IFERROR((PlanMasine[[#This Row],[Norma]]/PlanMasine[[#This Row],[Q]])*(PlanMasine[[#This Row],[Q]]/SUMIF(C:C,PlanMasine[[#This Row],[RN]],B:B)*PlanMasine[[#This Row],[KPLQ]]),0)</f>
        <v>15</v>
      </c>
      <c r="P556">
        <v>139615</v>
      </c>
      <c r="Q556">
        <f>COUNTIF(PROMJENA!A:A,PlanMasine[[#This Row],[KPL]]&amp;"-"&amp;PlanMasine[[#This Row],[RN]])</f>
        <v>0</v>
      </c>
      <c r="R556">
        <f>IFERROR(INDEX(REDOSLIJED!A:A,MATCH(PlanMasine[[#This Row],[KPL]],REDOSLIJED!B:B,0)),MAX(REDOSLIJED!A:A)+1)</f>
        <v>45</v>
      </c>
      <c r="S556" s="9">
        <f>SUM($M$2:M556)</f>
        <v>19.201111111111114</v>
      </c>
      <c r="T556" s="3">
        <f>PlanMasine[[#This Row],[Datum SAS]]-1</f>
        <v>45825</v>
      </c>
      <c r="U556">
        <f>WEEKDAY(PlanMasine[[#This Row],[ZAVRŠETAK MAŠINSKE]],2)</f>
        <v>2</v>
      </c>
      <c r="V556" s="3">
        <f>IF(WEEKDAY(PlanMasine[[#This Row],[Datum SAS]]-1,2)=7,PlanMasine[[#This Row],[Datum SAS]]-3,PlanMasine[[#This Row],[Datum SAS]]-1)</f>
        <v>45825</v>
      </c>
      <c r="W556">
        <f>WEEKNUM(PlanMasine[[#This Row],[Column2]],1)</f>
        <v>25</v>
      </c>
    </row>
    <row r="557" spans="1:23" x14ac:dyDescent="0.35">
      <c r="A557">
        <v>1020547</v>
      </c>
      <c r="B557">
        <v>1</v>
      </c>
      <c r="C557">
        <v>1020561</v>
      </c>
      <c r="D557" t="s">
        <v>977</v>
      </c>
      <c r="E557">
        <v>100</v>
      </c>
      <c r="F557">
        <v>4</v>
      </c>
      <c r="G557">
        <v>0</v>
      </c>
      <c r="H557">
        <v>0</v>
      </c>
      <c r="I557" t="s">
        <v>24</v>
      </c>
      <c r="J557" t="s">
        <v>597</v>
      </c>
      <c r="K557" t="s">
        <v>2004</v>
      </c>
      <c r="L557" s="3">
        <v>45869</v>
      </c>
      <c r="M557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1.7361111111111112E-2</v>
      </c>
      <c r="N557" s="3">
        <v>45826</v>
      </c>
      <c r="O557" s="5">
        <f>IFERROR((PlanMasine[[#This Row],[Norma]]/PlanMasine[[#This Row],[Q]])*(PlanMasine[[#This Row],[Q]]/SUMIF(C:C,PlanMasine[[#This Row],[RN]],B:B)*PlanMasine[[#This Row],[KPLQ]]),0)</f>
        <v>25</v>
      </c>
      <c r="P557">
        <v>139618</v>
      </c>
      <c r="Q557">
        <f>COUNTIF(PROMJENA!A:A,PlanMasine[[#This Row],[KPL]]&amp;"-"&amp;PlanMasine[[#This Row],[RN]])</f>
        <v>0</v>
      </c>
      <c r="R557">
        <f>IFERROR(INDEX(REDOSLIJED!A:A,MATCH(PlanMasine[[#This Row],[KPL]],REDOSLIJED!B:B,0)),MAX(REDOSLIJED!A:A)+1)</f>
        <v>45</v>
      </c>
      <c r="S557" s="9">
        <f>SUM($M$2:M557)</f>
        <v>19.218472222222225</v>
      </c>
      <c r="T557" s="3">
        <f>PlanMasine[[#This Row],[Datum SAS]]-1</f>
        <v>45825</v>
      </c>
      <c r="U557">
        <f>WEEKDAY(PlanMasine[[#This Row],[ZAVRŠETAK MAŠINSKE]],2)</f>
        <v>2</v>
      </c>
      <c r="V557" s="3">
        <f>IF(WEEKDAY(PlanMasine[[#This Row],[Datum SAS]]-1,2)=7,PlanMasine[[#This Row],[Datum SAS]]-3,PlanMasine[[#This Row],[Datum SAS]]-1)</f>
        <v>45825</v>
      </c>
      <c r="W557">
        <f>WEEKNUM(PlanMasine[[#This Row],[Column2]],1)</f>
        <v>25</v>
      </c>
    </row>
    <row r="558" spans="1:23" x14ac:dyDescent="0.35">
      <c r="A558">
        <v>1020547</v>
      </c>
      <c r="B558">
        <v>1</v>
      </c>
      <c r="C558">
        <v>1020562</v>
      </c>
      <c r="D558" t="s">
        <v>1770</v>
      </c>
      <c r="E558">
        <v>120</v>
      </c>
      <c r="F558">
        <v>4</v>
      </c>
      <c r="G558">
        <v>0</v>
      </c>
      <c r="H558">
        <v>0</v>
      </c>
      <c r="I558" t="s">
        <v>24</v>
      </c>
      <c r="J558" t="s">
        <v>597</v>
      </c>
      <c r="K558" t="s">
        <v>2004</v>
      </c>
      <c r="L558" s="3">
        <v>45869</v>
      </c>
      <c r="M558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2.0833333333333332E-2</v>
      </c>
      <c r="N558" s="3">
        <v>45826</v>
      </c>
      <c r="O558" s="5">
        <f>IFERROR((PlanMasine[[#This Row],[Norma]]/PlanMasine[[#This Row],[Q]])*(PlanMasine[[#This Row],[Q]]/SUMIF(C:C,PlanMasine[[#This Row],[RN]],B:B)*PlanMasine[[#This Row],[KPLQ]]),0)</f>
        <v>30</v>
      </c>
      <c r="P558">
        <v>139619</v>
      </c>
      <c r="Q558">
        <f>COUNTIF(PROMJENA!A:A,PlanMasine[[#This Row],[KPL]]&amp;"-"&amp;PlanMasine[[#This Row],[RN]])</f>
        <v>0</v>
      </c>
      <c r="R558">
        <f>IFERROR(INDEX(REDOSLIJED!A:A,MATCH(PlanMasine[[#This Row],[KPL]],REDOSLIJED!B:B,0)),MAX(REDOSLIJED!A:A)+1)</f>
        <v>45</v>
      </c>
      <c r="S558" s="9">
        <f>SUM($M$2:M558)</f>
        <v>19.239305555555557</v>
      </c>
      <c r="T558" s="3">
        <f>PlanMasine[[#This Row],[Datum SAS]]-1</f>
        <v>45825</v>
      </c>
      <c r="U558">
        <f>WEEKDAY(PlanMasine[[#This Row],[ZAVRŠETAK MAŠINSKE]],2)</f>
        <v>2</v>
      </c>
      <c r="V558" s="3">
        <f>IF(WEEKDAY(PlanMasine[[#This Row],[Datum SAS]]-1,2)=7,PlanMasine[[#This Row],[Datum SAS]]-3,PlanMasine[[#This Row],[Datum SAS]]-1)</f>
        <v>45825</v>
      </c>
      <c r="W558">
        <f>WEEKNUM(PlanMasine[[#This Row],[Column2]],1)</f>
        <v>25</v>
      </c>
    </row>
    <row r="559" spans="1:23" x14ac:dyDescent="0.35">
      <c r="A559">
        <v>1020547</v>
      </c>
      <c r="B559">
        <v>1</v>
      </c>
      <c r="C559">
        <v>1020567</v>
      </c>
      <c r="D559" t="s">
        <v>1855</v>
      </c>
      <c r="E559">
        <v>80</v>
      </c>
      <c r="F559">
        <v>8</v>
      </c>
      <c r="G559">
        <v>0</v>
      </c>
      <c r="H559">
        <v>0</v>
      </c>
      <c r="I559" t="s">
        <v>24</v>
      </c>
      <c r="J559" t="s">
        <v>597</v>
      </c>
      <c r="K559" t="s">
        <v>2004</v>
      </c>
      <c r="L559" s="3">
        <v>45869</v>
      </c>
      <c r="M559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1.3888888888888888E-2</v>
      </c>
      <c r="N559" s="3">
        <v>45826</v>
      </c>
      <c r="O559" s="5">
        <f>IFERROR((PlanMasine[[#This Row],[Norma]]/PlanMasine[[#This Row],[Q]])*(PlanMasine[[#This Row],[Q]]/SUMIF(C:C,PlanMasine[[#This Row],[RN]],B:B)*PlanMasine[[#This Row],[KPLQ]]),0)</f>
        <v>20</v>
      </c>
      <c r="P559">
        <v>139624</v>
      </c>
      <c r="Q559">
        <f>COUNTIF(PROMJENA!A:A,PlanMasine[[#This Row],[KPL]]&amp;"-"&amp;PlanMasine[[#This Row],[RN]])</f>
        <v>0</v>
      </c>
      <c r="R559">
        <f>IFERROR(INDEX(REDOSLIJED!A:A,MATCH(PlanMasine[[#This Row],[KPL]],REDOSLIJED!B:B,0)),MAX(REDOSLIJED!A:A)+1)</f>
        <v>45</v>
      </c>
      <c r="S559" s="9">
        <f>SUM($M$2:M559)</f>
        <v>19.253194444444446</v>
      </c>
      <c r="T559" s="3">
        <f>PlanMasine[[#This Row],[Datum SAS]]-1</f>
        <v>45825</v>
      </c>
      <c r="U559">
        <f>WEEKDAY(PlanMasine[[#This Row],[ZAVRŠETAK MAŠINSKE]],2)</f>
        <v>2</v>
      </c>
      <c r="V559" s="3">
        <f>IF(WEEKDAY(PlanMasine[[#This Row],[Datum SAS]]-1,2)=7,PlanMasine[[#This Row],[Datum SAS]]-3,PlanMasine[[#This Row],[Datum SAS]]-1)</f>
        <v>45825</v>
      </c>
      <c r="W559">
        <f>WEEKNUM(PlanMasine[[#This Row],[Column2]],1)</f>
        <v>25</v>
      </c>
    </row>
    <row r="560" spans="1:23" x14ac:dyDescent="0.35">
      <c r="A560">
        <v>1020547</v>
      </c>
      <c r="B560">
        <v>1</v>
      </c>
      <c r="C560">
        <v>1020574</v>
      </c>
      <c r="D560" t="s">
        <v>1457</v>
      </c>
      <c r="E560">
        <v>300</v>
      </c>
      <c r="F560">
        <v>4</v>
      </c>
      <c r="G560">
        <v>0</v>
      </c>
      <c r="H560">
        <v>0</v>
      </c>
      <c r="I560" t="s">
        <v>24</v>
      </c>
      <c r="J560" t="s">
        <v>597</v>
      </c>
      <c r="K560" t="s">
        <v>2004</v>
      </c>
      <c r="L560" s="3">
        <v>45869</v>
      </c>
      <c r="M560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5.2083333333333336E-2</v>
      </c>
      <c r="N560" s="3">
        <v>45826</v>
      </c>
      <c r="O560" s="5">
        <f>IFERROR((PlanMasine[[#This Row],[Norma]]/PlanMasine[[#This Row],[Q]])*(PlanMasine[[#This Row],[Q]]/SUMIF(C:C,PlanMasine[[#This Row],[RN]],B:B)*PlanMasine[[#This Row],[KPLQ]]),0)</f>
        <v>75</v>
      </c>
      <c r="P560">
        <v>139631</v>
      </c>
      <c r="Q560">
        <f>COUNTIF(PROMJENA!A:A,PlanMasine[[#This Row],[KPL]]&amp;"-"&amp;PlanMasine[[#This Row],[RN]])</f>
        <v>0</v>
      </c>
      <c r="R560">
        <f>IFERROR(INDEX(REDOSLIJED!A:A,MATCH(PlanMasine[[#This Row],[KPL]],REDOSLIJED!B:B,0)),MAX(REDOSLIJED!A:A)+1)</f>
        <v>45</v>
      </c>
      <c r="S560" s="9">
        <f>SUM($M$2:M560)</f>
        <v>19.305277777777778</v>
      </c>
      <c r="T560" s="3">
        <f>PlanMasine[[#This Row],[Datum SAS]]-1</f>
        <v>45825</v>
      </c>
      <c r="U560">
        <f>WEEKDAY(PlanMasine[[#This Row],[ZAVRŠETAK MAŠINSKE]],2)</f>
        <v>2</v>
      </c>
      <c r="V560" s="3">
        <f>IF(WEEKDAY(PlanMasine[[#This Row],[Datum SAS]]-1,2)=7,PlanMasine[[#This Row],[Datum SAS]]-3,PlanMasine[[#This Row],[Datum SAS]]-1)</f>
        <v>45825</v>
      </c>
      <c r="W560">
        <f>WEEKNUM(PlanMasine[[#This Row],[Column2]],1)</f>
        <v>25</v>
      </c>
    </row>
    <row r="561" spans="1:23" x14ac:dyDescent="0.35">
      <c r="A561">
        <v>1020547</v>
      </c>
      <c r="B561">
        <v>1</v>
      </c>
      <c r="C561">
        <v>1020548</v>
      </c>
      <c r="D561" t="s">
        <v>993</v>
      </c>
      <c r="E561">
        <v>50</v>
      </c>
      <c r="F561">
        <v>4</v>
      </c>
      <c r="G561">
        <v>0</v>
      </c>
      <c r="H561">
        <v>0</v>
      </c>
      <c r="I561" t="s">
        <v>24</v>
      </c>
      <c r="J561" t="s">
        <v>597</v>
      </c>
      <c r="K561" t="s">
        <v>2004</v>
      </c>
      <c r="L561" s="3">
        <v>45869</v>
      </c>
      <c r="M561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8.6805555555555559E-3</v>
      </c>
      <c r="N561" s="3">
        <v>45826</v>
      </c>
      <c r="O561" s="5">
        <f>IFERROR((PlanMasine[[#This Row],[Norma]]/PlanMasine[[#This Row],[Q]])*(PlanMasine[[#This Row],[Q]]/SUMIF(C:C,PlanMasine[[#This Row],[RN]],B:B)*PlanMasine[[#This Row],[KPLQ]]),0)</f>
        <v>12.5</v>
      </c>
      <c r="P561">
        <v>139605</v>
      </c>
      <c r="Q561">
        <f>COUNTIF(PROMJENA!A:A,PlanMasine[[#This Row],[KPL]]&amp;"-"&amp;PlanMasine[[#This Row],[RN]])</f>
        <v>0</v>
      </c>
      <c r="R561">
        <f>IFERROR(INDEX(REDOSLIJED!A:A,MATCH(PlanMasine[[#This Row],[KPL]],REDOSLIJED!B:B,0)),MAX(REDOSLIJED!A:A)+1)</f>
        <v>45</v>
      </c>
      <c r="S561" s="9">
        <f>SUM($M$2:M561)</f>
        <v>19.313958333333336</v>
      </c>
      <c r="T561" s="3">
        <f>PlanMasine[[#This Row],[Datum SAS]]-1</f>
        <v>45825</v>
      </c>
      <c r="U561">
        <f>WEEKDAY(PlanMasine[[#This Row],[ZAVRŠETAK MAŠINSKE]],2)</f>
        <v>2</v>
      </c>
      <c r="V561" s="3">
        <f>IF(WEEKDAY(PlanMasine[[#This Row],[Datum SAS]]-1,2)=7,PlanMasine[[#This Row],[Datum SAS]]-3,PlanMasine[[#This Row],[Datum SAS]]-1)</f>
        <v>45825</v>
      </c>
      <c r="W561">
        <f>WEEKNUM(PlanMasine[[#This Row],[Column2]],1)</f>
        <v>25</v>
      </c>
    </row>
    <row r="562" spans="1:23" x14ac:dyDescent="0.35">
      <c r="A562">
        <v>1024670</v>
      </c>
      <c r="B562">
        <v>1</v>
      </c>
      <c r="C562">
        <v>1024657</v>
      </c>
      <c r="D562" t="s">
        <v>247</v>
      </c>
      <c r="E562">
        <v>20</v>
      </c>
      <c r="F562">
        <v>1</v>
      </c>
      <c r="G562">
        <v>0</v>
      </c>
      <c r="H562">
        <v>0</v>
      </c>
      <c r="I562" t="s">
        <v>24</v>
      </c>
      <c r="J562" t="s">
        <v>597</v>
      </c>
      <c r="K562" t="s">
        <v>2005</v>
      </c>
      <c r="L562" s="3">
        <v>45833</v>
      </c>
      <c r="M562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1.3888888888888888E-2</v>
      </c>
      <c r="N562" s="3">
        <v>45826</v>
      </c>
      <c r="O562" s="5">
        <f>IFERROR((PlanMasine[[#This Row],[Norma]]/PlanMasine[[#This Row],[Q]])*(PlanMasine[[#This Row],[Q]]/SUMIF(C:C,PlanMasine[[#This Row],[RN]],B:B)*PlanMasine[[#This Row],[KPLQ]]),0)</f>
        <v>20</v>
      </c>
      <c r="P562">
        <v>155381</v>
      </c>
      <c r="Q562">
        <f>COUNTIF(PROMJENA!A:A,PlanMasine[[#This Row],[KPL]]&amp;"-"&amp;PlanMasine[[#This Row],[RN]])</f>
        <v>0</v>
      </c>
      <c r="R562">
        <f>IFERROR(INDEX(REDOSLIJED!A:A,MATCH(PlanMasine[[#This Row],[KPL]],REDOSLIJED!B:B,0)),MAX(REDOSLIJED!A:A)+1)</f>
        <v>45</v>
      </c>
      <c r="S562" s="9">
        <f>SUM($M$2:M562)</f>
        <v>19.327847222222225</v>
      </c>
      <c r="T562" s="3">
        <f>PlanMasine[[#This Row],[Datum SAS]]-1</f>
        <v>45825</v>
      </c>
      <c r="U562">
        <f>WEEKDAY(PlanMasine[[#This Row],[ZAVRŠETAK MAŠINSKE]],2)</f>
        <v>2</v>
      </c>
      <c r="V562" s="3">
        <f>IF(WEEKDAY(PlanMasine[[#This Row],[Datum SAS]]-1,2)=7,PlanMasine[[#This Row],[Datum SAS]]-3,PlanMasine[[#This Row],[Datum SAS]]-1)</f>
        <v>45825</v>
      </c>
      <c r="W562">
        <f>WEEKNUM(PlanMasine[[#This Row],[Column2]],1)</f>
        <v>25</v>
      </c>
    </row>
    <row r="563" spans="1:23" x14ac:dyDescent="0.35">
      <c r="A563">
        <v>1024670</v>
      </c>
      <c r="B563">
        <v>1</v>
      </c>
      <c r="C563">
        <v>1024648</v>
      </c>
      <c r="D563" t="s">
        <v>246</v>
      </c>
      <c r="E563">
        <v>10</v>
      </c>
      <c r="F563">
        <v>1</v>
      </c>
      <c r="G563">
        <v>0</v>
      </c>
      <c r="H563">
        <v>0</v>
      </c>
      <c r="I563" t="s">
        <v>24</v>
      </c>
      <c r="J563" t="s">
        <v>597</v>
      </c>
      <c r="K563" t="s">
        <v>2005</v>
      </c>
      <c r="L563" s="3">
        <v>45833</v>
      </c>
      <c r="M563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6.9444444444444441E-3</v>
      </c>
      <c r="N563" s="3">
        <v>45826</v>
      </c>
      <c r="O563" s="5">
        <f>IFERROR((PlanMasine[[#This Row],[Norma]]/PlanMasine[[#This Row],[Q]])*(PlanMasine[[#This Row],[Q]]/SUMIF(C:C,PlanMasine[[#This Row],[RN]],B:B)*PlanMasine[[#This Row],[KPLQ]]),0)</f>
        <v>10</v>
      </c>
      <c r="P563">
        <v>155372</v>
      </c>
      <c r="Q563">
        <f>COUNTIF(PROMJENA!A:A,PlanMasine[[#This Row],[KPL]]&amp;"-"&amp;PlanMasine[[#This Row],[RN]])</f>
        <v>0</v>
      </c>
      <c r="R563">
        <f>IFERROR(INDEX(REDOSLIJED!A:A,MATCH(PlanMasine[[#This Row],[KPL]],REDOSLIJED!B:B,0)),MAX(REDOSLIJED!A:A)+1)</f>
        <v>45</v>
      </c>
      <c r="S563" s="9">
        <f>SUM($M$2:M563)</f>
        <v>19.334791666666668</v>
      </c>
      <c r="T563" s="3">
        <f>PlanMasine[[#This Row],[Datum SAS]]-1</f>
        <v>45825</v>
      </c>
      <c r="U563">
        <f>WEEKDAY(PlanMasine[[#This Row],[ZAVRŠETAK MAŠINSKE]],2)</f>
        <v>2</v>
      </c>
      <c r="V563" s="3">
        <f>IF(WEEKDAY(PlanMasine[[#This Row],[Datum SAS]]-1,2)=7,PlanMasine[[#This Row],[Datum SAS]]-3,PlanMasine[[#This Row],[Datum SAS]]-1)</f>
        <v>45825</v>
      </c>
      <c r="W563">
        <f>WEEKNUM(PlanMasine[[#This Row],[Column2]],1)</f>
        <v>25</v>
      </c>
    </row>
    <row r="564" spans="1:23" x14ac:dyDescent="0.35">
      <c r="A564">
        <v>1024670</v>
      </c>
      <c r="B564">
        <v>1</v>
      </c>
      <c r="C564">
        <v>1024649</v>
      </c>
      <c r="D564" t="s">
        <v>1491</v>
      </c>
      <c r="E564">
        <v>5</v>
      </c>
      <c r="F564">
        <v>1</v>
      </c>
      <c r="G564">
        <v>0</v>
      </c>
      <c r="H564">
        <v>0</v>
      </c>
      <c r="I564" t="s">
        <v>24</v>
      </c>
      <c r="J564" t="s">
        <v>597</v>
      </c>
      <c r="K564" t="s">
        <v>2005</v>
      </c>
      <c r="L564" s="3">
        <v>45833</v>
      </c>
      <c r="M564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3.472222222222222E-3</v>
      </c>
      <c r="N564" s="3">
        <v>45826</v>
      </c>
      <c r="O564" s="5">
        <f>IFERROR((PlanMasine[[#This Row],[Norma]]/PlanMasine[[#This Row],[Q]])*(PlanMasine[[#This Row],[Q]]/SUMIF(C:C,PlanMasine[[#This Row],[RN]],B:B)*PlanMasine[[#This Row],[KPLQ]]),0)</f>
        <v>5</v>
      </c>
      <c r="P564">
        <v>155373</v>
      </c>
      <c r="Q564">
        <f>COUNTIF(PROMJENA!A:A,PlanMasine[[#This Row],[KPL]]&amp;"-"&amp;PlanMasine[[#This Row],[RN]])</f>
        <v>0</v>
      </c>
      <c r="R564">
        <f>IFERROR(INDEX(REDOSLIJED!A:A,MATCH(PlanMasine[[#This Row],[KPL]],REDOSLIJED!B:B,0)),MAX(REDOSLIJED!A:A)+1)</f>
        <v>45</v>
      </c>
      <c r="S564" s="9">
        <f>SUM($M$2:M564)</f>
        <v>19.338263888888889</v>
      </c>
      <c r="T564" s="3">
        <f>PlanMasine[[#This Row],[Datum SAS]]-1</f>
        <v>45825</v>
      </c>
      <c r="U564">
        <f>WEEKDAY(PlanMasine[[#This Row],[ZAVRŠETAK MAŠINSKE]],2)</f>
        <v>2</v>
      </c>
      <c r="V564" s="3">
        <f>IF(WEEKDAY(PlanMasine[[#This Row],[Datum SAS]]-1,2)=7,PlanMasine[[#This Row],[Datum SAS]]-3,PlanMasine[[#This Row],[Datum SAS]]-1)</f>
        <v>45825</v>
      </c>
      <c r="W564">
        <f>WEEKNUM(PlanMasine[[#This Row],[Column2]],1)</f>
        <v>25</v>
      </c>
    </row>
    <row r="565" spans="1:23" x14ac:dyDescent="0.35">
      <c r="A565">
        <v>1024670</v>
      </c>
      <c r="B565">
        <v>1</v>
      </c>
      <c r="C565">
        <v>1024656</v>
      </c>
      <c r="D565" t="s">
        <v>1640</v>
      </c>
      <c r="E565">
        <v>15</v>
      </c>
      <c r="F565">
        <v>1</v>
      </c>
      <c r="G565">
        <v>0</v>
      </c>
      <c r="H565">
        <v>0</v>
      </c>
      <c r="I565" t="s">
        <v>24</v>
      </c>
      <c r="J565" t="s">
        <v>597</v>
      </c>
      <c r="K565" t="s">
        <v>2005</v>
      </c>
      <c r="L565" s="3">
        <v>45833</v>
      </c>
      <c r="M565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1.0416666666666666E-2</v>
      </c>
      <c r="N565" s="3">
        <v>45826</v>
      </c>
      <c r="O565" s="5">
        <f>IFERROR((PlanMasine[[#This Row],[Norma]]/PlanMasine[[#This Row],[Q]])*(PlanMasine[[#This Row],[Q]]/SUMIF(C:C,PlanMasine[[#This Row],[RN]],B:B)*PlanMasine[[#This Row],[KPLQ]]),0)</f>
        <v>15</v>
      </c>
      <c r="P565">
        <v>155380</v>
      </c>
      <c r="Q565">
        <f>COUNTIF(PROMJENA!A:A,PlanMasine[[#This Row],[KPL]]&amp;"-"&amp;PlanMasine[[#This Row],[RN]])</f>
        <v>0</v>
      </c>
      <c r="R565">
        <f>IFERROR(INDEX(REDOSLIJED!A:A,MATCH(PlanMasine[[#This Row],[KPL]],REDOSLIJED!B:B,0)),MAX(REDOSLIJED!A:A)+1)</f>
        <v>45</v>
      </c>
      <c r="S565" s="9">
        <f>SUM($M$2:M565)</f>
        <v>19.348680555555557</v>
      </c>
      <c r="T565" s="3">
        <f>PlanMasine[[#This Row],[Datum SAS]]-1</f>
        <v>45825</v>
      </c>
      <c r="U565">
        <f>WEEKDAY(PlanMasine[[#This Row],[ZAVRŠETAK MAŠINSKE]],2)</f>
        <v>2</v>
      </c>
      <c r="V565" s="3">
        <f>IF(WEEKDAY(PlanMasine[[#This Row],[Datum SAS]]-1,2)=7,PlanMasine[[#This Row],[Datum SAS]]-3,PlanMasine[[#This Row],[Datum SAS]]-1)</f>
        <v>45825</v>
      </c>
      <c r="W565">
        <f>WEEKNUM(PlanMasine[[#This Row],[Column2]],1)</f>
        <v>25</v>
      </c>
    </row>
    <row r="566" spans="1:23" x14ac:dyDescent="0.35">
      <c r="A566">
        <v>1024670</v>
      </c>
      <c r="B566">
        <v>1</v>
      </c>
      <c r="C566">
        <v>1024660</v>
      </c>
      <c r="D566" t="s">
        <v>248</v>
      </c>
      <c r="E566">
        <v>7</v>
      </c>
      <c r="F566">
        <v>1</v>
      </c>
      <c r="G566">
        <v>0</v>
      </c>
      <c r="H566">
        <v>0</v>
      </c>
      <c r="I566" t="s">
        <v>24</v>
      </c>
      <c r="J566" t="s">
        <v>597</v>
      </c>
      <c r="K566" t="s">
        <v>2005</v>
      </c>
      <c r="L566" s="3">
        <v>45833</v>
      </c>
      <c r="M566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4.8611111111111112E-3</v>
      </c>
      <c r="N566" s="3">
        <v>45826</v>
      </c>
      <c r="O566" s="5">
        <f>IFERROR((PlanMasine[[#This Row],[Norma]]/PlanMasine[[#This Row],[Q]])*(PlanMasine[[#This Row],[Q]]/SUMIF(C:C,PlanMasine[[#This Row],[RN]],B:B)*PlanMasine[[#This Row],[KPLQ]]),0)</f>
        <v>7</v>
      </c>
      <c r="P566">
        <v>155384</v>
      </c>
      <c r="Q566">
        <f>COUNTIF(PROMJENA!A:A,PlanMasine[[#This Row],[KPL]]&amp;"-"&amp;PlanMasine[[#This Row],[RN]])</f>
        <v>0</v>
      </c>
      <c r="R566">
        <f>IFERROR(INDEX(REDOSLIJED!A:A,MATCH(PlanMasine[[#This Row],[KPL]],REDOSLIJED!B:B,0)),MAX(REDOSLIJED!A:A)+1)</f>
        <v>45</v>
      </c>
      <c r="S566" s="9">
        <f>SUM($M$2:M566)</f>
        <v>19.353541666666668</v>
      </c>
      <c r="T566" s="3">
        <f>PlanMasine[[#This Row],[Datum SAS]]-1</f>
        <v>45825</v>
      </c>
      <c r="U566">
        <f>WEEKDAY(PlanMasine[[#This Row],[ZAVRŠETAK MAŠINSKE]],2)</f>
        <v>2</v>
      </c>
      <c r="V566" s="3">
        <f>IF(WEEKDAY(PlanMasine[[#This Row],[Datum SAS]]-1,2)=7,PlanMasine[[#This Row],[Datum SAS]]-3,PlanMasine[[#This Row],[Datum SAS]]-1)</f>
        <v>45825</v>
      </c>
      <c r="W566">
        <f>WEEKNUM(PlanMasine[[#This Row],[Column2]],1)</f>
        <v>25</v>
      </c>
    </row>
    <row r="567" spans="1:23" x14ac:dyDescent="0.35">
      <c r="A567">
        <v>1026679</v>
      </c>
      <c r="B567">
        <v>1</v>
      </c>
      <c r="C567">
        <v>1026657</v>
      </c>
      <c r="D567" t="s">
        <v>246</v>
      </c>
      <c r="E567">
        <v>10</v>
      </c>
      <c r="F567">
        <v>1</v>
      </c>
      <c r="G567">
        <v>0</v>
      </c>
      <c r="H567">
        <v>0</v>
      </c>
      <c r="I567" t="s">
        <v>24</v>
      </c>
      <c r="J567" t="s">
        <v>597</v>
      </c>
      <c r="K567" t="s">
        <v>2006</v>
      </c>
      <c r="L567" s="3">
        <v>45841</v>
      </c>
      <c r="M567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6.9444444444444441E-3</v>
      </c>
      <c r="N567" s="3">
        <v>45827</v>
      </c>
      <c r="O567" s="5">
        <f>IFERROR((PlanMasine[[#This Row],[Norma]]/PlanMasine[[#This Row],[Q]])*(PlanMasine[[#This Row],[Q]]/SUMIF(C:C,PlanMasine[[#This Row],[RN]],B:B)*PlanMasine[[#This Row],[KPLQ]]),0)</f>
        <v>10</v>
      </c>
      <c r="P567">
        <v>155372</v>
      </c>
      <c r="Q567">
        <f>COUNTIF(PROMJENA!A:A,PlanMasine[[#This Row],[KPL]]&amp;"-"&amp;PlanMasine[[#This Row],[RN]])</f>
        <v>0</v>
      </c>
      <c r="R567">
        <f>IFERROR(INDEX(REDOSLIJED!A:A,MATCH(PlanMasine[[#This Row],[KPL]],REDOSLIJED!B:B,0)),MAX(REDOSLIJED!A:A)+1)</f>
        <v>45</v>
      </c>
      <c r="S567" s="9">
        <f>SUM($M$2:M567)</f>
        <v>19.360486111111111</v>
      </c>
      <c r="T567" s="3">
        <f>PlanMasine[[#This Row],[Datum SAS]]-1</f>
        <v>45826</v>
      </c>
      <c r="U567">
        <f>WEEKDAY(PlanMasine[[#This Row],[ZAVRŠETAK MAŠINSKE]],2)</f>
        <v>3</v>
      </c>
      <c r="V567" s="3">
        <f>IF(WEEKDAY(PlanMasine[[#This Row],[Datum SAS]]-1,2)=7,PlanMasine[[#This Row],[Datum SAS]]-3,PlanMasine[[#This Row],[Datum SAS]]-1)</f>
        <v>45826</v>
      </c>
      <c r="W567">
        <f>WEEKNUM(PlanMasine[[#This Row],[Column2]],1)</f>
        <v>25</v>
      </c>
    </row>
    <row r="568" spans="1:23" x14ac:dyDescent="0.35">
      <c r="A568">
        <v>1026679</v>
      </c>
      <c r="B568">
        <v>1</v>
      </c>
      <c r="C568">
        <v>1026658</v>
      </c>
      <c r="D568" t="s">
        <v>1491</v>
      </c>
      <c r="E568">
        <v>5</v>
      </c>
      <c r="F568">
        <v>1</v>
      </c>
      <c r="G568">
        <v>0</v>
      </c>
      <c r="H568">
        <v>0</v>
      </c>
      <c r="I568" t="s">
        <v>24</v>
      </c>
      <c r="J568" t="s">
        <v>597</v>
      </c>
      <c r="K568" t="s">
        <v>2006</v>
      </c>
      <c r="L568" s="3">
        <v>45841</v>
      </c>
      <c r="M568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3.472222222222222E-3</v>
      </c>
      <c r="N568" s="3">
        <v>45827</v>
      </c>
      <c r="O568" s="5">
        <f>IFERROR((PlanMasine[[#This Row],[Norma]]/PlanMasine[[#This Row],[Q]])*(PlanMasine[[#This Row],[Q]]/SUMIF(C:C,PlanMasine[[#This Row],[RN]],B:B)*PlanMasine[[#This Row],[KPLQ]]),0)</f>
        <v>5</v>
      </c>
      <c r="P568">
        <v>155373</v>
      </c>
      <c r="Q568">
        <f>COUNTIF(PROMJENA!A:A,PlanMasine[[#This Row],[KPL]]&amp;"-"&amp;PlanMasine[[#This Row],[RN]])</f>
        <v>0</v>
      </c>
      <c r="R568">
        <f>IFERROR(INDEX(REDOSLIJED!A:A,MATCH(PlanMasine[[#This Row],[KPL]],REDOSLIJED!B:B,0)),MAX(REDOSLIJED!A:A)+1)</f>
        <v>45</v>
      </c>
      <c r="S568" s="9">
        <f>SUM($M$2:M568)</f>
        <v>19.363958333333333</v>
      </c>
      <c r="T568" s="3">
        <f>PlanMasine[[#This Row],[Datum SAS]]-1</f>
        <v>45826</v>
      </c>
      <c r="U568">
        <f>WEEKDAY(PlanMasine[[#This Row],[ZAVRŠETAK MAŠINSKE]],2)</f>
        <v>3</v>
      </c>
      <c r="V568" s="3">
        <f>IF(WEEKDAY(PlanMasine[[#This Row],[Datum SAS]]-1,2)=7,PlanMasine[[#This Row],[Datum SAS]]-3,PlanMasine[[#This Row],[Datum SAS]]-1)</f>
        <v>45826</v>
      </c>
      <c r="W568">
        <f>WEEKNUM(PlanMasine[[#This Row],[Column2]],1)</f>
        <v>25</v>
      </c>
    </row>
    <row r="569" spans="1:23" x14ac:dyDescent="0.35">
      <c r="A569">
        <v>1026679</v>
      </c>
      <c r="B569">
        <v>1</v>
      </c>
      <c r="C569">
        <v>1026669</v>
      </c>
      <c r="D569" t="s">
        <v>248</v>
      </c>
      <c r="E569">
        <v>7</v>
      </c>
      <c r="F569">
        <v>1</v>
      </c>
      <c r="G569">
        <v>0</v>
      </c>
      <c r="H569">
        <v>0</v>
      </c>
      <c r="I569" t="s">
        <v>24</v>
      </c>
      <c r="J569" t="s">
        <v>597</v>
      </c>
      <c r="K569" t="s">
        <v>2006</v>
      </c>
      <c r="L569" s="3">
        <v>45841</v>
      </c>
      <c r="M569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4.8611111111111112E-3</v>
      </c>
      <c r="N569" s="3">
        <v>45827</v>
      </c>
      <c r="O569" s="5">
        <f>IFERROR((PlanMasine[[#This Row],[Norma]]/PlanMasine[[#This Row],[Q]])*(PlanMasine[[#This Row],[Q]]/SUMIF(C:C,PlanMasine[[#This Row],[RN]],B:B)*PlanMasine[[#This Row],[KPLQ]]),0)</f>
        <v>7</v>
      </c>
      <c r="P569">
        <v>155384</v>
      </c>
      <c r="Q569">
        <f>COUNTIF(PROMJENA!A:A,PlanMasine[[#This Row],[KPL]]&amp;"-"&amp;PlanMasine[[#This Row],[RN]])</f>
        <v>0</v>
      </c>
      <c r="R569">
        <f>IFERROR(INDEX(REDOSLIJED!A:A,MATCH(PlanMasine[[#This Row],[KPL]],REDOSLIJED!B:B,0)),MAX(REDOSLIJED!A:A)+1)</f>
        <v>45</v>
      </c>
      <c r="S569" s="9">
        <f>SUM($M$2:M569)</f>
        <v>19.368819444444444</v>
      </c>
      <c r="T569" s="3">
        <f>PlanMasine[[#This Row],[Datum SAS]]-1</f>
        <v>45826</v>
      </c>
      <c r="U569">
        <f>WEEKDAY(PlanMasine[[#This Row],[ZAVRŠETAK MAŠINSKE]],2)</f>
        <v>3</v>
      </c>
      <c r="V569" s="3">
        <f>IF(WEEKDAY(PlanMasine[[#This Row],[Datum SAS]]-1,2)=7,PlanMasine[[#This Row],[Datum SAS]]-3,PlanMasine[[#This Row],[Datum SAS]]-1)</f>
        <v>45826</v>
      </c>
      <c r="W569">
        <f>WEEKNUM(PlanMasine[[#This Row],[Column2]],1)</f>
        <v>25</v>
      </c>
    </row>
    <row r="570" spans="1:23" x14ac:dyDescent="0.35">
      <c r="A570">
        <v>1028338</v>
      </c>
      <c r="B570">
        <v>3</v>
      </c>
      <c r="C570">
        <v>1028353</v>
      </c>
      <c r="D570" t="s">
        <v>2007</v>
      </c>
      <c r="E570">
        <v>75</v>
      </c>
      <c r="F570">
        <v>3</v>
      </c>
      <c r="G570">
        <v>0</v>
      </c>
      <c r="H570">
        <v>0</v>
      </c>
      <c r="I570" t="s">
        <v>24</v>
      </c>
      <c r="J570" t="s">
        <v>597</v>
      </c>
      <c r="K570" t="s">
        <v>2008</v>
      </c>
      <c r="L570" s="3">
        <v>45856</v>
      </c>
      <c r="M570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5.2083333333333336E-2</v>
      </c>
      <c r="N570" s="3">
        <v>45827</v>
      </c>
      <c r="O570" s="5">
        <f>IFERROR((PlanMasine[[#This Row],[Norma]]/PlanMasine[[#This Row],[Q]])*(PlanMasine[[#This Row],[Q]]/SUMIF(C:C,PlanMasine[[#This Row],[RN]],B:B)*PlanMasine[[#This Row],[KPLQ]]),0)</f>
        <v>75</v>
      </c>
      <c r="P570">
        <v>232279</v>
      </c>
      <c r="Q570">
        <f>COUNTIF(PROMJENA!A:A,PlanMasine[[#This Row],[KPL]]&amp;"-"&amp;PlanMasine[[#This Row],[RN]])</f>
        <v>0</v>
      </c>
      <c r="R570">
        <f>IFERROR(INDEX(REDOSLIJED!A:A,MATCH(PlanMasine[[#This Row],[KPL]],REDOSLIJED!B:B,0)),MAX(REDOSLIJED!A:A)+1)</f>
        <v>45</v>
      </c>
      <c r="S570" s="9">
        <f>SUM($M$2:M570)</f>
        <v>19.420902777777776</v>
      </c>
      <c r="T570" s="3">
        <f>PlanMasine[[#This Row],[Datum SAS]]-1</f>
        <v>45826</v>
      </c>
      <c r="U570">
        <f>WEEKDAY(PlanMasine[[#This Row],[ZAVRŠETAK MAŠINSKE]],2)</f>
        <v>3</v>
      </c>
      <c r="V570" s="3">
        <f>IF(WEEKDAY(PlanMasine[[#This Row],[Datum SAS]]-1,2)=7,PlanMasine[[#This Row],[Datum SAS]]-3,PlanMasine[[#This Row],[Datum SAS]]-1)</f>
        <v>45826</v>
      </c>
      <c r="W570">
        <f>WEEKNUM(PlanMasine[[#This Row],[Column2]],1)</f>
        <v>25</v>
      </c>
    </row>
    <row r="571" spans="1:23" x14ac:dyDescent="0.35">
      <c r="A571">
        <v>1028338</v>
      </c>
      <c r="B571">
        <v>3</v>
      </c>
      <c r="C571">
        <v>1028355</v>
      </c>
      <c r="D571" t="s">
        <v>2009</v>
      </c>
      <c r="E571">
        <v>300</v>
      </c>
      <c r="F571">
        <v>6</v>
      </c>
      <c r="G571">
        <v>0</v>
      </c>
      <c r="H571">
        <v>0</v>
      </c>
      <c r="I571" t="s">
        <v>24</v>
      </c>
      <c r="J571" t="s">
        <v>597</v>
      </c>
      <c r="K571" t="s">
        <v>2008</v>
      </c>
      <c r="L571" s="3">
        <v>45856</v>
      </c>
      <c r="M571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0.20833333333333334</v>
      </c>
      <c r="N571" s="3">
        <v>45827</v>
      </c>
      <c r="O571" s="5">
        <f>IFERROR((PlanMasine[[#This Row],[Norma]]/PlanMasine[[#This Row],[Q]])*(PlanMasine[[#This Row],[Q]]/SUMIF(C:C,PlanMasine[[#This Row],[RN]],B:B)*PlanMasine[[#This Row],[KPLQ]]),0)</f>
        <v>300</v>
      </c>
      <c r="P571">
        <v>232281</v>
      </c>
      <c r="Q571">
        <f>COUNTIF(PROMJENA!A:A,PlanMasine[[#This Row],[KPL]]&amp;"-"&amp;PlanMasine[[#This Row],[RN]])</f>
        <v>0</v>
      </c>
      <c r="R571">
        <f>IFERROR(INDEX(REDOSLIJED!A:A,MATCH(PlanMasine[[#This Row],[KPL]],REDOSLIJED!B:B,0)),MAX(REDOSLIJED!A:A)+1)</f>
        <v>45</v>
      </c>
      <c r="S571" s="9">
        <f>SUM($M$2:M571)</f>
        <v>19.629236111111108</v>
      </c>
      <c r="T571" s="3">
        <f>PlanMasine[[#This Row],[Datum SAS]]-1</f>
        <v>45826</v>
      </c>
      <c r="U571">
        <f>WEEKDAY(PlanMasine[[#This Row],[ZAVRŠETAK MAŠINSKE]],2)</f>
        <v>3</v>
      </c>
      <c r="V571" s="3">
        <f>IF(WEEKDAY(PlanMasine[[#This Row],[Datum SAS]]-1,2)=7,PlanMasine[[#This Row],[Datum SAS]]-3,PlanMasine[[#This Row],[Datum SAS]]-1)</f>
        <v>45826</v>
      </c>
      <c r="W571">
        <f>WEEKNUM(PlanMasine[[#This Row],[Column2]],1)</f>
        <v>25</v>
      </c>
    </row>
    <row r="572" spans="1:23" x14ac:dyDescent="0.35">
      <c r="A572">
        <v>1028338</v>
      </c>
      <c r="B572">
        <v>3</v>
      </c>
      <c r="C572">
        <v>1028356</v>
      </c>
      <c r="D572" t="s">
        <v>2010</v>
      </c>
      <c r="E572">
        <v>300</v>
      </c>
      <c r="F572">
        <v>6</v>
      </c>
      <c r="G572">
        <v>0</v>
      </c>
      <c r="H572">
        <v>0</v>
      </c>
      <c r="I572" t="s">
        <v>24</v>
      </c>
      <c r="J572" t="s">
        <v>597</v>
      </c>
      <c r="K572" t="s">
        <v>2008</v>
      </c>
      <c r="L572" s="3">
        <v>45856</v>
      </c>
      <c r="M572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0.20833333333333334</v>
      </c>
      <c r="N572" s="3">
        <v>45827</v>
      </c>
      <c r="O572" s="5">
        <f>IFERROR((PlanMasine[[#This Row],[Norma]]/PlanMasine[[#This Row],[Q]])*(PlanMasine[[#This Row],[Q]]/SUMIF(C:C,PlanMasine[[#This Row],[RN]],B:B)*PlanMasine[[#This Row],[KPLQ]]),0)</f>
        <v>300</v>
      </c>
      <c r="P572">
        <v>232282</v>
      </c>
      <c r="Q572">
        <f>COUNTIF(PROMJENA!A:A,PlanMasine[[#This Row],[KPL]]&amp;"-"&amp;PlanMasine[[#This Row],[RN]])</f>
        <v>0</v>
      </c>
      <c r="R572">
        <f>IFERROR(INDEX(REDOSLIJED!A:A,MATCH(PlanMasine[[#This Row],[KPL]],REDOSLIJED!B:B,0)),MAX(REDOSLIJED!A:A)+1)</f>
        <v>45</v>
      </c>
      <c r="S572" s="9">
        <f>SUM($M$2:M572)</f>
        <v>19.837569444444441</v>
      </c>
      <c r="T572" s="3">
        <f>PlanMasine[[#This Row],[Datum SAS]]-1</f>
        <v>45826</v>
      </c>
      <c r="U572">
        <f>WEEKDAY(PlanMasine[[#This Row],[ZAVRŠETAK MAŠINSKE]],2)</f>
        <v>3</v>
      </c>
      <c r="V572" s="3">
        <f>IF(WEEKDAY(PlanMasine[[#This Row],[Datum SAS]]-1,2)=7,PlanMasine[[#This Row],[Datum SAS]]-3,PlanMasine[[#This Row],[Datum SAS]]-1)</f>
        <v>45826</v>
      </c>
      <c r="W572">
        <f>WEEKNUM(PlanMasine[[#This Row],[Column2]],1)</f>
        <v>25</v>
      </c>
    </row>
    <row r="573" spans="1:23" x14ac:dyDescent="0.35">
      <c r="A573">
        <v>1026734</v>
      </c>
      <c r="B573">
        <v>1</v>
      </c>
      <c r="C573">
        <v>1026712</v>
      </c>
      <c r="D573" t="s">
        <v>246</v>
      </c>
      <c r="E573">
        <v>10</v>
      </c>
      <c r="F573">
        <v>1</v>
      </c>
      <c r="G573">
        <v>0</v>
      </c>
      <c r="H573">
        <v>0</v>
      </c>
      <c r="I573" t="s">
        <v>24</v>
      </c>
      <c r="J573" t="s">
        <v>597</v>
      </c>
      <c r="K573" t="s">
        <v>2011</v>
      </c>
      <c r="L573" s="3">
        <v>45841</v>
      </c>
      <c r="M573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6.9444444444444441E-3</v>
      </c>
      <c r="N573" s="3">
        <v>45828</v>
      </c>
      <c r="O573" s="5">
        <f>IFERROR((PlanMasine[[#This Row],[Norma]]/PlanMasine[[#This Row],[Q]])*(PlanMasine[[#This Row],[Q]]/SUMIF(C:C,PlanMasine[[#This Row],[RN]],B:B)*PlanMasine[[#This Row],[KPLQ]]),0)</f>
        <v>10</v>
      </c>
      <c r="P573">
        <v>155372</v>
      </c>
      <c r="Q573">
        <f>COUNTIF(PROMJENA!A:A,PlanMasine[[#This Row],[KPL]]&amp;"-"&amp;PlanMasine[[#This Row],[RN]])</f>
        <v>0</v>
      </c>
      <c r="R573">
        <f>IFERROR(INDEX(REDOSLIJED!A:A,MATCH(PlanMasine[[#This Row],[KPL]],REDOSLIJED!B:B,0)),MAX(REDOSLIJED!A:A)+1)</f>
        <v>45</v>
      </c>
      <c r="S573" s="9">
        <f>SUM($M$2:M573)</f>
        <v>19.844513888888883</v>
      </c>
      <c r="T573" s="3">
        <f>PlanMasine[[#This Row],[Datum SAS]]-1</f>
        <v>45827</v>
      </c>
      <c r="U573">
        <f>WEEKDAY(PlanMasine[[#This Row],[ZAVRŠETAK MAŠINSKE]],2)</f>
        <v>4</v>
      </c>
      <c r="V573" s="3">
        <f>IF(WEEKDAY(PlanMasine[[#This Row],[Datum SAS]]-1,2)=7,PlanMasine[[#This Row],[Datum SAS]]-3,PlanMasine[[#This Row],[Datum SAS]]-1)</f>
        <v>45827</v>
      </c>
      <c r="W573">
        <f>WEEKNUM(PlanMasine[[#This Row],[Column2]],1)</f>
        <v>25</v>
      </c>
    </row>
    <row r="574" spans="1:23" x14ac:dyDescent="0.35">
      <c r="A574">
        <v>1026734</v>
      </c>
      <c r="B574">
        <v>1</v>
      </c>
      <c r="C574">
        <v>1026724</v>
      </c>
      <c r="D574" t="s">
        <v>248</v>
      </c>
      <c r="E574">
        <v>7</v>
      </c>
      <c r="F574">
        <v>1</v>
      </c>
      <c r="G574">
        <v>0</v>
      </c>
      <c r="H574">
        <v>0</v>
      </c>
      <c r="I574" t="s">
        <v>24</v>
      </c>
      <c r="J574" t="s">
        <v>597</v>
      </c>
      <c r="K574" t="s">
        <v>2011</v>
      </c>
      <c r="L574" s="3">
        <v>45841</v>
      </c>
      <c r="M574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4.8611111111111112E-3</v>
      </c>
      <c r="N574" s="3">
        <v>45828</v>
      </c>
      <c r="O574" s="5">
        <f>IFERROR((PlanMasine[[#This Row],[Norma]]/PlanMasine[[#This Row],[Q]])*(PlanMasine[[#This Row],[Q]]/SUMIF(C:C,PlanMasine[[#This Row],[RN]],B:B)*PlanMasine[[#This Row],[KPLQ]]),0)</f>
        <v>7</v>
      </c>
      <c r="P574">
        <v>155384</v>
      </c>
      <c r="Q574">
        <f>COUNTIF(PROMJENA!A:A,PlanMasine[[#This Row],[KPL]]&amp;"-"&amp;PlanMasine[[#This Row],[RN]])</f>
        <v>0</v>
      </c>
      <c r="R574">
        <f>IFERROR(INDEX(REDOSLIJED!A:A,MATCH(PlanMasine[[#This Row],[KPL]],REDOSLIJED!B:B,0)),MAX(REDOSLIJED!A:A)+1)</f>
        <v>45</v>
      </c>
      <c r="S574" s="9">
        <f>SUM($M$2:M574)</f>
        <v>19.849374999999995</v>
      </c>
      <c r="T574" s="3">
        <f>PlanMasine[[#This Row],[Datum SAS]]-1</f>
        <v>45827</v>
      </c>
      <c r="U574">
        <f>WEEKDAY(PlanMasine[[#This Row],[ZAVRŠETAK MAŠINSKE]],2)</f>
        <v>4</v>
      </c>
      <c r="V574" s="3">
        <f>IF(WEEKDAY(PlanMasine[[#This Row],[Datum SAS]]-1,2)=7,PlanMasine[[#This Row],[Datum SAS]]-3,PlanMasine[[#This Row],[Datum SAS]]-1)</f>
        <v>45827</v>
      </c>
      <c r="W574">
        <f>WEEKNUM(PlanMasine[[#This Row],[Column2]],1)</f>
        <v>25</v>
      </c>
    </row>
    <row r="575" spans="1:23" x14ac:dyDescent="0.35">
      <c r="A575">
        <v>1026734</v>
      </c>
      <c r="B575">
        <v>1</v>
      </c>
      <c r="C575">
        <v>1026713</v>
      </c>
      <c r="D575" t="s">
        <v>1491</v>
      </c>
      <c r="E575">
        <v>5</v>
      </c>
      <c r="F575">
        <v>1</v>
      </c>
      <c r="G575">
        <v>0</v>
      </c>
      <c r="H575">
        <v>0</v>
      </c>
      <c r="I575" t="s">
        <v>24</v>
      </c>
      <c r="J575" t="s">
        <v>597</v>
      </c>
      <c r="K575" t="s">
        <v>2011</v>
      </c>
      <c r="L575" s="3">
        <v>45841</v>
      </c>
      <c r="M575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3.472222222222222E-3</v>
      </c>
      <c r="N575" s="3">
        <v>45828</v>
      </c>
      <c r="O575" s="5">
        <f>IFERROR((PlanMasine[[#This Row],[Norma]]/PlanMasine[[#This Row],[Q]])*(PlanMasine[[#This Row],[Q]]/SUMIF(C:C,PlanMasine[[#This Row],[RN]],B:B)*PlanMasine[[#This Row],[KPLQ]]),0)</f>
        <v>5</v>
      </c>
      <c r="P575">
        <v>155373</v>
      </c>
      <c r="Q575">
        <f>COUNTIF(PROMJENA!A:A,PlanMasine[[#This Row],[KPL]]&amp;"-"&amp;PlanMasine[[#This Row],[RN]])</f>
        <v>0</v>
      </c>
      <c r="R575">
        <f>IFERROR(INDEX(REDOSLIJED!A:A,MATCH(PlanMasine[[#This Row],[KPL]],REDOSLIJED!B:B,0)),MAX(REDOSLIJED!A:A)+1)</f>
        <v>45</v>
      </c>
      <c r="S575" s="9">
        <f>SUM($M$2:M575)</f>
        <v>19.852847222222216</v>
      </c>
      <c r="T575" s="3">
        <f>PlanMasine[[#This Row],[Datum SAS]]-1</f>
        <v>45827</v>
      </c>
      <c r="U575">
        <f>WEEKDAY(PlanMasine[[#This Row],[ZAVRŠETAK MAŠINSKE]],2)</f>
        <v>4</v>
      </c>
      <c r="V575" s="3">
        <f>IF(WEEKDAY(PlanMasine[[#This Row],[Datum SAS]]-1,2)=7,PlanMasine[[#This Row],[Datum SAS]]-3,PlanMasine[[#This Row],[Datum SAS]]-1)</f>
        <v>45827</v>
      </c>
      <c r="W575">
        <f>WEEKNUM(PlanMasine[[#This Row],[Column2]],1)</f>
        <v>25</v>
      </c>
    </row>
    <row r="576" spans="1:23" x14ac:dyDescent="0.35">
      <c r="A576">
        <v>998834</v>
      </c>
      <c r="B576">
        <v>1</v>
      </c>
      <c r="C576">
        <v>998882</v>
      </c>
      <c r="D576" t="s">
        <v>1755</v>
      </c>
      <c r="E576">
        <v>660</v>
      </c>
      <c r="F576">
        <v>12</v>
      </c>
      <c r="G576">
        <v>0</v>
      </c>
      <c r="H576">
        <v>0</v>
      </c>
      <c r="I576" t="s">
        <v>24</v>
      </c>
      <c r="J576" t="s">
        <v>597</v>
      </c>
      <c r="K576" t="s">
        <v>1805</v>
      </c>
      <c r="L576" s="3">
        <v>45870</v>
      </c>
      <c r="M576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3.8194444444444441E-2</v>
      </c>
      <c r="N576" s="3">
        <v>45831</v>
      </c>
      <c r="O576" s="5">
        <f>IFERROR((PlanMasine[[#This Row],[Norma]]/PlanMasine[[#This Row],[Q]])*(PlanMasine[[#This Row],[Q]]/SUMIF(C:C,PlanMasine[[#This Row],[RN]],B:B)*PlanMasine[[#This Row],[KPLQ]]),0)</f>
        <v>55</v>
      </c>
      <c r="P576">
        <v>227566</v>
      </c>
      <c r="Q576">
        <f>COUNTIF(PROMJENA!A:A,PlanMasine[[#This Row],[KPL]]&amp;"-"&amp;PlanMasine[[#This Row],[RN]])</f>
        <v>0</v>
      </c>
      <c r="R576">
        <f>IFERROR(INDEX(REDOSLIJED!A:A,MATCH(PlanMasine[[#This Row],[KPL]],REDOSLIJED!B:B,0)),MAX(REDOSLIJED!A:A)+1)</f>
        <v>45</v>
      </c>
      <c r="S576" s="9">
        <f>SUM($M$2:M576)</f>
        <v>19.891041666666659</v>
      </c>
      <c r="T576" s="3">
        <f>PlanMasine[[#This Row],[Datum SAS]]-1</f>
        <v>45830</v>
      </c>
      <c r="U576">
        <f>WEEKDAY(PlanMasine[[#This Row],[ZAVRŠETAK MAŠINSKE]],2)</f>
        <v>7</v>
      </c>
      <c r="V576" s="3">
        <f>IF(WEEKDAY(PlanMasine[[#This Row],[Datum SAS]]-1,2)=7,PlanMasine[[#This Row],[Datum SAS]]-3,PlanMasine[[#This Row],[Datum SAS]]-1)</f>
        <v>45828</v>
      </c>
      <c r="W576">
        <f>WEEKNUM(PlanMasine[[#This Row],[Column2]],1)</f>
        <v>25</v>
      </c>
    </row>
    <row r="577" spans="1:23" x14ac:dyDescent="0.35">
      <c r="A577">
        <v>998835</v>
      </c>
      <c r="B577">
        <v>1</v>
      </c>
      <c r="C577">
        <v>998882</v>
      </c>
      <c r="D577" t="s">
        <v>1755</v>
      </c>
      <c r="E577">
        <v>660</v>
      </c>
      <c r="F577">
        <v>12</v>
      </c>
      <c r="G577">
        <v>0</v>
      </c>
      <c r="H577">
        <v>0</v>
      </c>
      <c r="I577" t="s">
        <v>24</v>
      </c>
      <c r="J577" t="s">
        <v>597</v>
      </c>
      <c r="K577" t="s">
        <v>1805</v>
      </c>
      <c r="L577" s="3">
        <v>45870</v>
      </c>
      <c r="M577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3.8194444444444441E-2</v>
      </c>
      <c r="N577" s="3">
        <v>45831</v>
      </c>
      <c r="O577" s="5">
        <f>IFERROR((PlanMasine[[#This Row],[Norma]]/PlanMasine[[#This Row],[Q]])*(PlanMasine[[#This Row],[Q]]/SUMIF(C:C,PlanMasine[[#This Row],[RN]],B:B)*PlanMasine[[#This Row],[KPLQ]]),0)</f>
        <v>55</v>
      </c>
      <c r="P577">
        <v>227566</v>
      </c>
      <c r="Q577">
        <f>COUNTIF(PROMJENA!A:A,PlanMasine[[#This Row],[KPL]]&amp;"-"&amp;PlanMasine[[#This Row],[RN]])</f>
        <v>0</v>
      </c>
      <c r="R577">
        <f>IFERROR(INDEX(REDOSLIJED!A:A,MATCH(PlanMasine[[#This Row],[KPL]],REDOSLIJED!B:B,0)),MAX(REDOSLIJED!A:A)+1)</f>
        <v>45</v>
      </c>
      <c r="S577" s="9">
        <f>SUM($M$2:M577)</f>
        <v>19.929236111111102</v>
      </c>
      <c r="T577" s="3">
        <f>PlanMasine[[#This Row],[Datum SAS]]-1</f>
        <v>45830</v>
      </c>
      <c r="U577">
        <f>WEEKDAY(PlanMasine[[#This Row],[ZAVRŠETAK MAŠINSKE]],2)</f>
        <v>7</v>
      </c>
      <c r="V577" s="3">
        <f>IF(WEEKDAY(PlanMasine[[#This Row],[Datum SAS]]-1,2)=7,PlanMasine[[#This Row],[Datum SAS]]-3,PlanMasine[[#This Row],[Datum SAS]]-1)</f>
        <v>45828</v>
      </c>
      <c r="W577">
        <f>WEEKNUM(PlanMasine[[#This Row],[Column2]],1)</f>
        <v>25</v>
      </c>
    </row>
    <row r="578" spans="1:23" x14ac:dyDescent="0.35">
      <c r="A578">
        <v>998836</v>
      </c>
      <c r="B578">
        <v>1</v>
      </c>
      <c r="C578">
        <v>998882</v>
      </c>
      <c r="D578" t="s">
        <v>1755</v>
      </c>
      <c r="E578">
        <v>660</v>
      </c>
      <c r="F578">
        <v>12</v>
      </c>
      <c r="G578">
        <v>0</v>
      </c>
      <c r="H578">
        <v>0</v>
      </c>
      <c r="I578" t="s">
        <v>24</v>
      </c>
      <c r="J578" t="s">
        <v>597</v>
      </c>
      <c r="K578" t="s">
        <v>1805</v>
      </c>
      <c r="L578" s="3">
        <v>45870</v>
      </c>
      <c r="M578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3.8194444444444441E-2</v>
      </c>
      <c r="N578" s="3">
        <v>45831</v>
      </c>
      <c r="O578" s="5">
        <f>IFERROR((PlanMasine[[#This Row],[Norma]]/PlanMasine[[#This Row],[Q]])*(PlanMasine[[#This Row],[Q]]/SUMIF(C:C,PlanMasine[[#This Row],[RN]],B:B)*PlanMasine[[#This Row],[KPLQ]]),0)</f>
        <v>55</v>
      </c>
      <c r="P578">
        <v>227566</v>
      </c>
      <c r="Q578">
        <f>COUNTIF(PROMJENA!A:A,PlanMasine[[#This Row],[KPL]]&amp;"-"&amp;PlanMasine[[#This Row],[RN]])</f>
        <v>0</v>
      </c>
      <c r="R578">
        <f>IFERROR(INDEX(REDOSLIJED!A:A,MATCH(PlanMasine[[#This Row],[KPL]],REDOSLIJED!B:B,0)),MAX(REDOSLIJED!A:A)+1)</f>
        <v>45</v>
      </c>
      <c r="S578" s="9">
        <f>SUM($M$2:M578)</f>
        <v>19.967430555555545</v>
      </c>
      <c r="T578" s="3">
        <f>PlanMasine[[#This Row],[Datum SAS]]-1</f>
        <v>45830</v>
      </c>
      <c r="U578">
        <f>WEEKDAY(PlanMasine[[#This Row],[ZAVRŠETAK MAŠINSKE]],2)</f>
        <v>7</v>
      </c>
      <c r="V578" s="3">
        <f>IF(WEEKDAY(PlanMasine[[#This Row],[Datum SAS]]-1,2)=7,PlanMasine[[#This Row],[Datum SAS]]-3,PlanMasine[[#This Row],[Datum SAS]]-1)</f>
        <v>45828</v>
      </c>
      <c r="W578">
        <f>WEEKNUM(PlanMasine[[#This Row],[Column2]],1)</f>
        <v>25</v>
      </c>
    </row>
    <row r="579" spans="1:23" x14ac:dyDescent="0.35">
      <c r="A579">
        <v>998837</v>
      </c>
      <c r="B579">
        <v>1</v>
      </c>
      <c r="C579">
        <v>998882</v>
      </c>
      <c r="D579" t="s">
        <v>1755</v>
      </c>
      <c r="E579">
        <v>660</v>
      </c>
      <c r="F579">
        <v>12</v>
      </c>
      <c r="G579">
        <v>0</v>
      </c>
      <c r="H579">
        <v>0</v>
      </c>
      <c r="I579" t="s">
        <v>24</v>
      </c>
      <c r="J579" t="s">
        <v>597</v>
      </c>
      <c r="K579" t="s">
        <v>1805</v>
      </c>
      <c r="L579" s="3">
        <v>45870</v>
      </c>
      <c r="M579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3.8194444444444441E-2</v>
      </c>
      <c r="N579" s="3">
        <v>45831</v>
      </c>
      <c r="O579" s="5">
        <f>IFERROR((PlanMasine[[#This Row],[Norma]]/PlanMasine[[#This Row],[Q]])*(PlanMasine[[#This Row],[Q]]/SUMIF(C:C,PlanMasine[[#This Row],[RN]],B:B)*PlanMasine[[#This Row],[KPLQ]]),0)</f>
        <v>55</v>
      </c>
      <c r="P579">
        <v>227566</v>
      </c>
      <c r="Q579">
        <f>COUNTIF(PROMJENA!A:A,PlanMasine[[#This Row],[KPL]]&amp;"-"&amp;PlanMasine[[#This Row],[RN]])</f>
        <v>0</v>
      </c>
      <c r="R579">
        <f>IFERROR(INDEX(REDOSLIJED!A:A,MATCH(PlanMasine[[#This Row],[KPL]],REDOSLIJED!B:B,0)),MAX(REDOSLIJED!A:A)+1)</f>
        <v>45</v>
      </c>
      <c r="S579" s="9">
        <f>SUM($M$2:M579)</f>
        <v>20.005624999999988</v>
      </c>
      <c r="T579" s="3">
        <f>PlanMasine[[#This Row],[Datum SAS]]-1</f>
        <v>45830</v>
      </c>
      <c r="U579">
        <f>WEEKDAY(PlanMasine[[#This Row],[ZAVRŠETAK MAŠINSKE]],2)</f>
        <v>7</v>
      </c>
      <c r="V579" s="3">
        <f>IF(WEEKDAY(PlanMasine[[#This Row],[Datum SAS]]-1,2)=7,PlanMasine[[#This Row],[Datum SAS]]-3,PlanMasine[[#This Row],[Datum SAS]]-1)</f>
        <v>45828</v>
      </c>
      <c r="W579">
        <f>WEEKNUM(PlanMasine[[#This Row],[Column2]],1)</f>
        <v>25</v>
      </c>
    </row>
    <row r="580" spans="1:23" x14ac:dyDescent="0.35">
      <c r="A580">
        <v>998838</v>
      </c>
      <c r="B580">
        <v>1</v>
      </c>
      <c r="C580">
        <v>998882</v>
      </c>
      <c r="D580" t="s">
        <v>1755</v>
      </c>
      <c r="E580">
        <v>660</v>
      </c>
      <c r="F580">
        <v>12</v>
      </c>
      <c r="G580">
        <v>0</v>
      </c>
      <c r="H580">
        <v>0</v>
      </c>
      <c r="I580" t="s">
        <v>24</v>
      </c>
      <c r="J580" t="s">
        <v>597</v>
      </c>
      <c r="K580" t="s">
        <v>1805</v>
      </c>
      <c r="L580" s="3">
        <v>45870</v>
      </c>
      <c r="M580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3.8194444444444441E-2</v>
      </c>
      <c r="N580" s="3">
        <v>45831</v>
      </c>
      <c r="O580" s="5">
        <f>IFERROR((PlanMasine[[#This Row],[Norma]]/PlanMasine[[#This Row],[Q]])*(PlanMasine[[#This Row],[Q]]/SUMIF(C:C,PlanMasine[[#This Row],[RN]],B:B)*PlanMasine[[#This Row],[KPLQ]]),0)</f>
        <v>55</v>
      </c>
      <c r="P580">
        <v>227566</v>
      </c>
      <c r="Q580">
        <f>COUNTIF(PROMJENA!A:A,PlanMasine[[#This Row],[KPL]]&amp;"-"&amp;PlanMasine[[#This Row],[RN]])</f>
        <v>0</v>
      </c>
      <c r="R580">
        <f>IFERROR(INDEX(REDOSLIJED!A:A,MATCH(PlanMasine[[#This Row],[KPL]],REDOSLIJED!B:B,0)),MAX(REDOSLIJED!A:A)+1)</f>
        <v>45</v>
      </c>
      <c r="S580" s="9">
        <f>SUM($M$2:M580)</f>
        <v>20.043819444444431</v>
      </c>
      <c r="T580" s="3">
        <f>PlanMasine[[#This Row],[Datum SAS]]-1</f>
        <v>45830</v>
      </c>
      <c r="U580">
        <f>WEEKDAY(PlanMasine[[#This Row],[ZAVRŠETAK MAŠINSKE]],2)</f>
        <v>7</v>
      </c>
      <c r="V580" s="3">
        <f>IF(WEEKDAY(PlanMasine[[#This Row],[Datum SAS]]-1,2)=7,PlanMasine[[#This Row],[Datum SAS]]-3,PlanMasine[[#This Row],[Datum SAS]]-1)</f>
        <v>45828</v>
      </c>
      <c r="W580">
        <f>WEEKNUM(PlanMasine[[#This Row],[Column2]],1)</f>
        <v>25</v>
      </c>
    </row>
    <row r="581" spans="1:23" x14ac:dyDescent="0.35">
      <c r="A581">
        <v>998839</v>
      </c>
      <c r="B581">
        <v>1</v>
      </c>
      <c r="C581">
        <v>998882</v>
      </c>
      <c r="D581" t="s">
        <v>1755</v>
      </c>
      <c r="E581">
        <v>660</v>
      </c>
      <c r="F581">
        <v>12</v>
      </c>
      <c r="G581">
        <v>0</v>
      </c>
      <c r="H581">
        <v>0</v>
      </c>
      <c r="I581" t="s">
        <v>24</v>
      </c>
      <c r="J581" t="s">
        <v>597</v>
      </c>
      <c r="K581" t="s">
        <v>1805</v>
      </c>
      <c r="L581" s="3">
        <v>45870</v>
      </c>
      <c r="M581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3.8194444444444441E-2</v>
      </c>
      <c r="N581" s="3">
        <v>45831</v>
      </c>
      <c r="O581" s="5">
        <f>IFERROR((PlanMasine[[#This Row],[Norma]]/PlanMasine[[#This Row],[Q]])*(PlanMasine[[#This Row],[Q]]/SUMIF(C:C,PlanMasine[[#This Row],[RN]],B:B)*PlanMasine[[#This Row],[KPLQ]]),0)</f>
        <v>55</v>
      </c>
      <c r="P581">
        <v>227566</v>
      </c>
      <c r="Q581">
        <f>COUNTIF(PROMJENA!A:A,PlanMasine[[#This Row],[KPL]]&amp;"-"&amp;PlanMasine[[#This Row],[RN]])</f>
        <v>0</v>
      </c>
      <c r="R581">
        <f>IFERROR(INDEX(REDOSLIJED!A:A,MATCH(PlanMasine[[#This Row],[KPL]],REDOSLIJED!B:B,0)),MAX(REDOSLIJED!A:A)+1)</f>
        <v>45</v>
      </c>
      <c r="S581" s="9">
        <f>SUM($M$2:M581)</f>
        <v>20.082013888888874</v>
      </c>
      <c r="T581" s="3">
        <f>PlanMasine[[#This Row],[Datum SAS]]-1</f>
        <v>45830</v>
      </c>
      <c r="U581">
        <f>WEEKDAY(PlanMasine[[#This Row],[ZAVRŠETAK MAŠINSKE]],2)</f>
        <v>7</v>
      </c>
      <c r="V581" s="3">
        <f>IF(WEEKDAY(PlanMasine[[#This Row],[Datum SAS]]-1,2)=7,PlanMasine[[#This Row],[Datum SAS]]-3,PlanMasine[[#This Row],[Datum SAS]]-1)</f>
        <v>45828</v>
      </c>
      <c r="W581">
        <f>WEEKNUM(PlanMasine[[#This Row],[Column2]],1)</f>
        <v>25</v>
      </c>
    </row>
    <row r="582" spans="1:23" x14ac:dyDescent="0.35">
      <c r="A582">
        <v>998840</v>
      </c>
      <c r="B582">
        <v>1</v>
      </c>
      <c r="C582">
        <v>998882</v>
      </c>
      <c r="D582" t="s">
        <v>1755</v>
      </c>
      <c r="E582">
        <v>660</v>
      </c>
      <c r="F582">
        <v>12</v>
      </c>
      <c r="G582">
        <v>0</v>
      </c>
      <c r="H582">
        <v>0</v>
      </c>
      <c r="I582" t="s">
        <v>24</v>
      </c>
      <c r="J582" t="s">
        <v>597</v>
      </c>
      <c r="K582" t="s">
        <v>1805</v>
      </c>
      <c r="L582" s="3">
        <v>45870</v>
      </c>
      <c r="M582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3.8194444444444441E-2</v>
      </c>
      <c r="N582" s="3">
        <v>45831</v>
      </c>
      <c r="O582" s="5">
        <f>IFERROR((PlanMasine[[#This Row],[Norma]]/PlanMasine[[#This Row],[Q]])*(PlanMasine[[#This Row],[Q]]/SUMIF(C:C,PlanMasine[[#This Row],[RN]],B:B)*PlanMasine[[#This Row],[KPLQ]]),0)</f>
        <v>55</v>
      </c>
      <c r="P582">
        <v>227566</v>
      </c>
      <c r="Q582">
        <f>COUNTIF(PROMJENA!A:A,PlanMasine[[#This Row],[KPL]]&amp;"-"&amp;PlanMasine[[#This Row],[RN]])</f>
        <v>0</v>
      </c>
      <c r="R582">
        <f>IFERROR(INDEX(REDOSLIJED!A:A,MATCH(PlanMasine[[#This Row],[KPL]],REDOSLIJED!B:B,0)),MAX(REDOSLIJED!A:A)+1)</f>
        <v>45</v>
      </c>
      <c r="S582" s="9">
        <f>SUM($M$2:M582)</f>
        <v>20.120208333333316</v>
      </c>
      <c r="T582" s="3">
        <f>PlanMasine[[#This Row],[Datum SAS]]-1</f>
        <v>45830</v>
      </c>
      <c r="U582">
        <f>WEEKDAY(PlanMasine[[#This Row],[ZAVRŠETAK MAŠINSKE]],2)</f>
        <v>7</v>
      </c>
      <c r="V582" s="3">
        <f>IF(WEEKDAY(PlanMasine[[#This Row],[Datum SAS]]-1,2)=7,PlanMasine[[#This Row],[Datum SAS]]-3,PlanMasine[[#This Row],[Datum SAS]]-1)</f>
        <v>45828</v>
      </c>
      <c r="W582">
        <f>WEEKNUM(PlanMasine[[#This Row],[Column2]],1)</f>
        <v>25</v>
      </c>
    </row>
    <row r="583" spans="1:23" x14ac:dyDescent="0.35">
      <c r="A583">
        <v>998841</v>
      </c>
      <c r="B583">
        <v>1</v>
      </c>
      <c r="C583">
        <v>998882</v>
      </c>
      <c r="D583" t="s">
        <v>1755</v>
      </c>
      <c r="E583">
        <v>660</v>
      </c>
      <c r="F583">
        <v>12</v>
      </c>
      <c r="G583">
        <v>0</v>
      </c>
      <c r="H583">
        <v>0</v>
      </c>
      <c r="I583" t="s">
        <v>24</v>
      </c>
      <c r="J583" t="s">
        <v>597</v>
      </c>
      <c r="K583" t="s">
        <v>1805</v>
      </c>
      <c r="L583" s="3">
        <v>45870</v>
      </c>
      <c r="M583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3.8194444444444441E-2</v>
      </c>
      <c r="N583" s="3">
        <v>45831</v>
      </c>
      <c r="O583" s="5">
        <f>IFERROR((PlanMasine[[#This Row],[Norma]]/PlanMasine[[#This Row],[Q]])*(PlanMasine[[#This Row],[Q]]/SUMIF(C:C,PlanMasine[[#This Row],[RN]],B:B)*PlanMasine[[#This Row],[KPLQ]]),0)</f>
        <v>55</v>
      </c>
      <c r="P583">
        <v>227566</v>
      </c>
      <c r="Q583">
        <f>COUNTIF(PROMJENA!A:A,PlanMasine[[#This Row],[KPL]]&amp;"-"&amp;PlanMasine[[#This Row],[RN]])</f>
        <v>0</v>
      </c>
      <c r="R583">
        <f>IFERROR(INDEX(REDOSLIJED!A:A,MATCH(PlanMasine[[#This Row],[KPL]],REDOSLIJED!B:B,0)),MAX(REDOSLIJED!A:A)+1)</f>
        <v>45</v>
      </c>
      <c r="S583" s="9">
        <f>SUM($M$2:M583)</f>
        <v>20.158402777777759</v>
      </c>
      <c r="T583" s="3">
        <f>PlanMasine[[#This Row],[Datum SAS]]-1</f>
        <v>45830</v>
      </c>
      <c r="U583">
        <f>WEEKDAY(PlanMasine[[#This Row],[ZAVRŠETAK MAŠINSKE]],2)</f>
        <v>7</v>
      </c>
      <c r="V583" s="3">
        <f>IF(WEEKDAY(PlanMasine[[#This Row],[Datum SAS]]-1,2)=7,PlanMasine[[#This Row],[Datum SAS]]-3,PlanMasine[[#This Row],[Datum SAS]]-1)</f>
        <v>45828</v>
      </c>
      <c r="W583">
        <f>WEEKNUM(PlanMasine[[#This Row],[Column2]],1)</f>
        <v>25</v>
      </c>
    </row>
    <row r="584" spans="1:23" x14ac:dyDescent="0.35">
      <c r="A584">
        <v>998842</v>
      </c>
      <c r="B584">
        <v>1</v>
      </c>
      <c r="C584">
        <v>998882</v>
      </c>
      <c r="D584" t="s">
        <v>1755</v>
      </c>
      <c r="E584">
        <v>660</v>
      </c>
      <c r="F584">
        <v>12</v>
      </c>
      <c r="G584">
        <v>0</v>
      </c>
      <c r="H584">
        <v>0</v>
      </c>
      <c r="I584" t="s">
        <v>24</v>
      </c>
      <c r="J584" t="s">
        <v>597</v>
      </c>
      <c r="K584" t="s">
        <v>1805</v>
      </c>
      <c r="L584" s="3">
        <v>45870</v>
      </c>
      <c r="M584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3.8194444444444441E-2</v>
      </c>
      <c r="N584" s="3">
        <v>45831</v>
      </c>
      <c r="O584" s="5">
        <f>IFERROR((PlanMasine[[#This Row],[Norma]]/PlanMasine[[#This Row],[Q]])*(PlanMasine[[#This Row],[Q]]/SUMIF(C:C,PlanMasine[[#This Row],[RN]],B:B)*PlanMasine[[#This Row],[KPLQ]]),0)</f>
        <v>55</v>
      </c>
      <c r="P584">
        <v>227566</v>
      </c>
      <c r="Q584">
        <f>COUNTIF(PROMJENA!A:A,PlanMasine[[#This Row],[KPL]]&amp;"-"&amp;PlanMasine[[#This Row],[RN]])</f>
        <v>0</v>
      </c>
      <c r="R584">
        <f>IFERROR(INDEX(REDOSLIJED!A:A,MATCH(PlanMasine[[#This Row],[KPL]],REDOSLIJED!B:B,0)),MAX(REDOSLIJED!A:A)+1)</f>
        <v>45</v>
      </c>
      <c r="S584" s="9">
        <f>SUM($M$2:M584)</f>
        <v>20.196597222222202</v>
      </c>
      <c r="T584" s="3">
        <f>PlanMasine[[#This Row],[Datum SAS]]-1</f>
        <v>45830</v>
      </c>
      <c r="U584">
        <f>WEEKDAY(PlanMasine[[#This Row],[ZAVRŠETAK MAŠINSKE]],2)</f>
        <v>7</v>
      </c>
      <c r="V584" s="3">
        <f>IF(WEEKDAY(PlanMasine[[#This Row],[Datum SAS]]-1,2)=7,PlanMasine[[#This Row],[Datum SAS]]-3,PlanMasine[[#This Row],[Datum SAS]]-1)</f>
        <v>45828</v>
      </c>
      <c r="W584">
        <f>WEEKNUM(PlanMasine[[#This Row],[Column2]],1)</f>
        <v>25</v>
      </c>
    </row>
    <row r="585" spans="1:23" x14ac:dyDescent="0.35">
      <c r="A585">
        <v>998843</v>
      </c>
      <c r="B585">
        <v>1</v>
      </c>
      <c r="C585">
        <v>998882</v>
      </c>
      <c r="D585" t="s">
        <v>1755</v>
      </c>
      <c r="E585">
        <v>660</v>
      </c>
      <c r="F585">
        <v>12</v>
      </c>
      <c r="G585">
        <v>0</v>
      </c>
      <c r="H585">
        <v>0</v>
      </c>
      <c r="I585" t="s">
        <v>24</v>
      </c>
      <c r="J585" t="s">
        <v>597</v>
      </c>
      <c r="K585" t="s">
        <v>1805</v>
      </c>
      <c r="L585" s="3">
        <v>45870</v>
      </c>
      <c r="M585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3.8194444444444441E-2</v>
      </c>
      <c r="N585" s="3">
        <v>45831</v>
      </c>
      <c r="O585" s="5">
        <f>IFERROR((PlanMasine[[#This Row],[Norma]]/PlanMasine[[#This Row],[Q]])*(PlanMasine[[#This Row],[Q]]/SUMIF(C:C,PlanMasine[[#This Row],[RN]],B:B)*PlanMasine[[#This Row],[KPLQ]]),0)</f>
        <v>55</v>
      </c>
      <c r="P585">
        <v>227566</v>
      </c>
      <c r="Q585">
        <f>COUNTIF(PROMJENA!A:A,PlanMasine[[#This Row],[KPL]]&amp;"-"&amp;PlanMasine[[#This Row],[RN]])</f>
        <v>0</v>
      </c>
      <c r="R585">
        <f>IFERROR(INDEX(REDOSLIJED!A:A,MATCH(PlanMasine[[#This Row],[KPL]],REDOSLIJED!B:B,0)),MAX(REDOSLIJED!A:A)+1)</f>
        <v>45</v>
      </c>
      <c r="S585" s="9">
        <f>SUM($M$2:M585)</f>
        <v>20.234791666666645</v>
      </c>
      <c r="T585" s="3">
        <f>PlanMasine[[#This Row],[Datum SAS]]-1</f>
        <v>45830</v>
      </c>
      <c r="U585">
        <f>WEEKDAY(PlanMasine[[#This Row],[ZAVRŠETAK MAŠINSKE]],2)</f>
        <v>7</v>
      </c>
      <c r="V585" s="3">
        <f>IF(WEEKDAY(PlanMasine[[#This Row],[Datum SAS]]-1,2)=7,PlanMasine[[#This Row],[Datum SAS]]-3,PlanMasine[[#This Row],[Datum SAS]]-1)</f>
        <v>45828</v>
      </c>
      <c r="W585">
        <f>WEEKNUM(PlanMasine[[#This Row],[Column2]],1)</f>
        <v>25</v>
      </c>
    </row>
    <row r="586" spans="1:23" x14ac:dyDescent="0.35">
      <c r="A586">
        <v>998844</v>
      </c>
      <c r="B586">
        <v>1</v>
      </c>
      <c r="C586">
        <v>998882</v>
      </c>
      <c r="D586" t="s">
        <v>1755</v>
      </c>
      <c r="E586">
        <v>660</v>
      </c>
      <c r="F586">
        <v>12</v>
      </c>
      <c r="G586">
        <v>0</v>
      </c>
      <c r="H586">
        <v>0</v>
      </c>
      <c r="I586" t="s">
        <v>24</v>
      </c>
      <c r="J586" t="s">
        <v>597</v>
      </c>
      <c r="K586" t="s">
        <v>1805</v>
      </c>
      <c r="L586" s="3">
        <v>45870</v>
      </c>
      <c r="M586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3.8194444444444441E-2</v>
      </c>
      <c r="N586" s="3">
        <v>45831</v>
      </c>
      <c r="O586" s="5">
        <f>IFERROR((PlanMasine[[#This Row],[Norma]]/PlanMasine[[#This Row],[Q]])*(PlanMasine[[#This Row],[Q]]/SUMIF(C:C,PlanMasine[[#This Row],[RN]],B:B)*PlanMasine[[#This Row],[KPLQ]]),0)</f>
        <v>55</v>
      </c>
      <c r="P586">
        <v>227566</v>
      </c>
      <c r="Q586">
        <f>COUNTIF(PROMJENA!A:A,PlanMasine[[#This Row],[KPL]]&amp;"-"&amp;PlanMasine[[#This Row],[RN]])</f>
        <v>0</v>
      </c>
      <c r="R586">
        <f>IFERROR(INDEX(REDOSLIJED!A:A,MATCH(PlanMasine[[#This Row],[KPL]],REDOSLIJED!B:B,0)),MAX(REDOSLIJED!A:A)+1)</f>
        <v>45</v>
      </c>
      <c r="S586" s="9">
        <f>SUM($M$2:M586)</f>
        <v>20.272986111111088</v>
      </c>
      <c r="T586" s="3">
        <f>PlanMasine[[#This Row],[Datum SAS]]-1</f>
        <v>45830</v>
      </c>
      <c r="U586">
        <f>WEEKDAY(PlanMasine[[#This Row],[ZAVRŠETAK MAŠINSKE]],2)</f>
        <v>7</v>
      </c>
      <c r="V586" s="3">
        <f>IF(WEEKDAY(PlanMasine[[#This Row],[Datum SAS]]-1,2)=7,PlanMasine[[#This Row],[Datum SAS]]-3,PlanMasine[[#This Row],[Datum SAS]]-1)</f>
        <v>45828</v>
      </c>
      <c r="W586">
        <f>WEEKNUM(PlanMasine[[#This Row],[Column2]],1)</f>
        <v>25</v>
      </c>
    </row>
    <row r="587" spans="1:23" x14ac:dyDescent="0.35">
      <c r="A587">
        <v>998845</v>
      </c>
      <c r="B587">
        <v>1</v>
      </c>
      <c r="C587">
        <v>998882</v>
      </c>
      <c r="D587" t="s">
        <v>1755</v>
      </c>
      <c r="E587">
        <v>660</v>
      </c>
      <c r="F587">
        <v>12</v>
      </c>
      <c r="G587">
        <v>0</v>
      </c>
      <c r="H587">
        <v>0</v>
      </c>
      <c r="I587" t="s">
        <v>24</v>
      </c>
      <c r="J587" t="s">
        <v>597</v>
      </c>
      <c r="K587" t="s">
        <v>1805</v>
      </c>
      <c r="L587" s="3">
        <v>45870</v>
      </c>
      <c r="M587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3.8194444444444441E-2</v>
      </c>
      <c r="N587" s="3">
        <v>45831</v>
      </c>
      <c r="O587" s="5">
        <f>IFERROR((PlanMasine[[#This Row],[Norma]]/PlanMasine[[#This Row],[Q]])*(PlanMasine[[#This Row],[Q]]/SUMIF(C:C,PlanMasine[[#This Row],[RN]],B:B)*PlanMasine[[#This Row],[KPLQ]]),0)</f>
        <v>55</v>
      </c>
      <c r="P587">
        <v>227566</v>
      </c>
      <c r="Q587">
        <f>COUNTIF(PROMJENA!A:A,PlanMasine[[#This Row],[KPL]]&amp;"-"&amp;PlanMasine[[#This Row],[RN]])</f>
        <v>0</v>
      </c>
      <c r="R587">
        <f>IFERROR(INDEX(REDOSLIJED!A:A,MATCH(PlanMasine[[#This Row],[KPL]],REDOSLIJED!B:B,0)),MAX(REDOSLIJED!A:A)+1)</f>
        <v>45</v>
      </c>
      <c r="S587" s="9">
        <f>SUM($M$2:M587)</f>
        <v>20.311180555555531</v>
      </c>
      <c r="T587" s="3">
        <f>PlanMasine[[#This Row],[Datum SAS]]-1</f>
        <v>45830</v>
      </c>
      <c r="U587">
        <f>WEEKDAY(PlanMasine[[#This Row],[ZAVRŠETAK MAŠINSKE]],2)</f>
        <v>7</v>
      </c>
      <c r="V587" s="3">
        <f>IF(WEEKDAY(PlanMasine[[#This Row],[Datum SAS]]-1,2)=7,PlanMasine[[#This Row],[Datum SAS]]-3,PlanMasine[[#This Row],[Datum SAS]]-1)</f>
        <v>45828</v>
      </c>
      <c r="W587">
        <f>WEEKNUM(PlanMasine[[#This Row],[Column2]],1)</f>
        <v>25</v>
      </c>
    </row>
    <row r="588" spans="1:23" x14ac:dyDescent="0.35">
      <c r="A588">
        <v>1018990</v>
      </c>
      <c r="B588">
        <v>1</v>
      </c>
      <c r="C588">
        <v>1018986</v>
      </c>
      <c r="D588" t="s">
        <v>305</v>
      </c>
      <c r="E588">
        <v>10</v>
      </c>
      <c r="F588">
        <v>1</v>
      </c>
      <c r="G588">
        <v>0</v>
      </c>
      <c r="H588">
        <v>0</v>
      </c>
      <c r="I588" t="s">
        <v>24</v>
      </c>
      <c r="J588" t="s">
        <v>597</v>
      </c>
      <c r="K588" t="s">
        <v>2012</v>
      </c>
      <c r="L588" s="3">
        <v>45839</v>
      </c>
      <c r="M588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6.9444444444444441E-3</v>
      </c>
      <c r="N588" s="3">
        <v>45831</v>
      </c>
      <c r="O588" s="5">
        <f>IFERROR((PlanMasine[[#This Row],[Norma]]/PlanMasine[[#This Row],[Q]])*(PlanMasine[[#This Row],[Q]]/SUMIF(C:C,PlanMasine[[#This Row],[RN]],B:B)*PlanMasine[[#This Row],[KPLQ]]),0)</f>
        <v>10</v>
      </c>
      <c r="P588">
        <v>156913</v>
      </c>
      <c r="Q588">
        <f>COUNTIF(PROMJENA!A:A,PlanMasine[[#This Row],[KPL]]&amp;"-"&amp;PlanMasine[[#This Row],[RN]])</f>
        <v>0</v>
      </c>
      <c r="R588">
        <f>IFERROR(INDEX(REDOSLIJED!A:A,MATCH(PlanMasine[[#This Row],[KPL]],REDOSLIJED!B:B,0)),MAX(REDOSLIJED!A:A)+1)</f>
        <v>45</v>
      </c>
      <c r="S588" s="9">
        <f>SUM($M$2:M588)</f>
        <v>20.318124999999974</v>
      </c>
      <c r="T588" s="3">
        <f>PlanMasine[[#This Row],[Datum SAS]]-1</f>
        <v>45830</v>
      </c>
      <c r="U588">
        <f>WEEKDAY(PlanMasine[[#This Row],[ZAVRŠETAK MAŠINSKE]],2)</f>
        <v>7</v>
      </c>
      <c r="V588" s="3">
        <f>IF(WEEKDAY(PlanMasine[[#This Row],[Datum SAS]]-1,2)=7,PlanMasine[[#This Row],[Datum SAS]]-3,PlanMasine[[#This Row],[Datum SAS]]-1)</f>
        <v>45828</v>
      </c>
      <c r="W588">
        <f>WEEKNUM(PlanMasine[[#This Row],[Column2]],1)</f>
        <v>25</v>
      </c>
    </row>
    <row r="589" spans="1:23" x14ac:dyDescent="0.35">
      <c r="A589">
        <v>1019022</v>
      </c>
      <c r="B589">
        <v>1</v>
      </c>
      <c r="C589">
        <v>1019018</v>
      </c>
      <c r="D589" t="s">
        <v>305</v>
      </c>
      <c r="E589">
        <v>10</v>
      </c>
      <c r="F589">
        <v>1</v>
      </c>
      <c r="G589">
        <v>0</v>
      </c>
      <c r="H589">
        <v>0</v>
      </c>
      <c r="I589" t="s">
        <v>24</v>
      </c>
      <c r="J589" t="s">
        <v>597</v>
      </c>
      <c r="K589" t="s">
        <v>2013</v>
      </c>
      <c r="L589" s="3">
        <v>45840</v>
      </c>
      <c r="M589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6.9444444444444441E-3</v>
      </c>
      <c r="N589" s="3">
        <v>45831</v>
      </c>
      <c r="O589" s="5">
        <f>IFERROR((PlanMasine[[#This Row],[Norma]]/PlanMasine[[#This Row],[Q]])*(PlanMasine[[#This Row],[Q]]/SUMIF(C:C,PlanMasine[[#This Row],[RN]],B:B)*PlanMasine[[#This Row],[KPLQ]]),0)</f>
        <v>10</v>
      </c>
      <c r="P589">
        <v>156913</v>
      </c>
      <c r="Q589">
        <f>COUNTIF(PROMJENA!A:A,PlanMasine[[#This Row],[KPL]]&amp;"-"&amp;PlanMasine[[#This Row],[RN]])</f>
        <v>0</v>
      </c>
      <c r="R589">
        <f>IFERROR(INDEX(REDOSLIJED!A:A,MATCH(PlanMasine[[#This Row],[KPL]],REDOSLIJED!B:B,0)),MAX(REDOSLIJED!A:A)+1)</f>
        <v>45</v>
      </c>
      <c r="S589" s="9">
        <f>SUM($M$2:M589)</f>
        <v>20.325069444444416</v>
      </c>
      <c r="T589" s="3">
        <f>PlanMasine[[#This Row],[Datum SAS]]-1</f>
        <v>45830</v>
      </c>
      <c r="U589">
        <f>WEEKDAY(PlanMasine[[#This Row],[ZAVRŠETAK MAŠINSKE]],2)</f>
        <v>7</v>
      </c>
      <c r="V589" s="3">
        <f>IF(WEEKDAY(PlanMasine[[#This Row],[Datum SAS]]-1,2)=7,PlanMasine[[#This Row],[Datum SAS]]-3,PlanMasine[[#This Row],[Datum SAS]]-1)</f>
        <v>45828</v>
      </c>
      <c r="W589">
        <f>WEEKNUM(PlanMasine[[#This Row],[Column2]],1)</f>
        <v>25</v>
      </c>
    </row>
    <row r="590" spans="1:23" x14ac:dyDescent="0.35">
      <c r="A590">
        <v>1019054</v>
      </c>
      <c r="B590">
        <v>1</v>
      </c>
      <c r="C590">
        <v>1019050</v>
      </c>
      <c r="D590" t="s">
        <v>305</v>
      </c>
      <c r="E590">
        <v>10</v>
      </c>
      <c r="F590">
        <v>1</v>
      </c>
      <c r="G590">
        <v>0</v>
      </c>
      <c r="H590">
        <v>0</v>
      </c>
      <c r="I590" t="s">
        <v>24</v>
      </c>
      <c r="J590" t="s">
        <v>597</v>
      </c>
      <c r="K590" t="s">
        <v>2014</v>
      </c>
      <c r="L590" s="3">
        <v>45840</v>
      </c>
      <c r="M590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6.9444444444444441E-3</v>
      </c>
      <c r="N590" s="3">
        <v>45831</v>
      </c>
      <c r="O590" s="5">
        <f>IFERROR((PlanMasine[[#This Row],[Norma]]/PlanMasine[[#This Row],[Q]])*(PlanMasine[[#This Row],[Q]]/SUMIF(C:C,PlanMasine[[#This Row],[RN]],B:B)*PlanMasine[[#This Row],[KPLQ]]),0)</f>
        <v>10</v>
      </c>
      <c r="P590">
        <v>156913</v>
      </c>
      <c r="Q590">
        <f>COUNTIF(PROMJENA!A:A,PlanMasine[[#This Row],[KPL]]&amp;"-"&amp;PlanMasine[[#This Row],[RN]])</f>
        <v>0</v>
      </c>
      <c r="R590">
        <f>IFERROR(INDEX(REDOSLIJED!A:A,MATCH(PlanMasine[[#This Row],[KPL]],REDOSLIJED!B:B,0)),MAX(REDOSLIJED!A:A)+1)</f>
        <v>45</v>
      </c>
      <c r="S590" s="9">
        <f>SUM($M$2:M590)</f>
        <v>20.332013888888859</v>
      </c>
      <c r="T590" s="3">
        <f>PlanMasine[[#This Row],[Datum SAS]]-1</f>
        <v>45830</v>
      </c>
      <c r="U590">
        <f>WEEKDAY(PlanMasine[[#This Row],[ZAVRŠETAK MAŠINSKE]],2)</f>
        <v>7</v>
      </c>
      <c r="V590" s="3">
        <f>IF(WEEKDAY(PlanMasine[[#This Row],[Datum SAS]]-1,2)=7,PlanMasine[[#This Row],[Datum SAS]]-3,PlanMasine[[#This Row],[Datum SAS]]-1)</f>
        <v>45828</v>
      </c>
      <c r="W590">
        <f>WEEKNUM(PlanMasine[[#This Row],[Column2]],1)</f>
        <v>25</v>
      </c>
    </row>
    <row r="591" spans="1:23" x14ac:dyDescent="0.35">
      <c r="A591">
        <v>1019715</v>
      </c>
      <c r="B591">
        <v>1</v>
      </c>
      <c r="C591">
        <v>1019758</v>
      </c>
      <c r="D591" t="s">
        <v>1961</v>
      </c>
      <c r="E591">
        <v>90</v>
      </c>
      <c r="F591">
        <v>6</v>
      </c>
      <c r="G591">
        <v>0</v>
      </c>
      <c r="H591">
        <v>0</v>
      </c>
      <c r="I591" t="s">
        <v>24</v>
      </c>
      <c r="J591" t="s">
        <v>597</v>
      </c>
      <c r="K591" t="s">
        <v>2015</v>
      </c>
      <c r="L591" s="3">
        <v>45848</v>
      </c>
      <c r="M591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1.0416666666666666E-2</v>
      </c>
      <c r="N591" s="3">
        <v>45831</v>
      </c>
      <c r="O591" s="5">
        <f>IFERROR((PlanMasine[[#This Row],[Norma]]/PlanMasine[[#This Row],[Q]])*(PlanMasine[[#This Row],[Q]]/SUMIF(C:C,PlanMasine[[#This Row],[RN]],B:B)*PlanMasine[[#This Row],[KPLQ]]),0)</f>
        <v>15</v>
      </c>
      <c r="P591">
        <v>215844</v>
      </c>
      <c r="Q591">
        <f>COUNTIF(PROMJENA!A:A,PlanMasine[[#This Row],[KPL]]&amp;"-"&amp;PlanMasine[[#This Row],[RN]])</f>
        <v>0</v>
      </c>
      <c r="R591">
        <f>IFERROR(INDEX(REDOSLIJED!A:A,MATCH(PlanMasine[[#This Row],[KPL]],REDOSLIJED!B:B,0)),MAX(REDOSLIJED!A:A)+1)</f>
        <v>45</v>
      </c>
      <c r="S591" s="9">
        <f>SUM($M$2:M591)</f>
        <v>20.342430555555527</v>
      </c>
      <c r="T591" s="3">
        <f>PlanMasine[[#This Row],[Datum SAS]]-1</f>
        <v>45830</v>
      </c>
      <c r="U591">
        <f>WEEKDAY(PlanMasine[[#This Row],[ZAVRŠETAK MAŠINSKE]],2)</f>
        <v>7</v>
      </c>
      <c r="V591" s="3">
        <f>IF(WEEKDAY(PlanMasine[[#This Row],[Datum SAS]]-1,2)=7,PlanMasine[[#This Row],[Datum SAS]]-3,PlanMasine[[#This Row],[Datum SAS]]-1)</f>
        <v>45828</v>
      </c>
      <c r="W591">
        <f>WEEKNUM(PlanMasine[[#This Row],[Column2]],1)</f>
        <v>25</v>
      </c>
    </row>
    <row r="592" spans="1:23" x14ac:dyDescent="0.35">
      <c r="A592">
        <v>1019716</v>
      </c>
      <c r="B592">
        <v>1</v>
      </c>
      <c r="C592">
        <v>1019758</v>
      </c>
      <c r="D592" t="s">
        <v>1961</v>
      </c>
      <c r="E592">
        <v>90</v>
      </c>
      <c r="F592">
        <v>6</v>
      </c>
      <c r="G592">
        <v>0</v>
      </c>
      <c r="H592">
        <v>0</v>
      </c>
      <c r="I592" t="s">
        <v>24</v>
      </c>
      <c r="J592" t="s">
        <v>597</v>
      </c>
      <c r="K592" t="s">
        <v>2015</v>
      </c>
      <c r="L592" s="3">
        <v>45848</v>
      </c>
      <c r="M592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1.0416666666666666E-2</v>
      </c>
      <c r="N592" s="3">
        <v>45831</v>
      </c>
      <c r="O592" s="5">
        <f>IFERROR((PlanMasine[[#This Row],[Norma]]/PlanMasine[[#This Row],[Q]])*(PlanMasine[[#This Row],[Q]]/SUMIF(C:C,PlanMasine[[#This Row],[RN]],B:B)*PlanMasine[[#This Row],[KPLQ]]),0)</f>
        <v>15</v>
      </c>
      <c r="P592">
        <v>215844</v>
      </c>
      <c r="Q592">
        <f>COUNTIF(PROMJENA!A:A,PlanMasine[[#This Row],[KPL]]&amp;"-"&amp;PlanMasine[[#This Row],[RN]])</f>
        <v>0</v>
      </c>
      <c r="R592">
        <f>IFERROR(INDEX(REDOSLIJED!A:A,MATCH(PlanMasine[[#This Row],[KPL]],REDOSLIJED!B:B,0)),MAX(REDOSLIJED!A:A)+1)</f>
        <v>45</v>
      </c>
      <c r="S592" s="9">
        <f>SUM($M$2:M592)</f>
        <v>20.352847222222195</v>
      </c>
      <c r="T592" s="3">
        <f>PlanMasine[[#This Row],[Datum SAS]]-1</f>
        <v>45830</v>
      </c>
      <c r="U592">
        <f>WEEKDAY(PlanMasine[[#This Row],[ZAVRŠETAK MAŠINSKE]],2)</f>
        <v>7</v>
      </c>
      <c r="V592" s="3">
        <f>IF(WEEKDAY(PlanMasine[[#This Row],[Datum SAS]]-1,2)=7,PlanMasine[[#This Row],[Datum SAS]]-3,PlanMasine[[#This Row],[Datum SAS]]-1)</f>
        <v>45828</v>
      </c>
      <c r="W592">
        <f>WEEKNUM(PlanMasine[[#This Row],[Column2]],1)</f>
        <v>25</v>
      </c>
    </row>
    <row r="593" spans="1:23" x14ac:dyDescent="0.35">
      <c r="A593">
        <v>1019717</v>
      </c>
      <c r="B593">
        <v>1</v>
      </c>
      <c r="C593">
        <v>1019758</v>
      </c>
      <c r="D593" t="s">
        <v>1961</v>
      </c>
      <c r="E593">
        <v>90</v>
      </c>
      <c r="F593">
        <v>6</v>
      </c>
      <c r="G593">
        <v>0</v>
      </c>
      <c r="H593">
        <v>0</v>
      </c>
      <c r="I593" t="s">
        <v>24</v>
      </c>
      <c r="J593" t="s">
        <v>597</v>
      </c>
      <c r="K593" t="s">
        <v>2015</v>
      </c>
      <c r="L593" s="3">
        <v>45848</v>
      </c>
      <c r="M593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1.0416666666666666E-2</v>
      </c>
      <c r="N593" s="3">
        <v>45831</v>
      </c>
      <c r="O593" s="5">
        <f>IFERROR((PlanMasine[[#This Row],[Norma]]/PlanMasine[[#This Row],[Q]])*(PlanMasine[[#This Row],[Q]]/SUMIF(C:C,PlanMasine[[#This Row],[RN]],B:B)*PlanMasine[[#This Row],[KPLQ]]),0)</f>
        <v>15</v>
      </c>
      <c r="P593">
        <v>215844</v>
      </c>
      <c r="Q593">
        <f>COUNTIF(PROMJENA!A:A,PlanMasine[[#This Row],[KPL]]&amp;"-"&amp;PlanMasine[[#This Row],[RN]])</f>
        <v>0</v>
      </c>
      <c r="R593">
        <f>IFERROR(INDEX(REDOSLIJED!A:A,MATCH(PlanMasine[[#This Row],[KPL]],REDOSLIJED!B:B,0)),MAX(REDOSLIJED!A:A)+1)</f>
        <v>45</v>
      </c>
      <c r="S593" s="9">
        <f>SUM($M$2:M593)</f>
        <v>20.363263888888863</v>
      </c>
      <c r="T593" s="3">
        <f>PlanMasine[[#This Row],[Datum SAS]]-1</f>
        <v>45830</v>
      </c>
      <c r="U593">
        <f>WEEKDAY(PlanMasine[[#This Row],[ZAVRŠETAK MAŠINSKE]],2)</f>
        <v>7</v>
      </c>
      <c r="V593" s="3">
        <f>IF(WEEKDAY(PlanMasine[[#This Row],[Datum SAS]]-1,2)=7,PlanMasine[[#This Row],[Datum SAS]]-3,PlanMasine[[#This Row],[Datum SAS]]-1)</f>
        <v>45828</v>
      </c>
      <c r="W593">
        <f>WEEKNUM(PlanMasine[[#This Row],[Column2]],1)</f>
        <v>25</v>
      </c>
    </row>
    <row r="594" spans="1:23" x14ac:dyDescent="0.35">
      <c r="A594">
        <v>1019718</v>
      </c>
      <c r="B594">
        <v>1</v>
      </c>
      <c r="C594">
        <v>1019758</v>
      </c>
      <c r="D594" t="s">
        <v>1961</v>
      </c>
      <c r="E594">
        <v>90</v>
      </c>
      <c r="F594">
        <v>6</v>
      </c>
      <c r="G594">
        <v>0</v>
      </c>
      <c r="H594">
        <v>0</v>
      </c>
      <c r="I594" t="s">
        <v>24</v>
      </c>
      <c r="J594" t="s">
        <v>597</v>
      </c>
      <c r="K594" t="s">
        <v>2015</v>
      </c>
      <c r="L594" s="3">
        <v>45848</v>
      </c>
      <c r="M594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1.0416666666666666E-2</v>
      </c>
      <c r="N594" s="3">
        <v>45831</v>
      </c>
      <c r="O594" s="5">
        <f>IFERROR((PlanMasine[[#This Row],[Norma]]/PlanMasine[[#This Row],[Q]])*(PlanMasine[[#This Row],[Q]]/SUMIF(C:C,PlanMasine[[#This Row],[RN]],B:B)*PlanMasine[[#This Row],[KPLQ]]),0)</f>
        <v>15</v>
      </c>
      <c r="P594">
        <v>215844</v>
      </c>
      <c r="Q594">
        <f>COUNTIF(PROMJENA!A:A,PlanMasine[[#This Row],[KPL]]&amp;"-"&amp;PlanMasine[[#This Row],[RN]])</f>
        <v>0</v>
      </c>
      <c r="R594">
        <f>IFERROR(INDEX(REDOSLIJED!A:A,MATCH(PlanMasine[[#This Row],[KPL]],REDOSLIJED!B:B,0)),MAX(REDOSLIJED!A:A)+1)</f>
        <v>45</v>
      </c>
      <c r="S594" s="9">
        <f>SUM($M$2:M594)</f>
        <v>20.373680555555531</v>
      </c>
      <c r="T594" s="3">
        <f>PlanMasine[[#This Row],[Datum SAS]]-1</f>
        <v>45830</v>
      </c>
      <c r="U594">
        <f>WEEKDAY(PlanMasine[[#This Row],[ZAVRŠETAK MAŠINSKE]],2)</f>
        <v>7</v>
      </c>
      <c r="V594" s="3">
        <f>IF(WEEKDAY(PlanMasine[[#This Row],[Datum SAS]]-1,2)=7,PlanMasine[[#This Row],[Datum SAS]]-3,PlanMasine[[#This Row],[Datum SAS]]-1)</f>
        <v>45828</v>
      </c>
      <c r="W594">
        <f>WEEKNUM(PlanMasine[[#This Row],[Column2]],1)</f>
        <v>25</v>
      </c>
    </row>
    <row r="595" spans="1:23" x14ac:dyDescent="0.35">
      <c r="A595">
        <v>1019719</v>
      </c>
      <c r="B595">
        <v>1</v>
      </c>
      <c r="C595">
        <v>1019758</v>
      </c>
      <c r="D595" t="s">
        <v>1961</v>
      </c>
      <c r="E595">
        <v>90</v>
      </c>
      <c r="F595">
        <v>6</v>
      </c>
      <c r="G595">
        <v>0</v>
      </c>
      <c r="H595">
        <v>0</v>
      </c>
      <c r="I595" t="s">
        <v>24</v>
      </c>
      <c r="J595" t="s">
        <v>597</v>
      </c>
      <c r="K595" t="s">
        <v>2015</v>
      </c>
      <c r="L595" s="3">
        <v>45848</v>
      </c>
      <c r="M595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1.0416666666666666E-2</v>
      </c>
      <c r="N595" s="3">
        <v>45831</v>
      </c>
      <c r="O595" s="5">
        <f>IFERROR((PlanMasine[[#This Row],[Norma]]/PlanMasine[[#This Row],[Q]])*(PlanMasine[[#This Row],[Q]]/SUMIF(C:C,PlanMasine[[#This Row],[RN]],B:B)*PlanMasine[[#This Row],[KPLQ]]),0)</f>
        <v>15</v>
      </c>
      <c r="P595">
        <v>215844</v>
      </c>
      <c r="Q595">
        <f>COUNTIF(PROMJENA!A:A,PlanMasine[[#This Row],[KPL]]&amp;"-"&amp;PlanMasine[[#This Row],[RN]])</f>
        <v>0</v>
      </c>
      <c r="R595">
        <f>IFERROR(INDEX(REDOSLIJED!A:A,MATCH(PlanMasine[[#This Row],[KPL]],REDOSLIJED!B:B,0)),MAX(REDOSLIJED!A:A)+1)</f>
        <v>45</v>
      </c>
      <c r="S595" s="9">
        <f>SUM($M$2:M595)</f>
        <v>20.384097222222199</v>
      </c>
      <c r="T595" s="3">
        <f>PlanMasine[[#This Row],[Datum SAS]]-1</f>
        <v>45830</v>
      </c>
      <c r="U595">
        <f>WEEKDAY(PlanMasine[[#This Row],[ZAVRŠETAK MAŠINSKE]],2)</f>
        <v>7</v>
      </c>
      <c r="V595" s="3">
        <f>IF(WEEKDAY(PlanMasine[[#This Row],[Datum SAS]]-1,2)=7,PlanMasine[[#This Row],[Datum SAS]]-3,PlanMasine[[#This Row],[Datum SAS]]-1)</f>
        <v>45828</v>
      </c>
      <c r="W595">
        <f>WEEKNUM(PlanMasine[[#This Row],[Column2]],1)</f>
        <v>25</v>
      </c>
    </row>
    <row r="596" spans="1:23" x14ac:dyDescent="0.35">
      <c r="A596">
        <v>1019720</v>
      </c>
      <c r="B596">
        <v>1</v>
      </c>
      <c r="C596">
        <v>1019758</v>
      </c>
      <c r="D596" t="s">
        <v>1961</v>
      </c>
      <c r="E596">
        <v>90</v>
      </c>
      <c r="F596">
        <v>6</v>
      </c>
      <c r="G596">
        <v>0</v>
      </c>
      <c r="H596">
        <v>0</v>
      </c>
      <c r="I596" t="s">
        <v>24</v>
      </c>
      <c r="J596" t="s">
        <v>597</v>
      </c>
      <c r="K596" t="s">
        <v>2015</v>
      </c>
      <c r="L596" s="3">
        <v>45848</v>
      </c>
      <c r="M596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1.0416666666666666E-2</v>
      </c>
      <c r="N596" s="3">
        <v>45831</v>
      </c>
      <c r="O596" s="5">
        <f>IFERROR((PlanMasine[[#This Row],[Norma]]/PlanMasine[[#This Row],[Q]])*(PlanMasine[[#This Row],[Q]]/SUMIF(C:C,PlanMasine[[#This Row],[RN]],B:B)*PlanMasine[[#This Row],[KPLQ]]),0)</f>
        <v>15</v>
      </c>
      <c r="P596">
        <v>215844</v>
      </c>
      <c r="Q596">
        <f>COUNTIF(PROMJENA!A:A,PlanMasine[[#This Row],[KPL]]&amp;"-"&amp;PlanMasine[[#This Row],[RN]])</f>
        <v>0</v>
      </c>
      <c r="R596">
        <f>IFERROR(INDEX(REDOSLIJED!A:A,MATCH(PlanMasine[[#This Row],[KPL]],REDOSLIJED!B:B,0)),MAX(REDOSLIJED!A:A)+1)</f>
        <v>45</v>
      </c>
      <c r="S596" s="9">
        <f>SUM($M$2:M596)</f>
        <v>20.394513888888866</v>
      </c>
      <c r="T596" s="3">
        <f>PlanMasine[[#This Row],[Datum SAS]]-1</f>
        <v>45830</v>
      </c>
      <c r="U596">
        <f>WEEKDAY(PlanMasine[[#This Row],[ZAVRŠETAK MAŠINSKE]],2)</f>
        <v>7</v>
      </c>
      <c r="V596" s="3">
        <f>IF(WEEKDAY(PlanMasine[[#This Row],[Datum SAS]]-1,2)=7,PlanMasine[[#This Row],[Datum SAS]]-3,PlanMasine[[#This Row],[Datum SAS]]-1)</f>
        <v>45828</v>
      </c>
      <c r="W596">
        <f>WEEKNUM(PlanMasine[[#This Row],[Column2]],1)</f>
        <v>25</v>
      </c>
    </row>
    <row r="597" spans="1:23" x14ac:dyDescent="0.35">
      <c r="A597">
        <v>1020614</v>
      </c>
      <c r="B597">
        <v>1</v>
      </c>
      <c r="C597">
        <v>1020619</v>
      </c>
      <c r="D597" t="s">
        <v>669</v>
      </c>
      <c r="E597">
        <v>360</v>
      </c>
      <c r="F597">
        <v>4</v>
      </c>
      <c r="G597">
        <v>0</v>
      </c>
      <c r="H597">
        <v>0</v>
      </c>
      <c r="I597" t="s">
        <v>24</v>
      </c>
      <c r="J597" t="s">
        <v>597</v>
      </c>
      <c r="K597" t="s">
        <v>2016</v>
      </c>
      <c r="L597" s="3">
        <v>45849</v>
      </c>
      <c r="M597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6.25E-2</v>
      </c>
      <c r="N597" s="3">
        <v>45831</v>
      </c>
      <c r="O597" s="5">
        <f>IFERROR((PlanMasine[[#This Row],[Norma]]/PlanMasine[[#This Row],[Q]])*(PlanMasine[[#This Row],[Q]]/SUMIF(C:C,PlanMasine[[#This Row],[RN]],B:B)*PlanMasine[[#This Row],[KPLQ]]),0)</f>
        <v>90</v>
      </c>
      <c r="P597">
        <v>166302</v>
      </c>
      <c r="Q597">
        <f>COUNTIF(PROMJENA!A:A,PlanMasine[[#This Row],[KPL]]&amp;"-"&amp;PlanMasine[[#This Row],[RN]])</f>
        <v>0</v>
      </c>
      <c r="R597">
        <f>IFERROR(INDEX(REDOSLIJED!A:A,MATCH(PlanMasine[[#This Row],[KPL]],REDOSLIJED!B:B,0)),MAX(REDOSLIJED!A:A)+1)</f>
        <v>45</v>
      </c>
      <c r="S597" s="9">
        <f>SUM($M$2:M597)</f>
        <v>20.457013888888866</v>
      </c>
      <c r="T597" s="3">
        <f>PlanMasine[[#This Row],[Datum SAS]]-1</f>
        <v>45830</v>
      </c>
      <c r="U597">
        <f>WEEKDAY(PlanMasine[[#This Row],[ZAVRŠETAK MAŠINSKE]],2)</f>
        <v>7</v>
      </c>
      <c r="V597" s="3">
        <f>IF(WEEKDAY(PlanMasine[[#This Row],[Datum SAS]]-1,2)=7,PlanMasine[[#This Row],[Datum SAS]]-3,PlanMasine[[#This Row],[Datum SAS]]-1)</f>
        <v>45828</v>
      </c>
      <c r="W597">
        <f>WEEKNUM(PlanMasine[[#This Row],[Column2]],1)</f>
        <v>25</v>
      </c>
    </row>
    <row r="598" spans="1:23" x14ac:dyDescent="0.35">
      <c r="A598">
        <v>1020614</v>
      </c>
      <c r="B598">
        <v>1</v>
      </c>
      <c r="C598">
        <v>1020620</v>
      </c>
      <c r="D598" t="s">
        <v>450</v>
      </c>
      <c r="E598">
        <v>1440</v>
      </c>
      <c r="F598">
        <v>4</v>
      </c>
      <c r="G598">
        <v>0</v>
      </c>
      <c r="H598">
        <v>0</v>
      </c>
      <c r="I598" t="s">
        <v>24</v>
      </c>
      <c r="J598" t="s">
        <v>597</v>
      </c>
      <c r="K598" t="s">
        <v>2016</v>
      </c>
      <c r="L598" s="3">
        <v>45849</v>
      </c>
      <c r="M598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0.25</v>
      </c>
      <c r="N598" s="3">
        <v>45831</v>
      </c>
      <c r="O598" s="5">
        <f>IFERROR((PlanMasine[[#This Row],[Norma]]/PlanMasine[[#This Row],[Q]])*(PlanMasine[[#This Row],[Q]]/SUMIF(C:C,PlanMasine[[#This Row],[RN]],B:B)*PlanMasine[[#This Row],[KPLQ]]),0)</f>
        <v>360</v>
      </c>
      <c r="P598">
        <v>166303</v>
      </c>
      <c r="Q598">
        <f>COUNTIF(PROMJENA!A:A,PlanMasine[[#This Row],[KPL]]&amp;"-"&amp;PlanMasine[[#This Row],[RN]])</f>
        <v>0</v>
      </c>
      <c r="R598">
        <f>IFERROR(INDEX(REDOSLIJED!A:A,MATCH(PlanMasine[[#This Row],[KPL]],REDOSLIJED!B:B,0)),MAX(REDOSLIJED!A:A)+1)</f>
        <v>45</v>
      </c>
      <c r="S598" s="9">
        <f>SUM($M$2:M598)</f>
        <v>20.707013888888866</v>
      </c>
      <c r="T598" s="3">
        <f>PlanMasine[[#This Row],[Datum SAS]]-1</f>
        <v>45830</v>
      </c>
      <c r="U598">
        <f>WEEKDAY(PlanMasine[[#This Row],[ZAVRŠETAK MAŠINSKE]],2)</f>
        <v>7</v>
      </c>
      <c r="V598" s="3">
        <f>IF(WEEKDAY(PlanMasine[[#This Row],[Datum SAS]]-1,2)=7,PlanMasine[[#This Row],[Datum SAS]]-3,PlanMasine[[#This Row],[Datum SAS]]-1)</f>
        <v>45828</v>
      </c>
      <c r="W598">
        <f>WEEKNUM(PlanMasine[[#This Row],[Column2]],1)</f>
        <v>25</v>
      </c>
    </row>
    <row r="599" spans="1:23" x14ac:dyDescent="0.35">
      <c r="A599">
        <v>1020614</v>
      </c>
      <c r="B599">
        <v>1</v>
      </c>
      <c r="C599">
        <v>1020618</v>
      </c>
      <c r="D599" t="s">
        <v>1082</v>
      </c>
      <c r="E599">
        <v>300</v>
      </c>
      <c r="F599">
        <v>4</v>
      </c>
      <c r="G599">
        <v>0</v>
      </c>
      <c r="H599">
        <v>0</v>
      </c>
      <c r="I599" t="s">
        <v>24</v>
      </c>
      <c r="J599" t="s">
        <v>597</v>
      </c>
      <c r="K599" t="s">
        <v>2016</v>
      </c>
      <c r="L599" s="3">
        <v>45849</v>
      </c>
      <c r="M599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5.2083333333333336E-2</v>
      </c>
      <c r="N599" s="3">
        <v>45831</v>
      </c>
      <c r="O599" s="5">
        <f>IFERROR((PlanMasine[[#This Row],[Norma]]/PlanMasine[[#This Row],[Q]])*(PlanMasine[[#This Row],[Q]]/SUMIF(C:C,PlanMasine[[#This Row],[RN]],B:B)*PlanMasine[[#This Row],[KPLQ]]),0)</f>
        <v>75</v>
      </c>
      <c r="P599">
        <v>166301</v>
      </c>
      <c r="Q599">
        <f>COUNTIF(PROMJENA!A:A,PlanMasine[[#This Row],[KPL]]&amp;"-"&amp;PlanMasine[[#This Row],[RN]])</f>
        <v>0</v>
      </c>
      <c r="R599">
        <f>IFERROR(INDEX(REDOSLIJED!A:A,MATCH(PlanMasine[[#This Row],[KPL]],REDOSLIJED!B:B,0)),MAX(REDOSLIJED!A:A)+1)</f>
        <v>45</v>
      </c>
      <c r="S599" s="9">
        <f>SUM($M$2:M599)</f>
        <v>20.759097222222199</v>
      </c>
      <c r="T599" s="3">
        <f>PlanMasine[[#This Row],[Datum SAS]]-1</f>
        <v>45830</v>
      </c>
      <c r="U599">
        <f>WEEKDAY(PlanMasine[[#This Row],[ZAVRŠETAK MAŠINSKE]],2)</f>
        <v>7</v>
      </c>
      <c r="V599" s="3">
        <f>IF(WEEKDAY(PlanMasine[[#This Row],[Datum SAS]]-1,2)=7,PlanMasine[[#This Row],[Datum SAS]]-3,PlanMasine[[#This Row],[Datum SAS]]-1)</f>
        <v>45828</v>
      </c>
      <c r="W599">
        <f>WEEKNUM(PlanMasine[[#This Row],[Column2]],1)</f>
        <v>25</v>
      </c>
    </row>
    <row r="600" spans="1:23" x14ac:dyDescent="0.35">
      <c r="A600">
        <v>1020615</v>
      </c>
      <c r="B600">
        <v>1</v>
      </c>
      <c r="C600">
        <v>1020618</v>
      </c>
      <c r="D600" t="s">
        <v>1082</v>
      </c>
      <c r="E600">
        <v>300</v>
      </c>
      <c r="F600">
        <v>4</v>
      </c>
      <c r="G600">
        <v>0</v>
      </c>
      <c r="H600">
        <v>0</v>
      </c>
      <c r="I600" t="s">
        <v>24</v>
      </c>
      <c r="J600" t="s">
        <v>597</v>
      </c>
      <c r="K600" t="s">
        <v>2016</v>
      </c>
      <c r="L600" s="3">
        <v>45849</v>
      </c>
      <c r="M600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5.2083333333333336E-2</v>
      </c>
      <c r="N600" s="3">
        <v>45831</v>
      </c>
      <c r="O600" s="5">
        <f>IFERROR((PlanMasine[[#This Row],[Norma]]/PlanMasine[[#This Row],[Q]])*(PlanMasine[[#This Row],[Q]]/SUMIF(C:C,PlanMasine[[#This Row],[RN]],B:B)*PlanMasine[[#This Row],[KPLQ]]),0)</f>
        <v>75</v>
      </c>
      <c r="P600">
        <v>166301</v>
      </c>
      <c r="Q600">
        <f>COUNTIF(PROMJENA!A:A,PlanMasine[[#This Row],[KPL]]&amp;"-"&amp;PlanMasine[[#This Row],[RN]])</f>
        <v>0</v>
      </c>
      <c r="R600">
        <f>IFERROR(INDEX(REDOSLIJED!A:A,MATCH(PlanMasine[[#This Row],[KPL]],REDOSLIJED!B:B,0)),MAX(REDOSLIJED!A:A)+1)</f>
        <v>45</v>
      </c>
      <c r="S600" s="9">
        <f>SUM($M$2:M600)</f>
        <v>20.811180555555531</v>
      </c>
      <c r="T600" s="3">
        <f>PlanMasine[[#This Row],[Datum SAS]]-1</f>
        <v>45830</v>
      </c>
      <c r="U600">
        <f>WEEKDAY(PlanMasine[[#This Row],[ZAVRŠETAK MAŠINSKE]],2)</f>
        <v>7</v>
      </c>
      <c r="V600" s="3">
        <f>IF(WEEKDAY(PlanMasine[[#This Row],[Datum SAS]]-1,2)=7,PlanMasine[[#This Row],[Datum SAS]]-3,PlanMasine[[#This Row],[Datum SAS]]-1)</f>
        <v>45828</v>
      </c>
      <c r="W600">
        <f>WEEKNUM(PlanMasine[[#This Row],[Column2]],1)</f>
        <v>25</v>
      </c>
    </row>
    <row r="601" spans="1:23" x14ac:dyDescent="0.35">
      <c r="A601">
        <v>1020615</v>
      </c>
      <c r="B601">
        <v>1</v>
      </c>
      <c r="C601">
        <v>1020619</v>
      </c>
      <c r="D601" t="s">
        <v>669</v>
      </c>
      <c r="E601">
        <v>360</v>
      </c>
      <c r="F601">
        <v>4</v>
      </c>
      <c r="G601">
        <v>0</v>
      </c>
      <c r="H601">
        <v>0</v>
      </c>
      <c r="I601" t="s">
        <v>24</v>
      </c>
      <c r="J601" t="s">
        <v>597</v>
      </c>
      <c r="K601" t="s">
        <v>2016</v>
      </c>
      <c r="L601" s="3">
        <v>45849</v>
      </c>
      <c r="M601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6.25E-2</v>
      </c>
      <c r="N601" s="3">
        <v>45831</v>
      </c>
      <c r="O601" s="5">
        <f>IFERROR((PlanMasine[[#This Row],[Norma]]/PlanMasine[[#This Row],[Q]])*(PlanMasine[[#This Row],[Q]]/SUMIF(C:C,PlanMasine[[#This Row],[RN]],B:B)*PlanMasine[[#This Row],[KPLQ]]),0)</f>
        <v>90</v>
      </c>
      <c r="P601">
        <v>166302</v>
      </c>
      <c r="Q601">
        <f>COUNTIF(PROMJENA!A:A,PlanMasine[[#This Row],[KPL]]&amp;"-"&amp;PlanMasine[[#This Row],[RN]])</f>
        <v>0</v>
      </c>
      <c r="R601">
        <f>IFERROR(INDEX(REDOSLIJED!A:A,MATCH(PlanMasine[[#This Row],[KPL]],REDOSLIJED!B:B,0)),MAX(REDOSLIJED!A:A)+1)</f>
        <v>45</v>
      </c>
      <c r="S601" s="9">
        <f>SUM($M$2:M601)</f>
        <v>20.873680555555531</v>
      </c>
      <c r="T601" s="3">
        <f>PlanMasine[[#This Row],[Datum SAS]]-1</f>
        <v>45830</v>
      </c>
      <c r="U601">
        <f>WEEKDAY(PlanMasine[[#This Row],[ZAVRŠETAK MAŠINSKE]],2)</f>
        <v>7</v>
      </c>
      <c r="V601" s="3">
        <f>IF(WEEKDAY(PlanMasine[[#This Row],[Datum SAS]]-1,2)=7,PlanMasine[[#This Row],[Datum SAS]]-3,PlanMasine[[#This Row],[Datum SAS]]-1)</f>
        <v>45828</v>
      </c>
      <c r="W601">
        <f>WEEKNUM(PlanMasine[[#This Row],[Column2]],1)</f>
        <v>25</v>
      </c>
    </row>
    <row r="602" spans="1:23" x14ac:dyDescent="0.35">
      <c r="A602">
        <v>1020615</v>
      </c>
      <c r="B602">
        <v>1</v>
      </c>
      <c r="C602">
        <v>1020620</v>
      </c>
      <c r="D602" t="s">
        <v>450</v>
      </c>
      <c r="E602">
        <v>1440</v>
      </c>
      <c r="F602">
        <v>4</v>
      </c>
      <c r="G602">
        <v>0</v>
      </c>
      <c r="H602">
        <v>0</v>
      </c>
      <c r="I602" t="s">
        <v>24</v>
      </c>
      <c r="J602" t="s">
        <v>597</v>
      </c>
      <c r="K602" t="s">
        <v>2016</v>
      </c>
      <c r="L602" s="3">
        <v>45849</v>
      </c>
      <c r="M602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0.25</v>
      </c>
      <c r="N602" s="3">
        <v>45831</v>
      </c>
      <c r="O602" s="5">
        <f>IFERROR((PlanMasine[[#This Row],[Norma]]/PlanMasine[[#This Row],[Q]])*(PlanMasine[[#This Row],[Q]]/SUMIF(C:C,PlanMasine[[#This Row],[RN]],B:B)*PlanMasine[[#This Row],[KPLQ]]),0)</f>
        <v>360</v>
      </c>
      <c r="P602">
        <v>166303</v>
      </c>
      <c r="Q602">
        <f>COUNTIF(PROMJENA!A:A,PlanMasine[[#This Row],[KPL]]&amp;"-"&amp;PlanMasine[[#This Row],[RN]])</f>
        <v>0</v>
      </c>
      <c r="R602">
        <f>IFERROR(INDEX(REDOSLIJED!A:A,MATCH(PlanMasine[[#This Row],[KPL]],REDOSLIJED!B:B,0)),MAX(REDOSLIJED!A:A)+1)</f>
        <v>45</v>
      </c>
      <c r="S602" s="9">
        <f>SUM($M$2:M602)</f>
        <v>21.123680555555531</v>
      </c>
      <c r="T602" s="3">
        <f>PlanMasine[[#This Row],[Datum SAS]]-1</f>
        <v>45830</v>
      </c>
      <c r="U602">
        <f>WEEKDAY(PlanMasine[[#This Row],[ZAVRŠETAK MAŠINSKE]],2)</f>
        <v>7</v>
      </c>
      <c r="V602" s="3">
        <f>IF(WEEKDAY(PlanMasine[[#This Row],[Datum SAS]]-1,2)=7,PlanMasine[[#This Row],[Datum SAS]]-3,PlanMasine[[#This Row],[Datum SAS]]-1)</f>
        <v>45828</v>
      </c>
      <c r="W602">
        <f>WEEKNUM(PlanMasine[[#This Row],[Column2]],1)</f>
        <v>25</v>
      </c>
    </row>
    <row r="603" spans="1:23" x14ac:dyDescent="0.35">
      <c r="A603">
        <v>1020616</v>
      </c>
      <c r="B603">
        <v>1</v>
      </c>
      <c r="C603">
        <v>1020620</v>
      </c>
      <c r="D603" t="s">
        <v>450</v>
      </c>
      <c r="E603">
        <v>1440</v>
      </c>
      <c r="F603">
        <v>4</v>
      </c>
      <c r="G603">
        <v>0</v>
      </c>
      <c r="H603">
        <v>0</v>
      </c>
      <c r="I603" t="s">
        <v>24</v>
      </c>
      <c r="J603" t="s">
        <v>597</v>
      </c>
      <c r="K603" t="s">
        <v>2016</v>
      </c>
      <c r="L603" s="3">
        <v>45849</v>
      </c>
      <c r="M603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0.25</v>
      </c>
      <c r="N603" s="3">
        <v>45831</v>
      </c>
      <c r="O603" s="5">
        <f>IFERROR((PlanMasine[[#This Row],[Norma]]/PlanMasine[[#This Row],[Q]])*(PlanMasine[[#This Row],[Q]]/SUMIF(C:C,PlanMasine[[#This Row],[RN]],B:B)*PlanMasine[[#This Row],[KPLQ]]),0)</f>
        <v>360</v>
      </c>
      <c r="P603">
        <v>166303</v>
      </c>
      <c r="Q603">
        <f>COUNTIF(PROMJENA!A:A,PlanMasine[[#This Row],[KPL]]&amp;"-"&amp;PlanMasine[[#This Row],[RN]])</f>
        <v>0</v>
      </c>
      <c r="R603">
        <f>IFERROR(INDEX(REDOSLIJED!A:A,MATCH(PlanMasine[[#This Row],[KPL]],REDOSLIJED!B:B,0)),MAX(REDOSLIJED!A:A)+1)</f>
        <v>45</v>
      </c>
      <c r="S603" s="9">
        <f>SUM($M$2:M603)</f>
        <v>21.373680555555531</v>
      </c>
      <c r="T603" s="3">
        <f>PlanMasine[[#This Row],[Datum SAS]]-1</f>
        <v>45830</v>
      </c>
      <c r="U603">
        <f>WEEKDAY(PlanMasine[[#This Row],[ZAVRŠETAK MAŠINSKE]],2)</f>
        <v>7</v>
      </c>
      <c r="V603" s="3">
        <f>IF(WEEKDAY(PlanMasine[[#This Row],[Datum SAS]]-1,2)=7,PlanMasine[[#This Row],[Datum SAS]]-3,PlanMasine[[#This Row],[Datum SAS]]-1)</f>
        <v>45828</v>
      </c>
      <c r="W603">
        <f>WEEKNUM(PlanMasine[[#This Row],[Column2]],1)</f>
        <v>25</v>
      </c>
    </row>
    <row r="604" spans="1:23" x14ac:dyDescent="0.35">
      <c r="A604">
        <v>1020616</v>
      </c>
      <c r="B604">
        <v>1</v>
      </c>
      <c r="C604">
        <v>1020619</v>
      </c>
      <c r="D604" t="s">
        <v>669</v>
      </c>
      <c r="E604">
        <v>360</v>
      </c>
      <c r="F604">
        <v>4</v>
      </c>
      <c r="G604">
        <v>0</v>
      </c>
      <c r="H604">
        <v>0</v>
      </c>
      <c r="I604" t="s">
        <v>24</v>
      </c>
      <c r="J604" t="s">
        <v>597</v>
      </c>
      <c r="K604" t="s">
        <v>2016</v>
      </c>
      <c r="L604" s="3">
        <v>45849</v>
      </c>
      <c r="M604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6.25E-2</v>
      </c>
      <c r="N604" s="3">
        <v>45831</v>
      </c>
      <c r="O604" s="5">
        <f>IFERROR((PlanMasine[[#This Row],[Norma]]/PlanMasine[[#This Row],[Q]])*(PlanMasine[[#This Row],[Q]]/SUMIF(C:C,PlanMasine[[#This Row],[RN]],B:B)*PlanMasine[[#This Row],[KPLQ]]),0)</f>
        <v>90</v>
      </c>
      <c r="P604">
        <v>166302</v>
      </c>
      <c r="Q604">
        <f>COUNTIF(PROMJENA!A:A,PlanMasine[[#This Row],[KPL]]&amp;"-"&amp;PlanMasine[[#This Row],[RN]])</f>
        <v>0</v>
      </c>
      <c r="R604">
        <f>IFERROR(INDEX(REDOSLIJED!A:A,MATCH(PlanMasine[[#This Row],[KPL]],REDOSLIJED!B:B,0)),MAX(REDOSLIJED!A:A)+1)</f>
        <v>45</v>
      </c>
      <c r="S604" s="9">
        <f>SUM($M$2:M604)</f>
        <v>21.436180555555531</v>
      </c>
      <c r="T604" s="3">
        <f>PlanMasine[[#This Row],[Datum SAS]]-1</f>
        <v>45830</v>
      </c>
      <c r="U604">
        <f>WEEKDAY(PlanMasine[[#This Row],[ZAVRŠETAK MAŠINSKE]],2)</f>
        <v>7</v>
      </c>
      <c r="V604" s="3">
        <f>IF(WEEKDAY(PlanMasine[[#This Row],[Datum SAS]]-1,2)=7,PlanMasine[[#This Row],[Datum SAS]]-3,PlanMasine[[#This Row],[Datum SAS]]-1)</f>
        <v>45828</v>
      </c>
      <c r="W604">
        <f>WEEKNUM(PlanMasine[[#This Row],[Column2]],1)</f>
        <v>25</v>
      </c>
    </row>
    <row r="605" spans="1:23" x14ac:dyDescent="0.35">
      <c r="A605">
        <v>1020616</v>
      </c>
      <c r="B605">
        <v>1</v>
      </c>
      <c r="C605">
        <v>1020618</v>
      </c>
      <c r="D605" t="s">
        <v>1082</v>
      </c>
      <c r="E605">
        <v>300</v>
      </c>
      <c r="F605">
        <v>4</v>
      </c>
      <c r="G605">
        <v>0</v>
      </c>
      <c r="H605">
        <v>0</v>
      </c>
      <c r="I605" t="s">
        <v>24</v>
      </c>
      <c r="J605" t="s">
        <v>597</v>
      </c>
      <c r="K605" t="s">
        <v>2016</v>
      </c>
      <c r="L605" s="3">
        <v>45849</v>
      </c>
      <c r="M605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5.2083333333333336E-2</v>
      </c>
      <c r="N605" s="3">
        <v>45831</v>
      </c>
      <c r="O605" s="5">
        <f>IFERROR((PlanMasine[[#This Row],[Norma]]/PlanMasine[[#This Row],[Q]])*(PlanMasine[[#This Row],[Q]]/SUMIF(C:C,PlanMasine[[#This Row],[RN]],B:B)*PlanMasine[[#This Row],[KPLQ]]),0)</f>
        <v>75</v>
      </c>
      <c r="P605">
        <v>166301</v>
      </c>
      <c r="Q605">
        <f>COUNTIF(PROMJENA!A:A,PlanMasine[[#This Row],[KPL]]&amp;"-"&amp;PlanMasine[[#This Row],[RN]])</f>
        <v>0</v>
      </c>
      <c r="R605">
        <f>IFERROR(INDEX(REDOSLIJED!A:A,MATCH(PlanMasine[[#This Row],[KPL]],REDOSLIJED!B:B,0)),MAX(REDOSLIJED!A:A)+1)</f>
        <v>45</v>
      </c>
      <c r="S605" s="9">
        <f>SUM($M$2:M605)</f>
        <v>21.488263888888863</v>
      </c>
      <c r="T605" s="3">
        <f>PlanMasine[[#This Row],[Datum SAS]]-1</f>
        <v>45830</v>
      </c>
      <c r="U605">
        <f>WEEKDAY(PlanMasine[[#This Row],[ZAVRŠETAK MAŠINSKE]],2)</f>
        <v>7</v>
      </c>
      <c r="V605" s="3">
        <f>IF(WEEKDAY(PlanMasine[[#This Row],[Datum SAS]]-1,2)=7,PlanMasine[[#This Row],[Datum SAS]]-3,PlanMasine[[#This Row],[Datum SAS]]-1)</f>
        <v>45828</v>
      </c>
      <c r="W605">
        <f>WEEKNUM(PlanMasine[[#This Row],[Column2]],1)</f>
        <v>25</v>
      </c>
    </row>
    <row r="606" spans="1:23" x14ac:dyDescent="0.35">
      <c r="A606">
        <v>1020617</v>
      </c>
      <c r="B606">
        <v>1</v>
      </c>
      <c r="C606">
        <v>1020619</v>
      </c>
      <c r="D606" t="s">
        <v>669</v>
      </c>
      <c r="E606">
        <v>360</v>
      </c>
      <c r="F606">
        <v>4</v>
      </c>
      <c r="G606">
        <v>0</v>
      </c>
      <c r="H606">
        <v>0</v>
      </c>
      <c r="I606" t="s">
        <v>24</v>
      </c>
      <c r="J606" t="s">
        <v>597</v>
      </c>
      <c r="K606" t="s">
        <v>2016</v>
      </c>
      <c r="L606" s="3">
        <v>45849</v>
      </c>
      <c r="M606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6.25E-2</v>
      </c>
      <c r="N606" s="3">
        <v>45831</v>
      </c>
      <c r="O606" s="5">
        <f>IFERROR((PlanMasine[[#This Row],[Norma]]/PlanMasine[[#This Row],[Q]])*(PlanMasine[[#This Row],[Q]]/SUMIF(C:C,PlanMasine[[#This Row],[RN]],B:B)*PlanMasine[[#This Row],[KPLQ]]),0)</f>
        <v>90</v>
      </c>
      <c r="P606">
        <v>166302</v>
      </c>
      <c r="Q606">
        <f>COUNTIF(PROMJENA!A:A,PlanMasine[[#This Row],[KPL]]&amp;"-"&amp;PlanMasine[[#This Row],[RN]])</f>
        <v>0</v>
      </c>
      <c r="R606">
        <f>IFERROR(INDEX(REDOSLIJED!A:A,MATCH(PlanMasine[[#This Row],[KPL]],REDOSLIJED!B:B,0)),MAX(REDOSLIJED!A:A)+1)</f>
        <v>45</v>
      </c>
      <c r="S606" s="9">
        <f>SUM($M$2:M606)</f>
        <v>21.550763888888863</v>
      </c>
      <c r="T606" s="3">
        <f>PlanMasine[[#This Row],[Datum SAS]]-1</f>
        <v>45830</v>
      </c>
      <c r="U606">
        <f>WEEKDAY(PlanMasine[[#This Row],[ZAVRŠETAK MAŠINSKE]],2)</f>
        <v>7</v>
      </c>
      <c r="V606" s="3">
        <f>IF(WEEKDAY(PlanMasine[[#This Row],[Datum SAS]]-1,2)=7,PlanMasine[[#This Row],[Datum SAS]]-3,PlanMasine[[#This Row],[Datum SAS]]-1)</f>
        <v>45828</v>
      </c>
      <c r="W606">
        <f>WEEKNUM(PlanMasine[[#This Row],[Column2]],1)</f>
        <v>25</v>
      </c>
    </row>
    <row r="607" spans="1:23" x14ac:dyDescent="0.35">
      <c r="A607">
        <v>1020617</v>
      </c>
      <c r="B607">
        <v>1</v>
      </c>
      <c r="C607">
        <v>1020618</v>
      </c>
      <c r="D607" t="s">
        <v>1082</v>
      </c>
      <c r="E607">
        <v>300</v>
      </c>
      <c r="F607">
        <v>4</v>
      </c>
      <c r="G607">
        <v>0</v>
      </c>
      <c r="H607">
        <v>0</v>
      </c>
      <c r="I607" t="s">
        <v>24</v>
      </c>
      <c r="J607" t="s">
        <v>597</v>
      </c>
      <c r="K607" t="s">
        <v>2016</v>
      </c>
      <c r="L607" s="3">
        <v>45849</v>
      </c>
      <c r="M607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5.2083333333333336E-2</v>
      </c>
      <c r="N607" s="3">
        <v>45831</v>
      </c>
      <c r="O607" s="5">
        <f>IFERROR((PlanMasine[[#This Row],[Norma]]/PlanMasine[[#This Row],[Q]])*(PlanMasine[[#This Row],[Q]]/SUMIF(C:C,PlanMasine[[#This Row],[RN]],B:B)*PlanMasine[[#This Row],[KPLQ]]),0)</f>
        <v>75</v>
      </c>
      <c r="P607">
        <v>166301</v>
      </c>
      <c r="Q607">
        <f>COUNTIF(PROMJENA!A:A,PlanMasine[[#This Row],[KPL]]&amp;"-"&amp;PlanMasine[[#This Row],[RN]])</f>
        <v>0</v>
      </c>
      <c r="R607">
        <f>IFERROR(INDEX(REDOSLIJED!A:A,MATCH(PlanMasine[[#This Row],[KPL]],REDOSLIJED!B:B,0)),MAX(REDOSLIJED!A:A)+1)</f>
        <v>45</v>
      </c>
      <c r="S607" s="9">
        <f>SUM($M$2:M607)</f>
        <v>21.602847222222195</v>
      </c>
      <c r="T607" s="3">
        <f>PlanMasine[[#This Row],[Datum SAS]]-1</f>
        <v>45830</v>
      </c>
      <c r="U607">
        <f>WEEKDAY(PlanMasine[[#This Row],[ZAVRŠETAK MAŠINSKE]],2)</f>
        <v>7</v>
      </c>
      <c r="V607" s="3">
        <f>IF(WEEKDAY(PlanMasine[[#This Row],[Datum SAS]]-1,2)=7,PlanMasine[[#This Row],[Datum SAS]]-3,PlanMasine[[#This Row],[Datum SAS]]-1)</f>
        <v>45828</v>
      </c>
      <c r="W607">
        <f>WEEKNUM(PlanMasine[[#This Row],[Column2]],1)</f>
        <v>25</v>
      </c>
    </row>
    <row r="608" spans="1:23" x14ac:dyDescent="0.35">
      <c r="A608">
        <v>1020617</v>
      </c>
      <c r="B608">
        <v>1</v>
      </c>
      <c r="C608">
        <v>1020620</v>
      </c>
      <c r="D608" t="s">
        <v>450</v>
      </c>
      <c r="E608">
        <v>1440</v>
      </c>
      <c r="F608">
        <v>4</v>
      </c>
      <c r="G608">
        <v>0</v>
      </c>
      <c r="H608">
        <v>0</v>
      </c>
      <c r="I608" t="s">
        <v>24</v>
      </c>
      <c r="J608" t="s">
        <v>597</v>
      </c>
      <c r="K608" t="s">
        <v>2016</v>
      </c>
      <c r="L608" s="3">
        <v>45849</v>
      </c>
      <c r="M608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0.25</v>
      </c>
      <c r="N608" s="3">
        <v>45831</v>
      </c>
      <c r="O608" s="5">
        <f>IFERROR((PlanMasine[[#This Row],[Norma]]/PlanMasine[[#This Row],[Q]])*(PlanMasine[[#This Row],[Q]]/SUMIF(C:C,PlanMasine[[#This Row],[RN]],B:B)*PlanMasine[[#This Row],[KPLQ]]),0)</f>
        <v>360</v>
      </c>
      <c r="P608">
        <v>166303</v>
      </c>
      <c r="Q608">
        <f>COUNTIF(PROMJENA!A:A,PlanMasine[[#This Row],[KPL]]&amp;"-"&amp;PlanMasine[[#This Row],[RN]])</f>
        <v>0</v>
      </c>
      <c r="R608">
        <f>IFERROR(INDEX(REDOSLIJED!A:A,MATCH(PlanMasine[[#This Row],[KPL]],REDOSLIJED!B:B,0)),MAX(REDOSLIJED!A:A)+1)</f>
        <v>45</v>
      </c>
      <c r="S608" s="9">
        <f>SUM($M$2:M608)</f>
        <v>21.852847222222195</v>
      </c>
      <c r="T608" s="3">
        <f>PlanMasine[[#This Row],[Datum SAS]]-1</f>
        <v>45830</v>
      </c>
      <c r="U608">
        <f>WEEKDAY(PlanMasine[[#This Row],[ZAVRŠETAK MAŠINSKE]],2)</f>
        <v>7</v>
      </c>
      <c r="V608" s="3">
        <f>IF(WEEKDAY(PlanMasine[[#This Row],[Datum SAS]]-1,2)=7,PlanMasine[[#This Row],[Datum SAS]]-3,PlanMasine[[#This Row],[Datum SAS]]-1)</f>
        <v>45828</v>
      </c>
      <c r="W608">
        <f>WEEKNUM(PlanMasine[[#This Row],[Column2]],1)</f>
        <v>25</v>
      </c>
    </row>
    <row r="609" spans="1:23" x14ac:dyDescent="0.35">
      <c r="A609">
        <v>1025973</v>
      </c>
      <c r="B609">
        <v>1</v>
      </c>
      <c r="C609">
        <v>1026068</v>
      </c>
      <c r="D609" t="s">
        <v>2017</v>
      </c>
      <c r="E609">
        <v>35</v>
      </c>
      <c r="F609">
        <v>1</v>
      </c>
      <c r="G609">
        <v>0</v>
      </c>
      <c r="H609">
        <v>0</v>
      </c>
      <c r="I609" t="s">
        <v>24</v>
      </c>
      <c r="J609" t="s">
        <v>597</v>
      </c>
      <c r="K609" t="s">
        <v>2018</v>
      </c>
      <c r="L609" s="3">
        <v>45842</v>
      </c>
      <c r="M609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2.4305555555555556E-2</v>
      </c>
      <c r="N609" s="3">
        <v>45831</v>
      </c>
      <c r="O609" s="5">
        <f>IFERROR((PlanMasine[[#This Row],[Norma]]/PlanMasine[[#This Row],[Q]])*(PlanMasine[[#This Row],[Q]]/SUMIF(C:C,PlanMasine[[#This Row],[RN]],B:B)*PlanMasine[[#This Row],[KPLQ]]),0)</f>
        <v>35</v>
      </c>
      <c r="P609">
        <v>133592</v>
      </c>
      <c r="Q609">
        <f>COUNTIF(PROMJENA!A:A,PlanMasine[[#This Row],[KPL]]&amp;"-"&amp;PlanMasine[[#This Row],[RN]])</f>
        <v>0</v>
      </c>
      <c r="R609">
        <f>IFERROR(INDEX(REDOSLIJED!A:A,MATCH(PlanMasine[[#This Row],[KPL]],REDOSLIJED!B:B,0)),MAX(REDOSLIJED!A:A)+1)</f>
        <v>45</v>
      </c>
      <c r="S609" s="9">
        <f>SUM($M$2:M609)</f>
        <v>21.877152777777752</v>
      </c>
      <c r="T609" s="3">
        <f>PlanMasine[[#This Row],[Datum SAS]]-1</f>
        <v>45830</v>
      </c>
      <c r="U609">
        <f>WEEKDAY(PlanMasine[[#This Row],[ZAVRŠETAK MAŠINSKE]],2)</f>
        <v>7</v>
      </c>
      <c r="V609" s="3">
        <f>IF(WEEKDAY(PlanMasine[[#This Row],[Datum SAS]]-1,2)=7,PlanMasine[[#This Row],[Datum SAS]]-3,PlanMasine[[#This Row],[Datum SAS]]-1)</f>
        <v>45828</v>
      </c>
      <c r="W609">
        <f>WEEKNUM(PlanMasine[[#This Row],[Column2]],1)</f>
        <v>25</v>
      </c>
    </row>
    <row r="610" spans="1:23" x14ac:dyDescent="0.35">
      <c r="A610">
        <v>1025973</v>
      </c>
      <c r="B610">
        <v>1</v>
      </c>
      <c r="C610">
        <v>1026058</v>
      </c>
      <c r="D610" t="s">
        <v>2019</v>
      </c>
      <c r="E610">
        <v>10</v>
      </c>
      <c r="F610">
        <v>1</v>
      </c>
      <c r="G610">
        <v>0</v>
      </c>
      <c r="H610">
        <v>0</v>
      </c>
      <c r="I610" t="s">
        <v>24</v>
      </c>
      <c r="J610" t="s">
        <v>597</v>
      </c>
      <c r="K610" t="s">
        <v>2018</v>
      </c>
      <c r="L610" s="3">
        <v>45842</v>
      </c>
      <c r="M610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6.9444444444444441E-3</v>
      </c>
      <c r="N610" s="3">
        <v>45831</v>
      </c>
      <c r="O610" s="5">
        <f>IFERROR((PlanMasine[[#This Row],[Norma]]/PlanMasine[[#This Row],[Q]])*(PlanMasine[[#This Row],[Q]]/SUMIF(C:C,PlanMasine[[#This Row],[RN]],B:B)*PlanMasine[[#This Row],[KPLQ]]),0)</f>
        <v>10</v>
      </c>
      <c r="P610">
        <v>133582</v>
      </c>
      <c r="Q610">
        <f>COUNTIF(PROMJENA!A:A,PlanMasine[[#This Row],[KPL]]&amp;"-"&amp;PlanMasine[[#This Row],[RN]])</f>
        <v>0</v>
      </c>
      <c r="R610">
        <f>IFERROR(INDEX(REDOSLIJED!A:A,MATCH(PlanMasine[[#This Row],[KPL]],REDOSLIJED!B:B,0)),MAX(REDOSLIJED!A:A)+1)</f>
        <v>45</v>
      </c>
      <c r="S610" s="9">
        <f>SUM($M$2:M610)</f>
        <v>21.884097222222195</v>
      </c>
      <c r="T610" s="3">
        <f>PlanMasine[[#This Row],[Datum SAS]]-1</f>
        <v>45830</v>
      </c>
      <c r="U610">
        <f>WEEKDAY(PlanMasine[[#This Row],[ZAVRŠETAK MAŠINSKE]],2)</f>
        <v>7</v>
      </c>
      <c r="V610" s="3">
        <f>IF(WEEKDAY(PlanMasine[[#This Row],[Datum SAS]]-1,2)=7,PlanMasine[[#This Row],[Datum SAS]]-3,PlanMasine[[#This Row],[Datum SAS]]-1)</f>
        <v>45828</v>
      </c>
      <c r="W610">
        <f>WEEKNUM(PlanMasine[[#This Row],[Column2]],1)</f>
        <v>25</v>
      </c>
    </row>
    <row r="611" spans="1:23" x14ac:dyDescent="0.35">
      <c r="A611">
        <v>1025973</v>
      </c>
      <c r="B611">
        <v>1</v>
      </c>
      <c r="C611">
        <v>1026004</v>
      </c>
      <c r="D611" t="s">
        <v>242</v>
      </c>
      <c r="E611">
        <v>30</v>
      </c>
      <c r="F611">
        <v>1</v>
      </c>
      <c r="G611">
        <v>0</v>
      </c>
      <c r="H611">
        <v>0</v>
      </c>
      <c r="I611" t="s">
        <v>24</v>
      </c>
      <c r="J611" t="s">
        <v>597</v>
      </c>
      <c r="K611" t="s">
        <v>2018</v>
      </c>
      <c r="L611" s="3">
        <v>45842</v>
      </c>
      <c r="M611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2.0833333333333332E-2</v>
      </c>
      <c r="N611" s="3">
        <v>45831</v>
      </c>
      <c r="O611" s="5">
        <f>IFERROR((PlanMasine[[#This Row],[Norma]]/PlanMasine[[#This Row],[Q]])*(PlanMasine[[#This Row],[Q]]/SUMIF(C:C,PlanMasine[[#This Row],[RN]],B:B)*PlanMasine[[#This Row],[KPLQ]]),0)</f>
        <v>30</v>
      </c>
      <c r="P611">
        <v>133531</v>
      </c>
      <c r="Q611">
        <f>COUNTIF(PROMJENA!A:A,PlanMasine[[#This Row],[KPL]]&amp;"-"&amp;PlanMasine[[#This Row],[RN]])</f>
        <v>0</v>
      </c>
      <c r="R611">
        <f>IFERROR(INDEX(REDOSLIJED!A:A,MATCH(PlanMasine[[#This Row],[KPL]],REDOSLIJED!B:B,0)),MAX(REDOSLIJED!A:A)+1)</f>
        <v>45</v>
      </c>
      <c r="S611" s="9">
        <f>SUM($M$2:M611)</f>
        <v>21.904930555555527</v>
      </c>
      <c r="T611" s="3">
        <f>PlanMasine[[#This Row],[Datum SAS]]-1</f>
        <v>45830</v>
      </c>
      <c r="U611">
        <f>WEEKDAY(PlanMasine[[#This Row],[ZAVRŠETAK MAŠINSKE]],2)</f>
        <v>7</v>
      </c>
      <c r="V611" s="3">
        <f>IF(WEEKDAY(PlanMasine[[#This Row],[Datum SAS]]-1,2)=7,PlanMasine[[#This Row],[Datum SAS]]-3,PlanMasine[[#This Row],[Datum SAS]]-1)</f>
        <v>45828</v>
      </c>
      <c r="W611">
        <f>WEEKNUM(PlanMasine[[#This Row],[Column2]],1)</f>
        <v>25</v>
      </c>
    </row>
    <row r="612" spans="1:23" x14ac:dyDescent="0.35">
      <c r="A612">
        <v>1025973</v>
      </c>
      <c r="B612">
        <v>1</v>
      </c>
      <c r="C612">
        <v>1025993</v>
      </c>
      <c r="D612" t="s">
        <v>1836</v>
      </c>
      <c r="E612">
        <v>10</v>
      </c>
      <c r="F612">
        <v>1</v>
      </c>
      <c r="G612">
        <v>0</v>
      </c>
      <c r="H612">
        <v>0</v>
      </c>
      <c r="I612" t="s">
        <v>24</v>
      </c>
      <c r="J612" t="s">
        <v>597</v>
      </c>
      <c r="K612" t="s">
        <v>2018</v>
      </c>
      <c r="L612" s="3">
        <v>45842</v>
      </c>
      <c r="M612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6.9444444444444441E-3</v>
      </c>
      <c r="N612" s="3">
        <v>45831</v>
      </c>
      <c r="O612" s="5">
        <f>IFERROR((PlanMasine[[#This Row],[Norma]]/PlanMasine[[#This Row],[Q]])*(PlanMasine[[#This Row],[Q]]/SUMIF(C:C,PlanMasine[[#This Row],[RN]],B:B)*PlanMasine[[#This Row],[KPLQ]]),0)</f>
        <v>10</v>
      </c>
      <c r="P612">
        <v>133520</v>
      </c>
      <c r="Q612">
        <f>COUNTIF(PROMJENA!A:A,PlanMasine[[#This Row],[KPL]]&amp;"-"&amp;PlanMasine[[#This Row],[RN]])</f>
        <v>0</v>
      </c>
      <c r="R612">
        <f>IFERROR(INDEX(REDOSLIJED!A:A,MATCH(PlanMasine[[#This Row],[KPL]],REDOSLIJED!B:B,0)),MAX(REDOSLIJED!A:A)+1)</f>
        <v>45</v>
      </c>
      <c r="S612" s="9">
        <f>SUM($M$2:M612)</f>
        <v>21.91187499999997</v>
      </c>
      <c r="T612" s="3">
        <f>PlanMasine[[#This Row],[Datum SAS]]-1</f>
        <v>45830</v>
      </c>
      <c r="U612">
        <f>WEEKDAY(PlanMasine[[#This Row],[ZAVRŠETAK MAŠINSKE]],2)</f>
        <v>7</v>
      </c>
      <c r="V612" s="3">
        <f>IF(WEEKDAY(PlanMasine[[#This Row],[Datum SAS]]-1,2)=7,PlanMasine[[#This Row],[Datum SAS]]-3,PlanMasine[[#This Row],[Datum SAS]]-1)</f>
        <v>45828</v>
      </c>
      <c r="W612">
        <f>WEEKNUM(PlanMasine[[#This Row],[Column2]],1)</f>
        <v>25</v>
      </c>
    </row>
    <row r="613" spans="1:23" x14ac:dyDescent="0.35">
      <c r="A613">
        <v>1026132</v>
      </c>
      <c r="B613">
        <v>1</v>
      </c>
      <c r="C613">
        <v>1026152</v>
      </c>
      <c r="D613" t="s">
        <v>1836</v>
      </c>
      <c r="E613">
        <v>10</v>
      </c>
      <c r="F613">
        <v>1</v>
      </c>
      <c r="G613">
        <v>0</v>
      </c>
      <c r="H613">
        <v>0</v>
      </c>
      <c r="I613" t="s">
        <v>24</v>
      </c>
      <c r="J613" t="s">
        <v>597</v>
      </c>
      <c r="K613" t="s">
        <v>2020</v>
      </c>
      <c r="L613" s="3">
        <v>45842</v>
      </c>
      <c r="M613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6.9444444444444441E-3</v>
      </c>
      <c r="N613" s="3">
        <v>45831</v>
      </c>
      <c r="O613" s="5">
        <f>IFERROR((PlanMasine[[#This Row],[Norma]]/PlanMasine[[#This Row],[Q]])*(PlanMasine[[#This Row],[Q]]/SUMIF(C:C,PlanMasine[[#This Row],[RN]],B:B)*PlanMasine[[#This Row],[KPLQ]]),0)</f>
        <v>10</v>
      </c>
      <c r="P613">
        <v>133520</v>
      </c>
      <c r="Q613">
        <f>COUNTIF(PROMJENA!A:A,PlanMasine[[#This Row],[KPL]]&amp;"-"&amp;PlanMasine[[#This Row],[RN]])</f>
        <v>0</v>
      </c>
      <c r="R613">
        <f>IFERROR(INDEX(REDOSLIJED!A:A,MATCH(PlanMasine[[#This Row],[KPL]],REDOSLIJED!B:B,0)),MAX(REDOSLIJED!A:A)+1)</f>
        <v>45</v>
      </c>
      <c r="S613" s="9">
        <f>SUM($M$2:M613)</f>
        <v>21.918819444444413</v>
      </c>
      <c r="T613" s="3">
        <f>PlanMasine[[#This Row],[Datum SAS]]-1</f>
        <v>45830</v>
      </c>
      <c r="U613">
        <f>WEEKDAY(PlanMasine[[#This Row],[ZAVRŠETAK MAŠINSKE]],2)</f>
        <v>7</v>
      </c>
      <c r="V613" s="3">
        <f>IF(WEEKDAY(PlanMasine[[#This Row],[Datum SAS]]-1,2)=7,PlanMasine[[#This Row],[Datum SAS]]-3,PlanMasine[[#This Row],[Datum SAS]]-1)</f>
        <v>45828</v>
      </c>
      <c r="W613">
        <f>WEEKNUM(PlanMasine[[#This Row],[Column2]],1)</f>
        <v>25</v>
      </c>
    </row>
    <row r="614" spans="1:23" x14ac:dyDescent="0.35">
      <c r="A614">
        <v>1026132</v>
      </c>
      <c r="B614">
        <v>1</v>
      </c>
      <c r="C614">
        <v>1026163</v>
      </c>
      <c r="D614" t="s">
        <v>242</v>
      </c>
      <c r="E614">
        <v>30</v>
      </c>
      <c r="F614">
        <v>1</v>
      </c>
      <c r="G614">
        <v>0</v>
      </c>
      <c r="H614">
        <v>0</v>
      </c>
      <c r="I614" t="s">
        <v>24</v>
      </c>
      <c r="J614" t="s">
        <v>597</v>
      </c>
      <c r="K614" t="s">
        <v>2020</v>
      </c>
      <c r="L614" s="3">
        <v>45842</v>
      </c>
      <c r="M614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2.0833333333333332E-2</v>
      </c>
      <c r="N614" s="3">
        <v>45831</v>
      </c>
      <c r="O614" s="5">
        <f>IFERROR((PlanMasine[[#This Row],[Norma]]/PlanMasine[[#This Row],[Q]])*(PlanMasine[[#This Row],[Q]]/SUMIF(C:C,PlanMasine[[#This Row],[RN]],B:B)*PlanMasine[[#This Row],[KPLQ]]),0)</f>
        <v>30</v>
      </c>
      <c r="P614">
        <v>133531</v>
      </c>
      <c r="Q614">
        <f>COUNTIF(PROMJENA!A:A,PlanMasine[[#This Row],[KPL]]&amp;"-"&amp;PlanMasine[[#This Row],[RN]])</f>
        <v>0</v>
      </c>
      <c r="R614">
        <f>IFERROR(INDEX(REDOSLIJED!A:A,MATCH(PlanMasine[[#This Row],[KPL]],REDOSLIJED!B:B,0)),MAX(REDOSLIJED!A:A)+1)</f>
        <v>45</v>
      </c>
      <c r="S614" s="9">
        <f>SUM($M$2:M614)</f>
        <v>21.939652777777745</v>
      </c>
      <c r="T614" s="3">
        <f>PlanMasine[[#This Row],[Datum SAS]]-1</f>
        <v>45830</v>
      </c>
      <c r="U614">
        <f>WEEKDAY(PlanMasine[[#This Row],[ZAVRŠETAK MAŠINSKE]],2)</f>
        <v>7</v>
      </c>
      <c r="V614" s="3">
        <f>IF(WEEKDAY(PlanMasine[[#This Row],[Datum SAS]]-1,2)=7,PlanMasine[[#This Row],[Datum SAS]]-3,PlanMasine[[#This Row],[Datum SAS]]-1)</f>
        <v>45828</v>
      </c>
      <c r="W614">
        <f>WEEKNUM(PlanMasine[[#This Row],[Column2]],1)</f>
        <v>25</v>
      </c>
    </row>
    <row r="615" spans="1:23" x14ac:dyDescent="0.35">
      <c r="A615">
        <v>1026132</v>
      </c>
      <c r="B615">
        <v>1</v>
      </c>
      <c r="C615">
        <v>1026217</v>
      </c>
      <c r="D615" t="s">
        <v>2019</v>
      </c>
      <c r="E615">
        <v>10</v>
      </c>
      <c r="F615">
        <v>1</v>
      </c>
      <c r="G615">
        <v>0</v>
      </c>
      <c r="H615">
        <v>0</v>
      </c>
      <c r="I615" t="s">
        <v>24</v>
      </c>
      <c r="J615" t="s">
        <v>597</v>
      </c>
      <c r="K615" t="s">
        <v>2020</v>
      </c>
      <c r="L615" s="3">
        <v>45842</v>
      </c>
      <c r="M615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6.9444444444444441E-3</v>
      </c>
      <c r="N615" s="3">
        <v>45831</v>
      </c>
      <c r="O615" s="5">
        <f>IFERROR((PlanMasine[[#This Row],[Norma]]/PlanMasine[[#This Row],[Q]])*(PlanMasine[[#This Row],[Q]]/SUMIF(C:C,PlanMasine[[#This Row],[RN]],B:B)*PlanMasine[[#This Row],[KPLQ]]),0)</f>
        <v>10</v>
      </c>
      <c r="P615">
        <v>133582</v>
      </c>
      <c r="Q615">
        <f>COUNTIF(PROMJENA!A:A,PlanMasine[[#This Row],[KPL]]&amp;"-"&amp;PlanMasine[[#This Row],[RN]])</f>
        <v>0</v>
      </c>
      <c r="R615">
        <f>IFERROR(INDEX(REDOSLIJED!A:A,MATCH(PlanMasine[[#This Row],[KPL]],REDOSLIJED!B:B,0)),MAX(REDOSLIJED!A:A)+1)</f>
        <v>45</v>
      </c>
      <c r="S615" s="9">
        <f>SUM($M$2:M615)</f>
        <v>21.946597222222188</v>
      </c>
      <c r="T615" s="3">
        <f>PlanMasine[[#This Row],[Datum SAS]]-1</f>
        <v>45830</v>
      </c>
      <c r="U615">
        <f>WEEKDAY(PlanMasine[[#This Row],[ZAVRŠETAK MAŠINSKE]],2)</f>
        <v>7</v>
      </c>
      <c r="V615" s="3">
        <f>IF(WEEKDAY(PlanMasine[[#This Row],[Datum SAS]]-1,2)=7,PlanMasine[[#This Row],[Datum SAS]]-3,PlanMasine[[#This Row],[Datum SAS]]-1)</f>
        <v>45828</v>
      </c>
      <c r="W615">
        <f>WEEKNUM(PlanMasine[[#This Row],[Column2]],1)</f>
        <v>25</v>
      </c>
    </row>
    <row r="616" spans="1:23" x14ac:dyDescent="0.35">
      <c r="A616">
        <v>1026132</v>
      </c>
      <c r="B616">
        <v>1</v>
      </c>
      <c r="C616">
        <v>1026227</v>
      </c>
      <c r="D616" t="s">
        <v>2017</v>
      </c>
      <c r="E616">
        <v>35</v>
      </c>
      <c r="F616">
        <v>1</v>
      </c>
      <c r="G616">
        <v>0</v>
      </c>
      <c r="H616">
        <v>0</v>
      </c>
      <c r="I616" t="s">
        <v>24</v>
      </c>
      <c r="J616" t="s">
        <v>597</v>
      </c>
      <c r="K616" t="s">
        <v>2020</v>
      </c>
      <c r="L616" s="3">
        <v>45842</v>
      </c>
      <c r="M616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2.4305555555555556E-2</v>
      </c>
      <c r="N616" s="3">
        <v>45831</v>
      </c>
      <c r="O616" s="5">
        <f>IFERROR((PlanMasine[[#This Row],[Norma]]/PlanMasine[[#This Row],[Q]])*(PlanMasine[[#This Row],[Q]]/SUMIF(C:C,PlanMasine[[#This Row],[RN]],B:B)*PlanMasine[[#This Row],[KPLQ]]),0)</f>
        <v>35</v>
      </c>
      <c r="P616">
        <v>133592</v>
      </c>
      <c r="Q616">
        <f>COUNTIF(PROMJENA!A:A,PlanMasine[[#This Row],[KPL]]&amp;"-"&amp;PlanMasine[[#This Row],[RN]])</f>
        <v>0</v>
      </c>
      <c r="R616">
        <f>IFERROR(INDEX(REDOSLIJED!A:A,MATCH(PlanMasine[[#This Row],[KPL]],REDOSLIJED!B:B,0)),MAX(REDOSLIJED!A:A)+1)</f>
        <v>45</v>
      </c>
      <c r="S616" s="9">
        <f>SUM($M$2:M616)</f>
        <v>21.970902777777745</v>
      </c>
      <c r="T616" s="3">
        <f>PlanMasine[[#This Row],[Datum SAS]]-1</f>
        <v>45830</v>
      </c>
      <c r="U616">
        <f>WEEKDAY(PlanMasine[[#This Row],[ZAVRŠETAK MAŠINSKE]],2)</f>
        <v>7</v>
      </c>
      <c r="V616" s="3">
        <f>IF(WEEKDAY(PlanMasine[[#This Row],[Datum SAS]]-1,2)=7,PlanMasine[[#This Row],[Datum SAS]]-3,PlanMasine[[#This Row],[Datum SAS]]-1)</f>
        <v>45828</v>
      </c>
      <c r="W616">
        <f>WEEKNUM(PlanMasine[[#This Row],[Column2]],1)</f>
        <v>25</v>
      </c>
    </row>
    <row r="617" spans="1:23" x14ac:dyDescent="0.35">
      <c r="A617">
        <v>1026766</v>
      </c>
      <c r="B617">
        <v>1</v>
      </c>
      <c r="C617">
        <v>1026762</v>
      </c>
      <c r="D617" t="s">
        <v>305</v>
      </c>
      <c r="E617">
        <v>10</v>
      </c>
      <c r="F617">
        <v>1</v>
      </c>
      <c r="G617">
        <v>0</v>
      </c>
      <c r="H617">
        <v>0</v>
      </c>
      <c r="I617" t="s">
        <v>24</v>
      </c>
      <c r="J617" t="s">
        <v>597</v>
      </c>
      <c r="K617" t="s">
        <v>2021</v>
      </c>
      <c r="L617" s="3">
        <v>45842</v>
      </c>
      <c r="M617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6.9444444444444441E-3</v>
      </c>
      <c r="N617" s="3">
        <v>45831</v>
      </c>
      <c r="O617" s="5">
        <f>IFERROR((PlanMasine[[#This Row],[Norma]]/PlanMasine[[#This Row],[Q]])*(PlanMasine[[#This Row],[Q]]/SUMIF(C:C,PlanMasine[[#This Row],[RN]],B:B)*PlanMasine[[#This Row],[KPLQ]]),0)</f>
        <v>10</v>
      </c>
      <c r="P617">
        <v>156913</v>
      </c>
      <c r="Q617">
        <f>COUNTIF(PROMJENA!A:A,PlanMasine[[#This Row],[KPL]]&amp;"-"&amp;PlanMasine[[#This Row],[RN]])</f>
        <v>0</v>
      </c>
      <c r="R617">
        <f>IFERROR(INDEX(REDOSLIJED!A:A,MATCH(PlanMasine[[#This Row],[KPL]],REDOSLIJED!B:B,0)),MAX(REDOSLIJED!A:A)+1)</f>
        <v>45</v>
      </c>
      <c r="S617" s="9">
        <f>SUM($M$2:M617)</f>
        <v>21.977847222222188</v>
      </c>
      <c r="T617" s="3">
        <f>PlanMasine[[#This Row],[Datum SAS]]-1</f>
        <v>45830</v>
      </c>
      <c r="U617">
        <f>WEEKDAY(PlanMasine[[#This Row],[ZAVRŠETAK MAŠINSKE]],2)</f>
        <v>7</v>
      </c>
      <c r="V617" s="3">
        <f>IF(WEEKDAY(PlanMasine[[#This Row],[Datum SAS]]-1,2)=7,PlanMasine[[#This Row],[Datum SAS]]-3,PlanMasine[[#This Row],[Datum SAS]]-1)</f>
        <v>45828</v>
      </c>
      <c r="W617">
        <f>WEEKNUM(PlanMasine[[#This Row],[Column2]],1)</f>
        <v>25</v>
      </c>
    </row>
    <row r="618" spans="1:23" x14ac:dyDescent="0.35">
      <c r="A618">
        <v>1026798</v>
      </c>
      <c r="B618">
        <v>1</v>
      </c>
      <c r="C618">
        <v>1026794</v>
      </c>
      <c r="D618" t="s">
        <v>305</v>
      </c>
      <c r="E618">
        <v>10</v>
      </c>
      <c r="F618">
        <v>1</v>
      </c>
      <c r="G618">
        <v>0</v>
      </c>
      <c r="H618">
        <v>0</v>
      </c>
      <c r="I618" t="s">
        <v>24</v>
      </c>
      <c r="J618" t="s">
        <v>597</v>
      </c>
      <c r="K618" t="s">
        <v>2022</v>
      </c>
      <c r="L618" s="3">
        <v>45842</v>
      </c>
      <c r="M618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6.9444444444444441E-3</v>
      </c>
      <c r="N618" s="3">
        <v>45831</v>
      </c>
      <c r="O618" s="5">
        <f>IFERROR((PlanMasine[[#This Row],[Norma]]/PlanMasine[[#This Row],[Q]])*(PlanMasine[[#This Row],[Q]]/SUMIF(C:C,PlanMasine[[#This Row],[RN]],B:B)*PlanMasine[[#This Row],[KPLQ]]),0)</f>
        <v>10</v>
      </c>
      <c r="P618">
        <v>156913</v>
      </c>
      <c r="Q618">
        <f>COUNTIF(PROMJENA!A:A,PlanMasine[[#This Row],[KPL]]&amp;"-"&amp;PlanMasine[[#This Row],[RN]])</f>
        <v>0</v>
      </c>
      <c r="R618">
        <f>IFERROR(INDEX(REDOSLIJED!A:A,MATCH(PlanMasine[[#This Row],[KPL]],REDOSLIJED!B:B,0)),MAX(REDOSLIJED!A:A)+1)</f>
        <v>45</v>
      </c>
      <c r="S618" s="9">
        <f>SUM($M$2:M618)</f>
        <v>21.984791666666631</v>
      </c>
      <c r="T618" s="3">
        <f>PlanMasine[[#This Row],[Datum SAS]]-1</f>
        <v>45830</v>
      </c>
      <c r="U618">
        <f>WEEKDAY(PlanMasine[[#This Row],[ZAVRŠETAK MAŠINSKE]],2)</f>
        <v>7</v>
      </c>
      <c r="V618" s="3">
        <f>IF(WEEKDAY(PlanMasine[[#This Row],[Datum SAS]]-1,2)=7,PlanMasine[[#This Row],[Datum SAS]]-3,PlanMasine[[#This Row],[Datum SAS]]-1)</f>
        <v>45828</v>
      </c>
      <c r="W618">
        <f>WEEKNUM(PlanMasine[[#This Row],[Column2]],1)</f>
        <v>25</v>
      </c>
    </row>
    <row r="619" spans="1:23" x14ac:dyDescent="0.35">
      <c r="A619">
        <v>1026872</v>
      </c>
      <c r="B619">
        <v>1</v>
      </c>
      <c r="C619">
        <v>1026817</v>
      </c>
      <c r="D619" t="s">
        <v>2023</v>
      </c>
      <c r="E619">
        <v>30</v>
      </c>
      <c r="F619">
        <v>1</v>
      </c>
      <c r="G619">
        <v>0</v>
      </c>
      <c r="H619">
        <v>0</v>
      </c>
      <c r="I619" t="s">
        <v>24</v>
      </c>
      <c r="J619" t="s">
        <v>597</v>
      </c>
      <c r="K619" t="s">
        <v>2024</v>
      </c>
      <c r="L619" s="3">
        <v>45846</v>
      </c>
      <c r="M619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2.0833333333333332E-2</v>
      </c>
      <c r="N619" s="3">
        <v>45831</v>
      </c>
      <c r="O619" s="5">
        <f>IFERROR((PlanMasine[[#This Row],[Norma]]/PlanMasine[[#This Row],[Q]])*(PlanMasine[[#This Row],[Q]]/SUMIF(C:C,PlanMasine[[#This Row],[RN]],B:B)*PlanMasine[[#This Row],[KPLQ]]),0)</f>
        <v>30</v>
      </c>
      <c r="P619">
        <v>207112</v>
      </c>
      <c r="Q619">
        <f>COUNTIF(PROMJENA!A:A,PlanMasine[[#This Row],[KPL]]&amp;"-"&amp;PlanMasine[[#This Row],[RN]])</f>
        <v>0</v>
      </c>
      <c r="R619">
        <f>IFERROR(INDEX(REDOSLIJED!A:A,MATCH(PlanMasine[[#This Row],[KPL]],REDOSLIJED!B:B,0)),MAX(REDOSLIJED!A:A)+1)</f>
        <v>45</v>
      </c>
      <c r="S619" s="9">
        <f>SUM($M$2:M619)</f>
        <v>22.005624999999963</v>
      </c>
      <c r="T619" s="3">
        <f>PlanMasine[[#This Row],[Datum SAS]]-1</f>
        <v>45830</v>
      </c>
      <c r="U619">
        <f>WEEKDAY(PlanMasine[[#This Row],[ZAVRŠETAK MAŠINSKE]],2)</f>
        <v>7</v>
      </c>
      <c r="V619" s="3">
        <f>IF(WEEKDAY(PlanMasine[[#This Row],[Datum SAS]]-1,2)=7,PlanMasine[[#This Row],[Datum SAS]]-3,PlanMasine[[#This Row],[Datum SAS]]-1)</f>
        <v>45828</v>
      </c>
      <c r="W619">
        <f>WEEKNUM(PlanMasine[[#This Row],[Column2]],1)</f>
        <v>25</v>
      </c>
    </row>
    <row r="620" spans="1:23" x14ac:dyDescent="0.35">
      <c r="A620">
        <v>1026872</v>
      </c>
      <c r="B620">
        <v>1</v>
      </c>
      <c r="C620">
        <v>1026818</v>
      </c>
      <c r="D620" t="s">
        <v>2023</v>
      </c>
      <c r="E620">
        <v>30</v>
      </c>
      <c r="F620">
        <v>1</v>
      </c>
      <c r="G620">
        <v>0</v>
      </c>
      <c r="H620">
        <v>0</v>
      </c>
      <c r="I620" t="s">
        <v>24</v>
      </c>
      <c r="J620" t="s">
        <v>597</v>
      </c>
      <c r="K620" t="s">
        <v>2024</v>
      </c>
      <c r="L620" s="3">
        <v>45846</v>
      </c>
      <c r="M620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2.0833333333333332E-2</v>
      </c>
      <c r="N620" s="3">
        <v>45831</v>
      </c>
      <c r="O620" s="5">
        <f>IFERROR((PlanMasine[[#This Row],[Norma]]/PlanMasine[[#This Row],[Q]])*(PlanMasine[[#This Row],[Q]]/SUMIF(C:C,PlanMasine[[#This Row],[RN]],B:B)*PlanMasine[[#This Row],[KPLQ]]),0)</f>
        <v>30</v>
      </c>
      <c r="P620">
        <v>207112</v>
      </c>
      <c r="Q620">
        <f>COUNTIF(PROMJENA!A:A,PlanMasine[[#This Row],[KPL]]&amp;"-"&amp;PlanMasine[[#This Row],[RN]])</f>
        <v>0</v>
      </c>
      <c r="R620">
        <f>IFERROR(INDEX(REDOSLIJED!A:A,MATCH(PlanMasine[[#This Row],[KPL]],REDOSLIJED!B:B,0)),MAX(REDOSLIJED!A:A)+1)</f>
        <v>45</v>
      </c>
      <c r="S620" s="9">
        <f>SUM($M$2:M620)</f>
        <v>22.026458333333295</v>
      </c>
      <c r="T620" s="3">
        <f>PlanMasine[[#This Row],[Datum SAS]]-1</f>
        <v>45830</v>
      </c>
      <c r="U620">
        <f>WEEKDAY(PlanMasine[[#This Row],[ZAVRŠETAK MAŠINSKE]],2)</f>
        <v>7</v>
      </c>
      <c r="V620" s="3">
        <f>IF(WEEKDAY(PlanMasine[[#This Row],[Datum SAS]]-1,2)=7,PlanMasine[[#This Row],[Datum SAS]]-3,PlanMasine[[#This Row],[Datum SAS]]-1)</f>
        <v>45828</v>
      </c>
      <c r="W620">
        <f>WEEKNUM(PlanMasine[[#This Row],[Column2]],1)</f>
        <v>25</v>
      </c>
    </row>
    <row r="621" spans="1:23" x14ac:dyDescent="0.35">
      <c r="A621">
        <v>1029277</v>
      </c>
      <c r="B621">
        <v>1</v>
      </c>
      <c r="C621">
        <v>1029234</v>
      </c>
      <c r="D621" t="s">
        <v>1612</v>
      </c>
      <c r="E621">
        <v>120</v>
      </c>
      <c r="F621">
        <v>6</v>
      </c>
      <c r="G621">
        <v>0</v>
      </c>
      <c r="H621">
        <v>0</v>
      </c>
      <c r="I621" t="s">
        <v>24</v>
      </c>
      <c r="J621" t="s">
        <v>597</v>
      </c>
      <c r="K621" t="s">
        <v>2025</v>
      </c>
      <c r="L621" s="3">
        <v>45855</v>
      </c>
      <c r="M621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1.3888888888888888E-2</v>
      </c>
      <c r="N621" s="3">
        <v>45831</v>
      </c>
      <c r="O621" s="5">
        <f>IFERROR((PlanMasine[[#This Row],[Norma]]/PlanMasine[[#This Row],[Q]])*(PlanMasine[[#This Row],[Q]]/SUMIF(C:C,PlanMasine[[#This Row],[RN]],B:B)*PlanMasine[[#This Row],[KPLQ]]),0)</f>
        <v>20</v>
      </c>
      <c r="P621">
        <v>215459</v>
      </c>
      <c r="Q621">
        <f>COUNTIF(PROMJENA!A:A,PlanMasine[[#This Row],[KPL]]&amp;"-"&amp;PlanMasine[[#This Row],[RN]])</f>
        <v>0</v>
      </c>
      <c r="R621">
        <f>IFERROR(INDEX(REDOSLIJED!A:A,MATCH(PlanMasine[[#This Row],[KPL]],REDOSLIJED!B:B,0)),MAX(REDOSLIJED!A:A)+1)</f>
        <v>45</v>
      </c>
      <c r="S621" s="9">
        <f>SUM($M$2:M621)</f>
        <v>22.040347222222184</v>
      </c>
      <c r="T621" s="3">
        <f>PlanMasine[[#This Row],[Datum SAS]]-1</f>
        <v>45830</v>
      </c>
      <c r="U621">
        <f>WEEKDAY(PlanMasine[[#This Row],[ZAVRŠETAK MAŠINSKE]],2)</f>
        <v>7</v>
      </c>
      <c r="V621" s="3">
        <f>IF(WEEKDAY(PlanMasine[[#This Row],[Datum SAS]]-1,2)=7,PlanMasine[[#This Row],[Datum SAS]]-3,PlanMasine[[#This Row],[Datum SAS]]-1)</f>
        <v>45828</v>
      </c>
      <c r="W621">
        <f>WEEKNUM(PlanMasine[[#This Row],[Column2]],1)</f>
        <v>25</v>
      </c>
    </row>
    <row r="622" spans="1:23" x14ac:dyDescent="0.35">
      <c r="A622">
        <v>1029277</v>
      </c>
      <c r="B622">
        <v>1</v>
      </c>
      <c r="C622">
        <v>1029235</v>
      </c>
      <c r="D622" t="s">
        <v>1623</v>
      </c>
      <c r="E622">
        <v>180</v>
      </c>
      <c r="F622">
        <v>6</v>
      </c>
      <c r="G622">
        <v>0</v>
      </c>
      <c r="H622">
        <v>0</v>
      </c>
      <c r="I622" t="s">
        <v>24</v>
      </c>
      <c r="J622" t="s">
        <v>597</v>
      </c>
      <c r="K622" t="s">
        <v>2025</v>
      </c>
      <c r="L622" s="3">
        <v>45855</v>
      </c>
      <c r="M622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2.0833333333333332E-2</v>
      </c>
      <c r="N622" s="3">
        <v>45831</v>
      </c>
      <c r="O622" s="5">
        <f>IFERROR((PlanMasine[[#This Row],[Norma]]/PlanMasine[[#This Row],[Q]])*(PlanMasine[[#This Row],[Q]]/SUMIF(C:C,PlanMasine[[#This Row],[RN]],B:B)*PlanMasine[[#This Row],[KPLQ]]),0)</f>
        <v>30</v>
      </c>
      <c r="P622">
        <v>215460</v>
      </c>
      <c r="Q622">
        <f>COUNTIF(PROMJENA!A:A,PlanMasine[[#This Row],[KPL]]&amp;"-"&amp;PlanMasine[[#This Row],[RN]])</f>
        <v>0</v>
      </c>
      <c r="R622">
        <f>IFERROR(INDEX(REDOSLIJED!A:A,MATCH(PlanMasine[[#This Row],[KPL]],REDOSLIJED!B:B,0)),MAX(REDOSLIJED!A:A)+1)</f>
        <v>45</v>
      </c>
      <c r="S622" s="9">
        <f>SUM($M$2:M622)</f>
        <v>22.061180555555516</v>
      </c>
      <c r="T622" s="3">
        <f>PlanMasine[[#This Row],[Datum SAS]]-1</f>
        <v>45830</v>
      </c>
      <c r="U622">
        <f>WEEKDAY(PlanMasine[[#This Row],[ZAVRŠETAK MAŠINSKE]],2)</f>
        <v>7</v>
      </c>
      <c r="V622" s="3">
        <f>IF(WEEKDAY(PlanMasine[[#This Row],[Datum SAS]]-1,2)=7,PlanMasine[[#This Row],[Datum SAS]]-3,PlanMasine[[#This Row],[Datum SAS]]-1)</f>
        <v>45828</v>
      </c>
      <c r="W622">
        <f>WEEKNUM(PlanMasine[[#This Row],[Column2]],1)</f>
        <v>25</v>
      </c>
    </row>
    <row r="623" spans="1:23" x14ac:dyDescent="0.35">
      <c r="A623">
        <v>1029278</v>
      </c>
      <c r="B623">
        <v>1</v>
      </c>
      <c r="C623">
        <v>1029234</v>
      </c>
      <c r="D623" t="s">
        <v>1612</v>
      </c>
      <c r="E623">
        <v>120</v>
      </c>
      <c r="F623">
        <v>6</v>
      </c>
      <c r="G623">
        <v>0</v>
      </c>
      <c r="H623">
        <v>0</v>
      </c>
      <c r="I623" t="s">
        <v>24</v>
      </c>
      <c r="J623" t="s">
        <v>597</v>
      </c>
      <c r="K623" t="s">
        <v>2025</v>
      </c>
      <c r="L623" s="3">
        <v>45855</v>
      </c>
      <c r="M623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1.3888888888888888E-2</v>
      </c>
      <c r="N623" s="3">
        <v>45831</v>
      </c>
      <c r="O623" s="5">
        <f>IFERROR((PlanMasine[[#This Row],[Norma]]/PlanMasine[[#This Row],[Q]])*(PlanMasine[[#This Row],[Q]]/SUMIF(C:C,PlanMasine[[#This Row],[RN]],B:B)*PlanMasine[[#This Row],[KPLQ]]),0)</f>
        <v>20</v>
      </c>
      <c r="P623">
        <v>215459</v>
      </c>
      <c r="Q623">
        <f>COUNTIF(PROMJENA!A:A,PlanMasine[[#This Row],[KPL]]&amp;"-"&amp;PlanMasine[[#This Row],[RN]])</f>
        <v>0</v>
      </c>
      <c r="R623">
        <f>IFERROR(INDEX(REDOSLIJED!A:A,MATCH(PlanMasine[[#This Row],[KPL]],REDOSLIJED!B:B,0)),MAX(REDOSLIJED!A:A)+1)</f>
        <v>45</v>
      </c>
      <c r="S623" s="9">
        <f>SUM($M$2:M623)</f>
        <v>22.075069444444406</v>
      </c>
      <c r="T623" s="3">
        <f>PlanMasine[[#This Row],[Datum SAS]]-1</f>
        <v>45830</v>
      </c>
      <c r="U623">
        <f>WEEKDAY(PlanMasine[[#This Row],[ZAVRŠETAK MAŠINSKE]],2)</f>
        <v>7</v>
      </c>
      <c r="V623" s="3">
        <f>IF(WEEKDAY(PlanMasine[[#This Row],[Datum SAS]]-1,2)=7,PlanMasine[[#This Row],[Datum SAS]]-3,PlanMasine[[#This Row],[Datum SAS]]-1)</f>
        <v>45828</v>
      </c>
      <c r="W623">
        <f>WEEKNUM(PlanMasine[[#This Row],[Column2]],1)</f>
        <v>25</v>
      </c>
    </row>
    <row r="624" spans="1:23" x14ac:dyDescent="0.35">
      <c r="A624">
        <v>1029278</v>
      </c>
      <c r="B624">
        <v>1</v>
      </c>
      <c r="C624">
        <v>1029235</v>
      </c>
      <c r="D624" t="s">
        <v>1623</v>
      </c>
      <c r="E624">
        <v>180</v>
      </c>
      <c r="F624">
        <v>6</v>
      </c>
      <c r="G624">
        <v>0</v>
      </c>
      <c r="H624">
        <v>0</v>
      </c>
      <c r="I624" t="s">
        <v>24</v>
      </c>
      <c r="J624" t="s">
        <v>597</v>
      </c>
      <c r="K624" t="s">
        <v>2025</v>
      </c>
      <c r="L624" s="3">
        <v>45855</v>
      </c>
      <c r="M624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2.0833333333333332E-2</v>
      </c>
      <c r="N624" s="3">
        <v>45831</v>
      </c>
      <c r="O624" s="5">
        <f>IFERROR((PlanMasine[[#This Row],[Norma]]/PlanMasine[[#This Row],[Q]])*(PlanMasine[[#This Row],[Q]]/SUMIF(C:C,PlanMasine[[#This Row],[RN]],B:B)*PlanMasine[[#This Row],[KPLQ]]),0)</f>
        <v>30</v>
      </c>
      <c r="P624">
        <v>215460</v>
      </c>
      <c r="Q624">
        <f>COUNTIF(PROMJENA!A:A,PlanMasine[[#This Row],[KPL]]&amp;"-"&amp;PlanMasine[[#This Row],[RN]])</f>
        <v>0</v>
      </c>
      <c r="R624">
        <f>IFERROR(INDEX(REDOSLIJED!A:A,MATCH(PlanMasine[[#This Row],[KPL]],REDOSLIJED!B:B,0)),MAX(REDOSLIJED!A:A)+1)</f>
        <v>45</v>
      </c>
      <c r="S624" s="9">
        <f>SUM($M$2:M624)</f>
        <v>22.095902777777738</v>
      </c>
      <c r="T624" s="3">
        <f>PlanMasine[[#This Row],[Datum SAS]]-1</f>
        <v>45830</v>
      </c>
      <c r="U624">
        <f>WEEKDAY(PlanMasine[[#This Row],[ZAVRŠETAK MAŠINSKE]],2)</f>
        <v>7</v>
      </c>
      <c r="V624" s="3">
        <f>IF(WEEKDAY(PlanMasine[[#This Row],[Datum SAS]]-1,2)=7,PlanMasine[[#This Row],[Datum SAS]]-3,PlanMasine[[#This Row],[Datum SAS]]-1)</f>
        <v>45828</v>
      </c>
      <c r="W624">
        <f>WEEKNUM(PlanMasine[[#This Row],[Column2]],1)</f>
        <v>25</v>
      </c>
    </row>
    <row r="625" spans="1:23" x14ac:dyDescent="0.35">
      <c r="A625">
        <v>1029279</v>
      </c>
      <c r="B625">
        <v>1</v>
      </c>
      <c r="C625">
        <v>1029234</v>
      </c>
      <c r="D625" t="s">
        <v>1612</v>
      </c>
      <c r="E625">
        <v>120</v>
      </c>
      <c r="F625">
        <v>6</v>
      </c>
      <c r="G625">
        <v>0</v>
      </c>
      <c r="H625">
        <v>0</v>
      </c>
      <c r="I625" t="s">
        <v>24</v>
      </c>
      <c r="J625" t="s">
        <v>597</v>
      </c>
      <c r="K625" t="s">
        <v>2025</v>
      </c>
      <c r="L625" s="3">
        <v>45855</v>
      </c>
      <c r="M625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1.3888888888888888E-2</v>
      </c>
      <c r="N625" s="3">
        <v>45831</v>
      </c>
      <c r="O625" s="5">
        <f>IFERROR((PlanMasine[[#This Row],[Norma]]/PlanMasine[[#This Row],[Q]])*(PlanMasine[[#This Row],[Q]]/SUMIF(C:C,PlanMasine[[#This Row],[RN]],B:B)*PlanMasine[[#This Row],[KPLQ]]),0)</f>
        <v>20</v>
      </c>
      <c r="P625">
        <v>215459</v>
      </c>
      <c r="Q625">
        <f>COUNTIF(PROMJENA!A:A,PlanMasine[[#This Row],[KPL]]&amp;"-"&amp;PlanMasine[[#This Row],[RN]])</f>
        <v>0</v>
      </c>
      <c r="R625">
        <f>IFERROR(INDEX(REDOSLIJED!A:A,MATCH(PlanMasine[[#This Row],[KPL]],REDOSLIJED!B:B,0)),MAX(REDOSLIJED!A:A)+1)</f>
        <v>45</v>
      </c>
      <c r="S625" s="9">
        <f>SUM($M$2:M625)</f>
        <v>22.109791666666627</v>
      </c>
      <c r="T625" s="3">
        <f>PlanMasine[[#This Row],[Datum SAS]]-1</f>
        <v>45830</v>
      </c>
      <c r="U625">
        <f>WEEKDAY(PlanMasine[[#This Row],[ZAVRŠETAK MAŠINSKE]],2)</f>
        <v>7</v>
      </c>
      <c r="V625" s="3">
        <f>IF(WEEKDAY(PlanMasine[[#This Row],[Datum SAS]]-1,2)=7,PlanMasine[[#This Row],[Datum SAS]]-3,PlanMasine[[#This Row],[Datum SAS]]-1)</f>
        <v>45828</v>
      </c>
      <c r="W625">
        <f>WEEKNUM(PlanMasine[[#This Row],[Column2]],1)</f>
        <v>25</v>
      </c>
    </row>
    <row r="626" spans="1:23" x14ac:dyDescent="0.35">
      <c r="A626">
        <v>1029279</v>
      </c>
      <c r="B626">
        <v>1</v>
      </c>
      <c r="C626">
        <v>1029235</v>
      </c>
      <c r="D626" t="s">
        <v>1623</v>
      </c>
      <c r="E626">
        <v>180</v>
      </c>
      <c r="F626">
        <v>6</v>
      </c>
      <c r="G626">
        <v>0</v>
      </c>
      <c r="H626">
        <v>0</v>
      </c>
      <c r="I626" t="s">
        <v>24</v>
      </c>
      <c r="J626" t="s">
        <v>597</v>
      </c>
      <c r="K626" t="s">
        <v>2025</v>
      </c>
      <c r="L626" s="3">
        <v>45855</v>
      </c>
      <c r="M626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2.0833333333333332E-2</v>
      </c>
      <c r="N626" s="3">
        <v>45831</v>
      </c>
      <c r="O626" s="5">
        <f>IFERROR((PlanMasine[[#This Row],[Norma]]/PlanMasine[[#This Row],[Q]])*(PlanMasine[[#This Row],[Q]]/SUMIF(C:C,PlanMasine[[#This Row],[RN]],B:B)*PlanMasine[[#This Row],[KPLQ]]),0)</f>
        <v>30</v>
      </c>
      <c r="P626">
        <v>215460</v>
      </c>
      <c r="Q626">
        <f>COUNTIF(PROMJENA!A:A,PlanMasine[[#This Row],[KPL]]&amp;"-"&amp;PlanMasine[[#This Row],[RN]])</f>
        <v>0</v>
      </c>
      <c r="R626">
        <f>IFERROR(INDEX(REDOSLIJED!A:A,MATCH(PlanMasine[[#This Row],[KPL]],REDOSLIJED!B:B,0)),MAX(REDOSLIJED!A:A)+1)</f>
        <v>45</v>
      </c>
      <c r="S626" s="9">
        <f>SUM($M$2:M626)</f>
        <v>22.130624999999959</v>
      </c>
      <c r="T626" s="3">
        <f>PlanMasine[[#This Row],[Datum SAS]]-1</f>
        <v>45830</v>
      </c>
      <c r="U626">
        <f>WEEKDAY(PlanMasine[[#This Row],[ZAVRŠETAK MAŠINSKE]],2)</f>
        <v>7</v>
      </c>
      <c r="V626" s="3">
        <f>IF(WEEKDAY(PlanMasine[[#This Row],[Datum SAS]]-1,2)=7,PlanMasine[[#This Row],[Datum SAS]]-3,PlanMasine[[#This Row],[Datum SAS]]-1)</f>
        <v>45828</v>
      </c>
      <c r="W626">
        <f>WEEKNUM(PlanMasine[[#This Row],[Column2]],1)</f>
        <v>25</v>
      </c>
    </row>
    <row r="627" spans="1:23" x14ac:dyDescent="0.35">
      <c r="A627">
        <v>1029280</v>
      </c>
      <c r="B627">
        <v>1</v>
      </c>
      <c r="C627">
        <v>1029234</v>
      </c>
      <c r="D627" t="s">
        <v>1612</v>
      </c>
      <c r="E627">
        <v>120</v>
      </c>
      <c r="F627">
        <v>6</v>
      </c>
      <c r="G627">
        <v>0</v>
      </c>
      <c r="H627">
        <v>0</v>
      </c>
      <c r="I627" t="s">
        <v>24</v>
      </c>
      <c r="J627" t="s">
        <v>597</v>
      </c>
      <c r="K627" t="s">
        <v>2025</v>
      </c>
      <c r="L627" s="3">
        <v>45855</v>
      </c>
      <c r="M627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1.3888888888888888E-2</v>
      </c>
      <c r="N627" s="3">
        <v>45831</v>
      </c>
      <c r="O627" s="5">
        <f>IFERROR((PlanMasine[[#This Row],[Norma]]/PlanMasine[[#This Row],[Q]])*(PlanMasine[[#This Row],[Q]]/SUMIF(C:C,PlanMasine[[#This Row],[RN]],B:B)*PlanMasine[[#This Row],[KPLQ]]),0)</f>
        <v>20</v>
      </c>
      <c r="P627">
        <v>215459</v>
      </c>
      <c r="Q627">
        <f>COUNTIF(PROMJENA!A:A,PlanMasine[[#This Row],[KPL]]&amp;"-"&amp;PlanMasine[[#This Row],[RN]])</f>
        <v>0</v>
      </c>
      <c r="R627">
        <f>IFERROR(INDEX(REDOSLIJED!A:A,MATCH(PlanMasine[[#This Row],[KPL]],REDOSLIJED!B:B,0)),MAX(REDOSLIJED!A:A)+1)</f>
        <v>45</v>
      </c>
      <c r="S627" s="9">
        <f>SUM($M$2:M627)</f>
        <v>22.144513888888849</v>
      </c>
      <c r="T627" s="3">
        <f>PlanMasine[[#This Row],[Datum SAS]]-1</f>
        <v>45830</v>
      </c>
      <c r="U627">
        <f>WEEKDAY(PlanMasine[[#This Row],[ZAVRŠETAK MAŠINSKE]],2)</f>
        <v>7</v>
      </c>
      <c r="V627" s="3">
        <f>IF(WEEKDAY(PlanMasine[[#This Row],[Datum SAS]]-1,2)=7,PlanMasine[[#This Row],[Datum SAS]]-3,PlanMasine[[#This Row],[Datum SAS]]-1)</f>
        <v>45828</v>
      </c>
      <c r="W627">
        <f>WEEKNUM(PlanMasine[[#This Row],[Column2]],1)</f>
        <v>25</v>
      </c>
    </row>
    <row r="628" spans="1:23" x14ac:dyDescent="0.35">
      <c r="A628">
        <v>1029280</v>
      </c>
      <c r="B628">
        <v>1</v>
      </c>
      <c r="C628">
        <v>1029235</v>
      </c>
      <c r="D628" t="s">
        <v>1623</v>
      </c>
      <c r="E628">
        <v>180</v>
      </c>
      <c r="F628">
        <v>6</v>
      </c>
      <c r="G628">
        <v>0</v>
      </c>
      <c r="H628">
        <v>0</v>
      </c>
      <c r="I628" t="s">
        <v>24</v>
      </c>
      <c r="J628" t="s">
        <v>597</v>
      </c>
      <c r="K628" t="s">
        <v>2025</v>
      </c>
      <c r="L628" s="3">
        <v>45855</v>
      </c>
      <c r="M628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2.0833333333333332E-2</v>
      </c>
      <c r="N628" s="3">
        <v>45831</v>
      </c>
      <c r="O628" s="5">
        <f>IFERROR((PlanMasine[[#This Row],[Norma]]/PlanMasine[[#This Row],[Q]])*(PlanMasine[[#This Row],[Q]]/SUMIF(C:C,PlanMasine[[#This Row],[RN]],B:B)*PlanMasine[[#This Row],[KPLQ]]),0)</f>
        <v>30</v>
      </c>
      <c r="P628">
        <v>215460</v>
      </c>
      <c r="Q628">
        <f>COUNTIF(PROMJENA!A:A,PlanMasine[[#This Row],[KPL]]&amp;"-"&amp;PlanMasine[[#This Row],[RN]])</f>
        <v>0</v>
      </c>
      <c r="R628">
        <f>IFERROR(INDEX(REDOSLIJED!A:A,MATCH(PlanMasine[[#This Row],[KPL]],REDOSLIJED!B:B,0)),MAX(REDOSLIJED!A:A)+1)</f>
        <v>45</v>
      </c>
      <c r="S628" s="9">
        <f>SUM($M$2:M628)</f>
        <v>22.165347222222181</v>
      </c>
      <c r="T628" s="3">
        <f>PlanMasine[[#This Row],[Datum SAS]]-1</f>
        <v>45830</v>
      </c>
      <c r="U628">
        <f>WEEKDAY(PlanMasine[[#This Row],[ZAVRŠETAK MAŠINSKE]],2)</f>
        <v>7</v>
      </c>
      <c r="V628" s="3">
        <f>IF(WEEKDAY(PlanMasine[[#This Row],[Datum SAS]]-1,2)=7,PlanMasine[[#This Row],[Datum SAS]]-3,PlanMasine[[#This Row],[Datum SAS]]-1)</f>
        <v>45828</v>
      </c>
      <c r="W628">
        <f>WEEKNUM(PlanMasine[[#This Row],[Column2]],1)</f>
        <v>25</v>
      </c>
    </row>
    <row r="629" spans="1:23" x14ac:dyDescent="0.35">
      <c r="A629">
        <v>1029281</v>
      </c>
      <c r="B629">
        <v>1</v>
      </c>
      <c r="C629">
        <v>1029235</v>
      </c>
      <c r="D629" t="s">
        <v>1623</v>
      </c>
      <c r="E629">
        <v>180</v>
      </c>
      <c r="F629">
        <v>6</v>
      </c>
      <c r="G629">
        <v>0</v>
      </c>
      <c r="H629">
        <v>0</v>
      </c>
      <c r="I629" t="s">
        <v>24</v>
      </c>
      <c r="J629" t="s">
        <v>597</v>
      </c>
      <c r="K629" t="s">
        <v>2025</v>
      </c>
      <c r="L629" s="3">
        <v>45855</v>
      </c>
      <c r="M629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2.0833333333333332E-2</v>
      </c>
      <c r="N629" s="3">
        <v>45831</v>
      </c>
      <c r="O629" s="5">
        <f>IFERROR((PlanMasine[[#This Row],[Norma]]/PlanMasine[[#This Row],[Q]])*(PlanMasine[[#This Row],[Q]]/SUMIF(C:C,PlanMasine[[#This Row],[RN]],B:B)*PlanMasine[[#This Row],[KPLQ]]),0)</f>
        <v>30</v>
      </c>
      <c r="P629">
        <v>215460</v>
      </c>
      <c r="Q629">
        <f>COUNTIF(PROMJENA!A:A,PlanMasine[[#This Row],[KPL]]&amp;"-"&amp;PlanMasine[[#This Row],[RN]])</f>
        <v>0</v>
      </c>
      <c r="R629">
        <f>IFERROR(INDEX(REDOSLIJED!A:A,MATCH(PlanMasine[[#This Row],[KPL]],REDOSLIJED!B:B,0)),MAX(REDOSLIJED!A:A)+1)</f>
        <v>45</v>
      </c>
      <c r="S629" s="9">
        <f>SUM($M$2:M629)</f>
        <v>22.186180555555513</v>
      </c>
      <c r="T629" s="3">
        <f>PlanMasine[[#This Row],[Datum SAS]]-1</f>
        <v>45830</v>
      </c>
      <c r="U629">
        <f>WEEKDAY(PlanMasine[[#This Row],[ZAVRŠETAK MAŠINSKE]],2)</f>
        <v>7</v>
      </c>
      <c r="V629" s="3">
        <f>IF(WEEKDAY(PlanMasine[[#This Row],[Datum SAS]]-1,2)=7,PlanMasine[[#This Row],[Datum SAS]]-3,PlanMasine[[#This Row],[Datum SAS]]-1)</f>
        <v>45828</v>
      </c>
      <c r="W629">
        <f>WEEKNUM(PlanMasine[[#This Row],[Column2]],1)</f>
        <v>25</v>
      </c>
    </row>
    <row r="630" spans="1:23" x14ac:dyDescent="0.35">
      <c r="A630">
        <v>1029281</v>
      </c>
      <c r="B630">
        <v>1</v>
      </c>
      <c r="C630">
        <v>1029234</v>
      </c>
      <c r="D630" t="s">
        <v>1612</v>
      </c>
      <c r="E630">
        <v>120</v>
      </c>
      <c r="F630">
        <v>6</v>
      </c>
      <c r="G630">
        <v>0</v>
      </c>
      <c r="H630">
        <v>0</v>
      </c>
      <c r="I630" t="s">
        <v>24</v>
      </c>
      <c r="J630" t="s">
        <v>597</v>
      </c>
      <c r="K630" t="s">
        <v>2025</v>
      </c>
      <c r="L630" s="3">
        <v>45855</v>
      </c>
      <c r="M630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1.3888888888888888E-2</v>
      </c>
      <c r="N630" s="3">
        <v>45831</v>
      </c>
      <c r="O630" s="5">
        <f>IFERROR((PlanMasine[[#This Row],[Norma]]/PlanMasine[[#This Row],[Q]])*(PlanMasine[[#This Row],[Q]]/SUMIF(C:C,PlanMasine[[#This Row],[RN]],B:B)*PlanMasine[[#This Row],[KPLQ]]),0)</f>
        <v>20</v>
      </c>
      <c r="P630">
        <v>215459</v>
      </c>
      <c r="Q630">
        <f>COUNTIF(PROMJENA!A:A,PlanMasine[[#This Row],[KPL]]&amp;"-"&amp;PlanMasine[[#This Row],[RN]])</f>
        <v>0</v>
      </c>
      <c r="R630">
        <f>IFERROR(INDEX(REDOSLIJED!A:A,MATCH(PlanMasine[[#This Row],[KPL]],REDOSLIJED!B:B,0)),MAX(REDOSLIJED!A:A)+1)</f>
        <v>45</v>
      </c>
      <c r="S630" s="9">
        <f>SUM($M$2:M630)</f>
        <v>22.200069444444402</v>
      </c>
      <c r="T630" s="3">
        <f>PlanMasine[[#This Row],[Datum SAS]]-1</f>
        <v>45830</v>
      </c>
      <c r="U630">
        <f>WEEKDAY(PlanMasine[[#This Row],[ZAVRŠETAK MAŠINSKE]],2)</f>
        <v>7</v>
      </c>
      <c r="V630" s="3">
        <f>IF(WEEKDAY(PlanMasine[[#This Row],[Datum SAS]]-1,2)=7,PlanMasine[[#This Row],[Datum SAS]]-3,PlanMasine[[#This Row],[Datum SAS]]-1)</f>
        <v>45828</v>
      </c>
      <c r="W630">
        <f>WEEKNUM(PlanMasine[[#This Row],[Column2]],1)</f>
        <v>25</v>
      </c>
    </row>
    <row r="631" spans="1:23" x14ac:dyDescent="0.35">
      <c r="A631">
        <v>1029282</v>
      </c>
      <c r="B631">
        <v>1</v>
      </c>
      <c r="C631">
        <v>1029235</v>
      </c>
      <c r="D631" t="s">
        <v>1623</v>
      </c>
      <c r="E631">
        <v>180</v>
      </c>
      <c r="F631">
        <v>6</v>
      </c>
      <c r="G631">
        <v>0</v>
      </c>
      <c r="H631">
        <v>0</v>
      </c>
      <c r="I631" t="s">
        <v>24</v>
      </c>
      <c r="J631" t="s">
        <v>597</v>
      </c>
      <c r="K631" t="s">
        <v>2025</v>
      </c>
      <c r="L631" s="3">
        <v>45855</v>
      </c>
      <c r="M631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2.0833333333333332E-2</v>
      </c>
      <c r="N631" s="3">
        <v>45831</v>
      </c>
      <c r="O631" s="5">
        <f>IFERROR((PlanMasine[[#This Row],[Norma]]/PlanMasine[[#This Row],[Q]])*(PlanMasine[[#This Row],[Q]]/SUMIF(C:C,PlanMasine[[#This Row],[RN]],B:B)*PlanMasine[[#This Row],[KPLQ]]),0)</f>
        <v>30</v>
      </c>
      <c r="P631">
        <v>215460</v>
      </c>
      <c r="Q631">
        <f>COUNTIF(PROMJENA!A:A,PlanMasine[[#This Row],[KPL]]&amp;"-"&amp;PlanMasine[[#This Row],[RN]])</f>
        <v>0</v>
      </c>
      <c r="R631">
        <f>IFERROR(INDEX(REDOSLIJED!A:A,MATCH(PlanMasine[[#This Row],[KPL]],REDOSLIJED!B:B,0)),MAX(REDOSLIJED!A:A)+1)</f>
        <v>45</v>
      </c>
      <c r="S631" s="9">
        <f>SUM($M$2:M631)</f>
        <v>22.220902777777734</v>
      </c>
      <c r="T631" s="3">
        <f>PlanMasine[[#This Row],[Datum SAS]]-1</f>
        <v>45830</v>
      </c>
      <c r="U631">
        <f>WEEKDAY(PlanMasine[[#This Row],[ZAVRŠETAK MAŠINSKE]],2)</f>
        <v>7</v>
      </c>
      <c r="V631" s="3">
        <f>IF(WEEKDAY(PlanMasine[[#This Row],[Datum SAS]]-1,2)=7,PlanMasine[[#This Row],[Datum SAS]]-3,PlanMasine[[#This Row],[Datum SAS]]-1)</f>
        <v>45828</v>
      </c>
      <c r="W631">
        <f>WEEKNUM(PlanMasine[[#This Row],[Column2]],1)</f>
        <v>25</v>
      </c>
    </row>
    <row r="632" spans="1:23" x14ac:dyDescent="0.35">
      <c r="A632">
        <v>1029282</v>
      </c>
      <c r="B632">
        <v>1</v>
      </c>
      <c r="C632">
        <v>1029234</v>
      </c>
      <c r="D632" t="s">
        <v>1612</v>
      </c>
      <c r="E632">
        <v>120</v>
      </c>
      <c r="F632">
        <v>6</v>
      </c>
      <c r="G632">
        <v>0</v>
      </c>
      <c r="H632">
        <v>0</v>
      </c>
      <c r="I632" t="s">
        <v>24</v>
      </c>
      <c r="J632" t="s">
        <v>597</v>
      </c>
      <c r="K632" t="s">
        <v>2025</v>
      </c>
      <c r="L632" s="3">
        <v>45855</v>
      </c>
      <c r="M632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1.3888888888888888E-2</v>
      </c>
      <c r="N632" s="3">
        <v>45831</v>
      </c>
      <c r="O632" s="5">
        <f>IFERROR((PlanMasine[[#This Row],[Norma]]/PlanMasine[[#This Row],[Q]])*(PlanMasine[[#This Row],[Q]]/SUMIF(C:C,PlanMasine[[#This Row],[RN]],B:B)*PlanMasine[[#This Row],[KPLQ]]),0)</f>
        <v>20</v>
      </c>
      <c r="P632">
        <v>215459</v>
      </c>
      <c r="Q632">
        <f>COUNTIF(PROMJENA!A:A,PlanMasine[[#This Row],[KPL]]&amp;"-"&amp;PlanMasine[[#This Row],[RN]])</f>
        <v>0</v>
      </c>
      <c r="R632">
        <f>IFERROR(INDEX(REDOSLIJED!A:A,MATCH(PlanMasine[[#This Row],[KPL]],REDOSLIJED!B:B,0)),MAX(REDOSLIJED!A:A)+1)</f>
        <v>45</v>
      </c>
      <c r="S632" s="9">
        <f>SUM($M$2:M632)</f>
        <v>22.234791666666624</v>
      </c>
      <c r="T632" s="3">
        <f>PlanMasine[[#This Row],[Datum SAS]]-1</f>
        <v>45830</v>
      </c>
      <c r="U632">
        <f>WEEKDAY(PlanMasine[[#This Row],[ZAVRŠETAK MAŠINSKE]],2)</f>
        <v>7</v>
      </c>
      <c r="V632" s="3">
        <f>IF(WEEKDAY(PlanMasine[[#This Row],[Datum SAS]]-1,2)=7,PlanMasine[[#This Row],[Datum SAS]]-3,PlanMasine[[#This Row],[Datum SAS]]-1)</f>
        <v>45828</v>
      </c>
      <c r="W632">
        <f>WEEKNUM(PlanMasine[[#This Row],[Column2]],1)</f>
        <v>25</v>
      </c>
    </row>
    <row r="633" spans="1:23" x14ac:dyDescent="0.35">
      <c r="A633">
        <v>1020710</v>
      </c>
      <c r="B633">
        <v>1</v>
      </c>
      <c r="C633">
        <v>1020764</v>
      </c>
      <c r="D633" t="s">
        <v>1609</v>
      </c>
      <c r="E633">
        <v>50</v>
      </c>
      <c r="F633">
        <v>2</v>
      </c>
      <c r="G633">
        <v>0</v>
      </c>
      <c r="H633">
        <v>0</v>
      </c>
      <c r="I633" t="s">
        <v>24</v>
      </c>
      <c r="J633" t="s">
        <v>597</v>
      </c>
      <c r="K633" t="s">
        <v>2026</v>
      </c>
      <c r="L633" s="3">
        <v>45860</v>
      </c>
      <c r="M633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3.4722222222222224E-2</v>
      </c>
      <c r="N633" s="3">
        <v>45832</v>
      </c>
      <c r="O633" s="5">
        <f>IFERROR((PlanMasine[[#This Row],[Norma]]/PlanMasine[[#This Row],[Q]])*(PlanMasine[[#This Row],[Q]]/SUMIF(C:C,PlanMasine[[#This Row],[RN]],B:B)*PlanMasine[[#This Row],[KPLQ]]),0)</f>
        <v>50</v>
      </c>
      <c r="P633">
        <v>151176</v>
      </c>
      <c r="Q633">
        <f>COUNTIF(PROMJENA!A:A,PlanMasine[[#This Row],[KPL]]&amp;"-"&amp;PlanMasine[[#This Row],[RN]])</f>
        <v>0</v>
      </c>
      <c r="R633">
        <f>IFERROR(INDEX(REDOSLIJED!A:A,MATCH(PlanMasine[[#This Row],[KPL]],REDOSLIJED!B:B,0)),MAX(REDOSLIJED!A:A)+1)</f>
        <v>45</v>
      </c>
      <c r="S633" s="9">
        <f>SUM($M$2:M633)</f>
        <v>22.269513888888845</v>
      </c>
      <c r="T633" s="3">
        <f>PlanMasine[[#This Row],[Datum SAS]]-1</f>
        <v>45831</v>
      </c>
      <c r="U633">
        <f>WEEKDAY(PlanMasine[[#This Row],[ZAVRŠETAK MAŠINSKE]],2)</f>
        <v>1</v>
      </c>
      <c r="V633" s="3">
        <f>IF(WEEKDAY(PlanMasine[[#This Row],[Datum SAS]]-1,2)=7,PlanMasine[[#This Row],[Datum SAS]]-3,PlanMasine[[#This Row],[Datum SAS]]-1)</f>
        <v>45831</v>
      </c>
      <c r="W633">
        <f>WEEKNUM(PlanMasine[[#This Row],[Column2]],1)</f>
        <v>26</v>
      </c>
    </row>
    <row r="634" spans="1:23" x14ac:dyDescent="0.35">
      <c r="A634">
        <v>1020710</v>
      </c>
      <c r="B634">
        <v>1</v>
      </c>
      <c r="C634">
        <v>1020756</v>
      </c>
      <c r="D634" t="s">
        <v>1766</v>
      </c>
      <c r="E634">
        <v>30</v>
      </c>
      <c r="F634">
        <v>1</v>
      </c>
      <c r="G634">
        <v>0</v>
      </c>
      <c r="H634">
        <v>0</v>
      </c>
      <c r="I634" t="s">
        <v>24</v>
      </c>
      <c r="J634" t="s">
        <v>597</v>
      </c>
      <c r="K634" t="s">
        <v>2026</v>
      </c>
      <c r="L634" s="3">
        <v>45860</v>
      </c>
      <c r="M634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2.0833333333333332E-2</v>
      </c>
      <c r="N634" s="3">
        <v>45832</v>
      </c>
      <c r="O634" s="5">
        <f>IFERROR((PlanMasine[[#This Row],[Norma]]/PlanMasine[[#This Row],[Q]])*(PlanMasine[[#This Row],[Q]]/SUMIF(C:C,PlanMasine[[#This Row],[RN]],B:B)*PlanMasine[[#This Row],[KPLQ]]),0)</f>
        <v>30</v>
      </c>
      <c r="P634">
        <v>151168</v>
      </c>
      <c r="Q634">
        <f>COUNTIF(PROMJENA!A:A,PlanMasine[[#This Row],[KPL]]&amp;"-"&amp;PlanMasine[[#This Row],[RN]])</f>
        <v>0</v>
      </c>
      <c r="R634">
        <f>IFERROR(INDEX(REDOSLIJED!A:A,MATCH(PlanMasine[[#This Row],[KPL]],REDOSLIJED!B:B,0)),MAX(REDOSLIJED!A:A)+1)</f>
        <v>45</v>
      </c>
      <c r="S634" s="9">
        <f>SUM($M$2:M634)</f>
        <v>22.290347222222177</v>
      </c>
      <c r="T634" s="3">
        <f>PlanMasine[[#This Row],[Datum SAS]]-1</f>
        <v>45831</v>
      </c>
      <c r="U634">
        <f>WEEKDAY(PlanMasine[[#This Row],[ZAVRŠETAK MAŠINSKE]],2)</f>
        <v>1</v>
      </c>
      <c r="V634" s="3">
        <f>IF(WEEKDAY(PlanMasine[[#This Row],[Datum SAS]]-1,2)=7,PlanMasine[[#This Row],[Datum SAS]]-3,PlanMasine[[#This Row],[Datum SAS]]-1)</f>
        <v>45831</v>
      </c>
      <c r="W634">
        <f>WEEKNUM(PlanMasine[[#This Row],[Column2]],1)</f>
        <v>26</v>
      </c>
    </row>
    <row r="635" spans="1:23" x14ac:dyDescent="0.35">
      <c r="A635">
        <v>1020710</v>
      </c>
      <c r="B635">
        <v>1</v>
      </c>
      <c r="C635">
        <v>1020755</v>
      </c>
      <c r="D635" t="s">
        <v>1767</v>
      </c>
      <c r="E635">
        <v>30</v>
      </c>
      <c r="F635">
        <v>1</v>
      </c>
      <c r="G635">
        <v>0</v>
      </c>
      <c r="H635">
        <v>0</v>
      </c>
      <c r="I635" t="s">
        <v>24</v>
      </c>
      <c r="J635" t="s">
        <v>597</v>
      </c>
      <c r="K635" t="s">
        <v>2026</v>
      </c>
      <c r="L635" s="3">
        <v>45860</v>
      </c>
      <c r="M635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2.0833333333333332E-2</v>
      </c>
      <c r="N635" s="3">
        <v>45832</v>
      </c>
      <c r="O635" s="5">
        <f>IFERROR((PlanMasine[[#This Row],[Norma]]/PlanMasine[[#This Row],[Q]])*(PlanMasine[[#This Row],[Q]]/SUMIF(C:C,PlanMasine[[#This Row],[RN]],B:B)*PlanMasine[[#This Row],[KPLQ]]),0)</f>
        <v>30</v>
      </c>
      <c r="P635">
        <v>151167</v>
      </c>
      <c r="Q635">
        <f>COUNTIF(PROMJENA!A:A,PlanMasine[[#This Row],[KPL]]&amp;"-"&amp;PlanMasine[[#This Row],[RN]])</f>
        <v>0</v>
      </c>
      <c r="R635">
        <f>IFERROR(INDEX(REDOSLIJED!A:A,MATCH(PlanMasine[[#This Row],[KPL]],REDOSLIJED!B:B,0)),MAX(REDOSLIJED!A:A)+1)</f>
        <v>45</v>
      </c>
      <c r="S635" s="9">
        <f>SUM($M$2:M635)</f>
        <v>22.311180555555509</v>
      </c>
      <c r="T635" s="3">
        <f>PlanMasine[[#This Row],[Datum SAS]]-1</f>
        <v>45831</v>
      </c>
      <c r="U635">
        <f>WEEKDAY(PlanMasine[[#This Row],[ZAVRŠETAK MAŠINSKE]],2)</f>
        <v>1</v>
      </c>
      <c r="V635" s="3">
        <f>IF(WEEKDAY(PlanMasine[[#This Row],[Datum SAS]]-1,2)=7,PlanMasine[[#This Row],[Datum SAS]]-3,PlanMasine[[#This Row],[Datum SAS]]-1)</f>
        <v>45831</v>
      </c>
      <c r="W635">
        <f>WEEKNUM(PlanMasine[[#This Row],[Column2]],1)</f>
        <v>26</v>
      </c>
    </row>
    <row r="636" spans="1:23" x14ac:dyDescent="0.35">
      <c r="A636">
        <v>1020628</v>
      </c>
      <c r="B636">
        <v>1</v>
      </c>
      <c r="C636">
        <v>1020673</v>
      </c>
      <c r="D636" t="s">
        <v>254</v>
      </c>
      <c r="E636">
        <v>30</v>
      </c>
      <c r="F636">
        <v>1</v>
      </c>
      <c r="G636">
        <v>0</v>
      </c>
      <c r="H636">
        <v>0</v>
      </c>
      <c r="I636" t="s">
        <v>24</v>
      </c>
      <c r="J636" t="s">
        <v>597</v>
      </c>
      <c r="K636" t="s">
        <v>2027</v>
      </c>
      <c r="L636" s="3">
        <v>45860</v>
      </c>
      <c r="M636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2.0833333333333332E-2</v>
      </c>
      <c r="N636" s="3">
        <v>45833</v>
      </c>
      <c r="O636" s="5">
        <f>IFERROR((PlanMasine[[#This Row],[Norma]]/PlanMasine[[#This Row],[Q]])*(PlanMasine[[#This Row],[Q]]/SUMIF(C:C,PlanMasine[[#This Row],[RN]],B:B)*PlanMasine[[#This Row],[KPLQ]]),0)</f>
        <v>30</v>
      </c>
      <c r="P636">
        <v>152924</v>
      </c>
      <c r="Q636">
        <f>COUNTIF(PROMJENA!A:A,PlanMasine[[#This Row],[KPL]]&amp;"-"&amp;PlanMasine[[#This Row],[RN]])</f>
        <v>0</v>
      </c>
      <c r="R636">
        <f>IFERROR(INDEX(REDOSLIJED!A:A,MATCH(PlanMasine[[#This Row],[KPL]],REDOSLIJED!B:B,0)),MAX(REDOSLIJED!A:A)+1)</f>
        <v>45</v>
      </c>
      <c r="S636" s="9">
        <f>SUM($M$2:M636)</f>
        <v>22.332013888888842</v>
      </c>
      <c r="T636" s="3">
        <f>PlanMasine[[#This Row],[Datum SAS]]-1</f>
        <v>45832</v>
      </c>
      <c r="U636">
        <f>WEEKDAY(PlanMasine[[#This Row],[ZAVRŠETAK MAŠINSKE]],2)</f>
        <v>2</v>
      </c>
      <c r="V636" s="3">
        <f>IF(WEEKDAY(PlanMasine[[#This Row],[Datum SAS]]-1,2)=7,PlanMasine[[#This Row],[Datum SAS]]-3,PlanMasine[[#This Row],[Datum SAS]]-1)</f>
        <v>45832</v>
      </c>
      <c r="W636">
        <f>WEEKNUM(PlanMasine[[#This Row],[Column2]],1)</f>
        <v>26</v>
      </c>
    </row>
    <row r="637" spans="1:23" x14ac:dyDescent="0.35">
      <c r="A637">
        <v>1020628</v>
      </c>
      <c r="B637">
        <v>1</v>
      </c>
      <c r="C637">
        <v>1020674</v>
      </c>
      <c r="D637" t="s">
        <v>255</v>
      </c>
      <c r="E637">
        <v>30</v>
      </c>
      <c r="F637">
        <v>1</v>
      </c>
      <c r="G637">
        <v>0</v>
      </c>
      <c r="H637">
        <v>0</v>
      </c>
      <c r="I637" t="s">
        <v>24</v>
      </c>
      <c r="J637" t="s">
        <v>597</v>
      </c>
      <c r="K637" t="s">
        <v>2027</v>
      </c>
      <c r="L637" s="3">
        <v>45860</v>
      </c>
      <c r="M637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2.0833333333333332E-2</v>
      </c>
      <c r="N637" s="3">
        <v>45833</v>
      </c>
      <c r="O637" s="5">
        <f>IFERROR((PlanMasine[[#This Row],[Norma]]/PlanMasine[[#This Row],[Q]])*(PlanMasine[[#This Row],[Q]]/SUMIF(C:C,PlanMasine[[#This Row],[RN]],B:B)*PlanMasine[[#This Row],[KPLQ]]),0)</f>
        <v>30</v>
      </c>
      <c r="P637">
        <v>152925</v>
      </c>
      <c r="Q637">
        <f>COUNTIF(PROMJENA!A:A,PlanMasine[[#This Row],[KPL]]&amp;"-"&amp;PlanMasine[[#This Row],[RN]])</f>
        <v>0</v>
      </c>
      <c r="R637">
        <f>IFERROR(INDEX(REDOSLIJED!A:A,MATCH(PlanMasine[[#This Row],[KPL]],REDOSLIJED!B:B,0)),MAX(REDOSLIJED!A:A)+1)</f>
        <v>45</v>
      </c>
      <c r="S637" s="9">
        <f>SUM($M$2:M637)</f>
        <v>22.352847222222174</v>
      </c>
      <c r="T637" s="3">
        <f>PlanMasine[[#This Row],[Datum SAS]]-1</f>
        <v>45832</v>
      </c>
      <c r="U637">
        <f>WEEKDAY(PlanMasine[[#This Row],[ZAVRŠETAK MAŠINSKE]],2)</f>
        <v>2</v>
      </c>
      <c r="V637" s="3">
        <f>IF(WEEKDAY(PlanMasine[[#This Row],[Datum SAS]]-1,2)=7,PlanMasine[[#This Row],[Datum SAS]]-3,PlanMasine[[#This Row],[Datum SAS]]-1)</f>
        <v>45832</v>
      </c>
      <c r="W637">
        <f>WEEKNUM(PlanMasine[[#This Row],[Column2]],1)</f>
        <v>26</v>
      </c>
    </row>
    <row r="638" spans="1:23" x14ac:dyDescent="0.35">
      <c r="A638">
        <v>1020628</v>
      </c>
      <c r="B638">
        <v>1</v>
      </c>
      <c r="C638">
        <v>1020683</v>
      </c>
      <c r="D638" t="s">
        <v>2028</v>
      </c>
      <c r="E638">
        <v>50</v>
      </c>
      <c r="F638">
        <v>2</v>
      </c>
      <c r="G638">
        <v>0</v>
      </c>
      <c r="H638">
        <v>0</v>
      </c>
      <c r="I638" t="s">
        <v>24</v>
      </c>
      <c r="J638" t="s">
        <v>597</v>
      </c>
      <c r="K638" t="s">
        <v>2027</v>
      </c>
      <c r="L638" s="3">
        <v>45860</v>
      </c>
      <c r="M638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3.4722222222222224E-2</v>
      </c>
      <c r="N638" s="3">
        <v>45833</v>
      </c>
      <c r="O638" s="5">
        <f>IFERROR((PlanMasine[[#This Row],[Norma]]/PlanMasine[[#This Row],[Q]])*(PlanMasine[[#This Row],[Q]]/SUMIF(C:C,PlanMasine[[#This Row],[RN]],B:B)*PlanMasine[[#This Row],[KPLQ]]),0)</f>
        <v>50</v>
      </c>
      <c r="P638">
        <v>152935</v>
      </c>
      <c r="Q638">
        <f>COUNTIF(PROMJENA!A:A,PlanMasine[[#This Row],[KPL]]&amp;"-"&amp;PlanMasine[[#This Row],[RN]])</f>
        <v>0</v>
      </c>
      <c r="R638">
        <f>IFERROR(INDEX(REDOSLIJED!A:A,MATCH(PlanMasine[[#This Row],[KPL]],REDOSLIJED!B:B,0)),MAX(REDOSLIJED!A:A)+1)</f>
        <v>45</v>
      </c>
      <c r="S638" s="9">
        <f>SUM($M$2:M638)</f>
        <v>22.387569444444395</v>
      </c>
      <c r="T638" s="3">
        <f>PlanMasine[[#This Row],[Datum SAS]]-1</f>
        <v>45832</v>
      </c>
      <c r="U638">
        <f>WEEKDAY(PlanMasine[[#This Row],[ZAVRŠETAK MAŠINSKE]],2)</f>
        <v>2</v>
      </c>
      <c r="V638" s="3">
        <f>IF(WEEKDAY(PlanMasine[[#This Row],[Datum SAS]]-1,2)=7,PlanMasine[[#This Row],[Datum SAS]]-3,PlanMasine[[#This Row],[Datum SAS]]-1)</f>
        <v>45832</v>
      </c>
      <c r="W638">
        <f>WEEKNUM(PlanMasine[[#This Row],[Column2]],1)</f>
        <v>26</v>
      </c>
    </row>
    <row r="639" spans="1:23" x14ac:dyDescent="0.35">
      <c r="A639">
        <v>1026998</v>
      </c>
      <c r="B639">
        <v>1</v>
      </c>
      <c r="C639">
        <v>1026944</v>
      </c>
      <c r="D639" t="s">
        <v>2023</v>
      </c>
      <c r="E639">
        <v>30</v>
      </c>
      <c r="F639">
        <v>1</v>
      </c>
      <c r="G639">
        <v>0</v>
      </c>
      <c r="H639">
        <v>0</v>
      </c>
      <c r="I639" t="s">
        <v>24</v>
      </c>
      <c r="J639" t="s">
        <v>597</v>
      </c>
      <c r="K639" t="s">
        <v>2029</v>
      </c>
      <c r="L639" s="3">
        <v>45853</v>
      </c>
      <c r="M639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2.0833333333333332E-2</v>
      </c>
      <c r="N639" s="3">
        <v>45834</v>
      </c>
      <c r="O639" s="5">
        <f>IFERROR((PlanMasine[[#This Row],[Norma]]/PlanMasine[[#This Row],[Q]])*(PlanMasine[[#This Row],[Q]]/SUMIF(C:C,PlanMasine[[#This Row],[RN]],B:B)*PlanMasine[[#This Row],[KPLQ]]),0)</f>
        <v>30</v>
      </c>
      <c r="P639">
        <v>207112</v>
      </c>
      <c r="Q639">
        <f>COUNTIF(PROMJENA!A:A,PlanMasine[[#This Row],[KPL]]&amp;"-"&amp;PlanMasine[[#This Row],[RN]])</f>
        <v>0</v>
      </c>
      <c r="R639">
        <f>IFERROR(INDEX(REDOSLIJED!A:A,MATCH(PlanMasine[[#This Row],[KPL]],REDOSLIJED!B:B,0)),MAX(REDOSLIJED!A:A)+1)</f>
        <v>45</v>
      </c>
      <c r="S639" s="9">
        <f>SUM($M$2:M639)</f>
        <v>22.408402777777727</v>
      </c>
      <c r="T639" s="3">
        <f>PlanMasine[[#This Row],[Datum SAS]]-1</f>
        <v>45833</v>
      </c>
      <c r="U639">
        <f>WEEKDAY(PlanMasine[[#This Row],[ZAVRŠETAK MAŠINSKE]],2)</f>
        <v>3</v>
      </c>
      <c r="V639" s="3">
        <f>IF(WEEKDAY(PlanMasine[[#This Row],[Datum SAS]]-1,2)=7,PlanMasine[[#This Row],[Datum SAS]]-3,PlanMasine[[#This Row],[Datum SAS]]-1)</f>
        <v>45833</v>
      </c>
      <c r="W639">
        <f>WEEKNUM(PlanMasine[[#This Row],[Column2]],1)</f>
        <v>26</v>
      </c>
    </row>
    <row r="640" spans="1:23" x14ac:dyDescent="0.35">
      <c r="A640">
        <v>1026998</v>
      </c>
      <c r="B640">
        <v>1</v>
      </c>
      <c r="C640">
        <v>1026943</v>
      </c>
      <c r="D640" t="s">
        <v>2023</v>
      </c>
      <c r="E640">
        <v>30</v>
      </c>
      <c r="F640">
        <v>1</v>
      </c>
      <c r="G640">
        <v>0</v>
      </c>
      <c r="H640">
        <v>0</v>
      </c>
      <c r="I640" t="s">
        <v>24</v>
      </c>
      <c r="J640" t="s">
        <v>597</v>
      </c>
      <c r="K640" t="s">
        <v>2029</v>
      </c>
      <c r="L640" s="3">
        <v>45853</v>
      </c>
      <c r="M640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2.0833333333333332E-2</v>
      </c>
      <c r="N640" s="3">
        <v>45834</v>
      </c>
      <c r="O640" s="5">
        <f>IFERROR((PlanMasine[[#This Row],[Norma]]/PlanMasine[[#This Row],[Q]])*(PlanMasine[[#This Row],[Q]]/SUMIF(C:C,PlanMasine[[#This Row],[RN]],B:B)*PlanMasine[[#This Row],[KPLQ]]),0)</f>
        <v>30</v>
      </c>
      <c r="P640">
        <v>207112</v>
      </c>
      <c r="Q640">
        <f>COUNTIF(PROMJENA!A:A,PlanMasine[[#This Row],[KPL]]&amp;"-"&amp;PlanMasine[[#This Row],[RN]])</f>
        <v>0</v>
      </c>
      <c r="R640">
        <f>IFERROR(INDEX(REDOSLIJED!A:A,MATCH(PlanMasine[[#This Row],[KPL]],REDOSLIJED!B:B,0)),MAX(REDOSLIJED!A:A)+1)</f>
        <v>45</v>
      </c>
      <c r="S640" s="9">
        <f>SUM($M$2:M640)</f>
        <v>22.429236111111059</v>
      </c>
      <c r="T640" s="3">
        <f>PlanMasine[[#This Row],[Datum SAS]]-1</f>
        <v>45833</v>
      </c>
      <c r="U640">
        <f>WEEKDAY(PlanMasine[[#This Row],[ZAVRŠETAK MAŠINSKE]],2)</f>
        <v>3</v>
      </c>
      <c r="V640" s="3">
        <f>IF(WEEKDAY(PlanMasine[[#This Row],[Datum SAS]]-1,2)=7,PlanMasine[[#This Row],[Datum SAS]]-3,PlanMasine[[#This Row],[Datum SAS]]-1)</f>
        <v>45833</v>
      </c>
      <c r="W640">
        <f>WEEKNUM(PlanMasine[[#This Row],[Column2]],1)</f>
        <v>26</v>
      </c>
    </row>
    <row r="641" spans="1:23" x14ac:dyDescent="0.35">
      <c r="A641">
        <v>944483</v>
      </c>
      <c r="B641">
        <v>1</v>
      </c>
      <c r="C641">
        <v>944460</v>
      </c>
      <c r="D641" t="s">
        <v>1091</v>
      </c>
      <c r="E641">
        <v>8</v>
      </c>
      <c r="F641">
        <v>1</v>
      </c>
      <c r="G641">
        <v>0</v>
      </c>
      <c r="H641">
        <v>0</v>
      </c>
      <c r="I641" t="s">
        <v>24</v>
      </c>
      <c r="J641" t="s">
        <v>597</v>
      </c>
      <c r="K641" t="s">
        <v>1504</v>
      </c>
      <c r="L641" s="3">
        <v>45869</v>
      </c>
      <c r="M641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5.5555555555555558E-3</v>
      </c>
      <c r="N641" s="3">
        <v>45838</v>
      </c>
      <c r="O641" s="5">
        <f>IFERROR((PlanMasine[[#This Row],[Norma]]/PlanMasine[[#This Row],[Q]])*(PlanMasine[[#This Row],[Q]]/SUMIF(C:C,PlanMasine[[#This Row],[RN]],B:B)*PlanMasine[[#This Row],[KPLQ]]),0)</f>
        <v>8</v>
      </c>
      <c r="P641">
        <v>160433</v>
      </c>
      <c r="Q641">
        <f>COUNTIF(PROMJENA!A:A,PlanMasine[[#This Row],[KPL]]&amp;"-"&amp;PlanMasine[[#This Row],[RN]])</f>
        <v>0</v>
      </c>
      <c r="R641">
        <f>IFERROR(INDEX(REDOSLIJED!A:A,MATCH(PlanMasine[[#This Row],[KPL]],REDOSLIJED!B:B,0)),MAX(REDOSLIJED!A:A)+1)</f>
        <v>45</v>
      </c>
      <c r="S641" s="9">
        <f>SUM($M$2:M641)</f>
        <v>22.434791666666616</v>
      </c>
      <c r="T641" s="3">
        <f>PlanMasine[[#This Row],[Datum SAS]]-1</f>
        <v>45837</v>
      </c>
      <c r="U641">
        <f>WEEKDAY(PlanMasine[[#This Row],[ZAVRŠETAK MAŠINSKE]],2)</f>
        <v>7</v>
      </c>
      <c r="V641" s="3">
        <f>IF(WEEKDAY(PlanMasine[[#This Row],[Datum SAS]]-1,2)=7,PlanMasine[[#This Row],[Datum SAS]]-3,PlanMasine[[#This Row],[Datum SAS]]-1)</f>
        <v>45835</v>
      </c>
      <c r="W641">
        <f>WEEKNUM(PlanMasine[[#This Row],[Column2]],1)</f>
        <v>26</v>
      </c>
    </row>
    <row r="642" spans="1:23" x14ac:dyDescent="0.35">
      <c r="A642">
        <v>999155</v>
      </c>
      <c r="B642">
        <v>1</v>
      </c>
      <c r="C642">
        <v>999186</v>
      </c>
      <c r="D642" t="s">
        <v>1496</v>
      </c>
      <c r="E642">
        <v>300</v>
      </c>
      <c r="F642">
        <v>12</v>
      </c>
      <c r="G642">
        <v>0</v>
      </c>
      <c r="H642">
        <v>0</v>
      </c>
      <c r="I642" t="s">
        <v>24</v>
      </c>
      <c r="J642" t="s">
        <v>597</v>
      </c>
      <c r="K642" t="s">
        <v>1804</v>
      </c>
      <c r="L642" s="3">
        <v>45870</v>
      </c>
      <c r="M642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1.7361111111111112E-2</v>
      </c>
      <c r="N642" s="3">
        <v>45838</v>
      </c>
      <c r="O642" s="5">
        <f>IFERROR((PlanMasine[[#This Row],[Norma]]/PlanMasine[[#This Row],[Q]])*(PlanMasine[[#This Row],[Q]]/SUMIF(C:C,PlanMasine[[#This Row],[RN]],B:B)*PlanMasine[[#This Row],[KPLQ]]),0)</f>
        <v>25</v>
      </c>
      <c r="P642">
        <v>220645</v>
      </c>
      <c r="Q642">
        <f>COUNTIF(PROMJENA!A:A,PlanMasine[[#This Row],[KPL]]&amp;"-"&amp;PlanMasine[[#This Row],[RN]])</f>
        <v>0</v>
      </c>
      <c r="R642">
        <f>IFERROR(INDEX(REDOSLIJED!A:A,MATCH(PlanMasine[[#This Row],[KPL]],REDOSLIJED!B:B,0)),MAX(REDOSLIJED!A:A)+1)</f>
        <v>45</v>
      </c>
      <c r="S642" s="9">
        <f>SUM($M$2:M642)</f>
        <v>22.452152777777727</v>
      </c>
      <c r="T642" s="3">
        <f>PlanMasine[[#This Row],[Datum SAS]]-1</f>
        <v>45837</v>
      </c>
      <c r="U642">
        <f>WEEKDAY(PlanMasine[[#This Row],[ZAVRŠETAK MAŠINSKE]],2)</f>
        <v>7</v>
      </c>
      <c r="V642" s="3">
        <f>IF(WEEKDAY(PlanMasine[[#This Row],[Datum SAS]]-1,2)=7,PlanMasine[[#This Row],[Datum SAS]]-3,PlanMasine[[#This Row],[Datum SAS]]-1)</f>
        <v>45835</v>
      </c>
      <c r="W642">
        <f>WEEKNUM(PlanMasine[[#This Row],[Column2]],1)</f>
        <v>26</v>
      </c>
    </row>
    <row r="643" spans="1:23" x14ac:dyDescent="0.35">
      <c r="A643">
        <v>999155</v>
      </c>
      <c r="B643">
        <v>1</v>
      </c>
      <c r="C643">
        <v>999184</v>
      </c>
      <c r="D643" t="s">
        <v>1495</v>
      </c>
      <c r="E643">
        <v>360</v>
      </c>
      <c r="F643">
        <v>12</v>
      </c>
      <c r="G643">
        <v>0</v>
      </c>
      <c r="H643">
        <v>0</v>
      </c>
      <c r="I643" t="s">
        <v>24</v>
      </c>
      <c r="J643" t="s">
        <v>597</v>
      </c>
      <c r="K643" t="s">
        <v>1804</v>
      </c>
      <c r="L643" s="3">
        <v>45870</v>
      </c>
      <c r="M643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2.0833333333333332E-2</v>
      </c>
      <c r="N643" s="3">
        <v>45838</v>
      </c>
      <c r="O643" s="5">
        <f>IFERROR((PlanMasine[[#This Row],[Norma]]/PlanMasine[[#This Row],[Q]])*(PlanMasine[[#This Row],[Q]]/SUMIF(C:C,PlanMasine[[#This Row],[RN]],B:B)*PlanMasine[[#This Row],[KPLQ]]),0)</f>
        <v>30</v>
      </c>
      <c r="P643">
        <v>220643</v>
      </c>
      <c r="Q643">
        <f>COUNTIF(PROMJENA!A:A,PlanMasine[[#This Row],[KPL]]&amp;"-"&amp;PlanMasine[[#This Row],[RN]])</f>
        <v>0</v>
      </c>
      <c r="R643">
        <f>IFERROR(INDEX(REDOSLIJED!A:A,MATCH(PlanMasine[[#This Row],[KPL]],REDOSLIJED!B:B,0)),MAX(REDOSLIJED!A:A)+1)</f>
        <v>45</v>
      </c>
      <c r="S643" s="9">
        <f>SUM($M$2:M643)</f>
        <v>22.472986111111059</v>
      </c>
      <c r="T643" s="3">
        <f>PlanMasine[[#This Row],[Datum SAS]]-1</f>
        <v>45837</v>
      </c>
      <c r="U643">
        <f>WEEKDAY(PlanMasine[[#This Row],[ZAVRŠETAK MAŠINSKE]],2)</f>
        <v>7</v>
      </c>
      <c r="V643" s="3">
        <f>IF(WEEKDAY(PlanMasine[[#This Row],[Datum SAS]]-1,2)=7,PlanMasine[[#This Row],[Datum SAS]]-3,PlanMasine[[#This Row],[Datum SAS]]-1)</f>
        <v>45835</v>
      </c>
      <c r="W643">
        <f>WEEKNUM(PlanMasine[[#This Row],[Column2]],1)</f>
        <v>26</v>
      </c>
    </row>
    <row r="644" spans="1:23" x14ac:dyDescent="0.35">
      <c r="A644">
        <v>999155</v>
      </c>
      <c r="B644">
        <v>1</v>
      </c>
      <c r="C644">
        <v>999183</v>
      </c>
      <c r="D644" t="s">
        <v>1802</v>
      </c>
      <c r="E644">
        <v>240</v>
      </c>
      <c r="F644">
        <v>12</v>
      </c>
      <c r="G644">
        <v>0</v>
      </c>
      <c r="H644">
        <v>0</v>
      </c>
      <c r="I644" t="s">
        <v>24</v>
      </c>
      <c r="J644" t="s">
        <v>597</v>
      </c>
      <c r="K644" t="s">
        <v>1804</v>
      </c>
      <c r="L644" s="3">
        <v>45870</v>
      </c>
      <c r="M644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1.3888888888888888E-2</v>
      </c>
      <c r="N644" s="3">
        <v>45838</v>
      </c>
      <c r="O644" s="5">
        <f>IFERROR((PlanMasine[[#This Row],[Norma]]/PlanMasine[[#This Row],[Q]])*(PlanMasine[[#This Row],[Q]]/SUMIF(C:C,PlanMasine[[#This Row],[RN]],B:B)*PlanMasine[[#This Row],[KPLQ]]),0)</f>
        <v>20</v>
      </c>
      <c r="P644">
        <v>220642</v>
      </c>
      <c r="Q644">
        <f>COUNTIF(PROMJENA!A:A,PlanMasine[[#This Row],[KPL]]&amp;"-"&amp;PlanMasine[[#This Row],[RN]])</f>
        <v>0</v>
      </c>
      <c r="R644">
        <f>IFERROR(INDEX(REDOSLIJED!A:A,MATCH(PlanMasine[[#This Row],[KPL]],REDOSLIJED!B:B,0)),MAX(REDOSLIJED!A:A)+1)</f>
        <v>45</v>
      </c>
      <c r="S644" s="9">
        <f>SUM($M$2:M644)</f>
        <v>22.486874999999948</v>
      </c>
      <c r="T644" s="3">
        <f>PlanMasine[[#This Row],[Datum SAS]]-1</f>
        <v>45837</v>
      </c>
      <c r="U644">
        <f>WEEKDAY(PlanMasine[[#This Row],[ZAVRŠETAK MAŠINSKE]],2)</f>
        <v>7</v>
      </c>
      <c r="V644" s="3">
        <f>IF(WEEKDAY(PlanMasine[[#This Row],[Datum SAS]]-1,2)=7,PlanMasine[[#This Row],[Datum SAS]]-3,PlanMasine[[#This Row],[Datum SAS]]-1)</f>
        <v>45835</v>
      </c>
      <c r="W644">
        <f>WEEKNUM(PlanMasine[[#This Row],[Column2]],1)</f>
        <v>26</v>
      </c>
    </row>
    <row r="645" spans="1:23" x14ac:dyDescent="0.35">
      <c r="A645">
        <v>999156</v>
      </c>
      <c r="B645">
        <v>1</v>
      </c>
      <c r="C645">
        <v>999183</v>
      </c>
      <c r="D645" t="s">
        <v>1802</v>
      </c>
      <c r="E645">
        <v>240</v>
      </c>
      <c r="F645">
        <v>12</v>
      </c>
      <c r="G645">
        <v>0</v>
      </c>
      <c r="H645">
        <v>0</v>
      </c>
      <c r="I645" t="s">
        <v>24</v>
      </c>
      <c r="J645" t="s">
        <v>597</v>
      </c>
      <c r="K645" t="s">
        <v>1804</v>
      </c>
      <c r="L645" s="3">
        <v>45870</v>
      </c>
      <c r="M645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1.3888888888888888E-2</v>
      </c>
      <c r="N645" s="3">
        <v>45838</v>
      </c>
      <c r="O645" s="5">
        <f>IFERROR((PlanMasine[[#This Row],[Norma]]/PlanMasine[[#This Row],[Q]])*(PlanMasine[[#This Row],[Q]]/SUMIF(C:C,PlanMasine[[#This Row],[RN]],B:B)*PlanMasine[[#This Row],[KPLQ]]),0)</f>
        <v>20</v>
      </c>
      <c r="P645">
        <v>220642</v>
      </c>
      <c r="Q645">
        <f>COUNTIF(PROMJENA!A:A,PlanMasine[[#This Row],[KPL]]&amp;"-"&amp;PlanMasine[[#This Row],[RN]])</f>
        <v>0</v>
      </c>
      <c r="R645">
        <f>IFERROR(INDEX(REDOSLIJED!A:A,MATCH(PlanMasine[[#This Row],[KPL]],REDOSLIJED!B:B,0)),MAX(REDOSLIJED!A:A)+1)</f>
        <v>45</v>
      </c>
      <c r="S645" s="9">
        <f>SUM($M$2:M645)</f>
        <v>22.500763888888837</v>
      </c>
      <c r="T645" s="3">
        <f>PlanMasine[[#This Row],[Datum SAS]]-1</f>
        <v>45837</v>
      </c>
      <c r="U645">
        <f>WEEKDAY(PlanMasine[[#This Row],[ZAVRŠETAK MAŠINSKE]],2)</f>
        <v>7</v>
      </c>
      <c r="V645" s="3">
        <f>IF(WEEKDAY(PlanMasine[[#This Row],[Datum SAS]]-1,2)=7,PlanMasine[[#This Row],[Datum SAS]]-3,PlanMasine[[#This Row],[Datum SAS]]-1)</f>
        <v>45835</v>
      </c>
      <c r="W645">
        <f>WEEKNUM(PlanMasine[[#This Row],[Column2]],1)</f>
        <v>26</v>
      </c>
    </row>
    <row r="646" spans="1:23" x14ac:dyDescent="0.35">
      <c r="A646">
        <v>999156</v>
      </c>
      <c r="B646">
        <v>1</v>
      </c>
      <c r="C646">
        <v>999184</v>
      </c>
      <c r="D646" t="s">
        <v>1495</v>
      </c>
      <c r="E646">
        <v>360</v>
      </c>
      <c r="F646">
        <v>12</v>
      </c>
      <c r="G646">
        <v>0</v>
      </c>
      <c r="H646">
        <v>0</v>
      </c>
      <c r="I646" t="s">
        <v>24</v>
      </c>
      <c r="J646" t="s">
        <v>597</v>
      </c>
      <c r="K646" t="s">
        <v>1804</v>
      </c>
      <c r="L646" s="3">
        <v>45870</v>
      </c>
      <c r="M646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2.0833333333333332E-2</v>
      </c>
      <c r="N646" s="3">
        <v>45838</v>
      </c>
      <c r="O646" s="5">
        <f>IFERROR((PlanMasine[[#This Row],[Norma]]/PlanMasine[[#This Row],[Q]])*(PlanMasine[[#This Row],[Q]]/SUMIF(C:C,PlanMasine[[#This Row],[RN]],B:B)*PlanMasine[[#This Row],[KPLQ]]),0)</f>
        <v>30</v>
      </c>
      <c r="P646">
        <v>220643</v>
      </c>
      <c r="Q646">
        <f>COUNTIF(PROMJENA!A:A,PlanMasine[[#This Row],[KPL]]&amp;"-"&amp;PlanMasine[[#This Row],[RN]])</f>
        <v>0</v>
      </c>
      <c r="R646">
        <f>IFERROR(INDEX(REDOSLIJED!A:A,MATCH(PlanMasine[[#This Row],[KPL]],REDOSLIJED!B:B,0)),MAX(REDOSLIJED!A:A)+1)</f>
        <v>45</v>
      </c>
      <c r="S646" s="9">
        <f>SUM($M$2:M646)</f>
        <v>22.521597222222169</v>
      </c>
      <c r="T646" s="3">
        <f>PlanMasine[[#This Row],[Datum SAS]]-1</f>
        <v>45837</v>
      </c>
      <c r="U646">
        <f>WEEKDAY(PlanMasine[[#This Row],[ZAVRŠETAK MAŠINSKE]],2)</f>
        <v>7</v>
      </c>
      <c r="V646" s="3">
        <f>IF(WEEKDAY(PlanMasine[[#This Row],[Datum SAS]]-1,2)=7,PlanMasine[[#This Row],[Datum SAS]]-3,PlanMasine[[#This Row],[Datum SAS]]-1)</f>
        <v>45835</v>
      </c>
      <c r="W646">
        <f>WEEKNUM(PlanMasine[[#This Row],[Column2]],1)</f>
        <v>26</v>
      </c>
    </row>
    <row r="647" spans="1:23" x14ac:dyDescent="0.35">
      <c r="A647">
        <v>999156</v>
      </c>
      <c r="B647">
        <v>1</v>
      </c>
      <c r="C647">
        <v>999186</v>
      </c>
      <c r="D647" t="s">
        <v>1496</v>
      </c>
      <c r="E647">
        <v>300</v>
      </c>
      <c r="F647">
        <v>12</v>
      </c>
      <c r="G647">
        <v>0</v>
      </c>
      <c r="H647">
        <v>0</v>
      </c>
      <c r="I647" t="s">
        <v>24</v>
      </c>
      <c r="J647" t="s">
        <v>597</v>
      </c>
      <c r="K647" t="s">
        <v>1804</v>
      </c>
      <c r="L647" s="3">
        <v>45870</v>
      </c>
      <c r="M647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1.7361111111111112E-2</v>
      </c>
      <c r="N647" s="3">
        <v>45838</v>
      </c>
      <c r="O647" s="5">
        <f>IFERROR((PlanMasine[[#This Row],[Norma]]/PlanMasine[[#This Row],[Q]])*(PlanMasine[[#This Row],[Q]]/SUMIF(C:C,PlanMasine[[#This Row],[RN]],B:B)*PlanMasine[[#This Row],[KPLQ]]),0)</f>
        <v>25</v>
      </c>
      <c r="P647">
        <v>220645</v>
      </c>
      <c r="Q647">
        <f>COUNTIF(PROMJENA!A:A,PlanMasine[[#This Row],[KPL]]&amp;"-"&amp;PlanMasine[[#This Row],[RN]])</f>
        <v>0</v>
      </c>
      <c r="R647">
        <f>IFERROR(INDEX(REDOSLIJED!A:A,MATCH(PlanMasine[[#This Row],[KPL]],REDOSLIJED!B:B,0)),MAX(REDOSLIJED!A:A)+1)</f>
        <v>45</v>
      </c>
      <c r="S647" s="9">
        <f>SUM($M$2:M647)</f>
        <v>22.53895833333328</v>
      </c>
      <c r="T647" s="3">
        <f>PlanMasine[[#This Row],[Datum SAS]]-1</f>
        <v>45837</v>
      </c>
      <c r="U647">
        <f>WEEKDAY(PlanMasine[[#This Row],[ZAVRŠETAK MAŠINSKE]],2)</f>
        <v>7</v>
      </c>
      <c r="V647" s="3">
        <f>IF(WEEKDAY(PlanMasine[[#This Row],[Datum SAS]]-1,2)=7,PlanMasine[[#This Row],[Datum SAS]]-3,PlanMasine[[#This Row],[Datum SAS]]-1)</f>
        <v>45835</v>
      </c>
      <c r="W647">
        <f>WEEKNUM(PlanMasine[[#This Row],[Column2]],1)</f>
        <v>26</v>
      </c>
    </row>
    <row r="648" spans="1:23" x14ac:dyDescent="0.35">
      <c r="A648">
        <v>999157</v>
      </c>
      <c r="B648">
        <v>1</v>
      </c>
      <c r="C648">
        <v>999183</v>
      </c>
      <c r="D648" t="s">
        <v>1802</v>
      </c>
      <c r="E648">
        <v>240</v>
      </c>
      <c r="F648">
        <v>12</v>
      </c>
      <c r="G648">
        <v>0</v>
      </c>
      <c r="H648">
        <v>0</v>
      </c>
      <c r="I648" t="s">
        <v>24</v>
      </c>
      <c r="J648" t="s">
        <v>597</v>
      </c>
      <c r="K648" t="s">
        <v>1804</v>
      </c>
      <c r="L648" s="3">
        <v>45870</v>
      </c>
      <c r="M648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1.3888888888888888E-2</v>
      </c>
      <c r="N648" s="3">
        <v>45838</v>
      </c>
      <c r="O648" s="5">
        <f>IFERROR((PlanMasine[[#This Row],[Norma]]/PlanMasine[[#This Row],[Q]])*(PlanMasine[[#This Row],[Q]]/SUMIF(C:C,PlanMasine[[#This Row],[RN]],B:B)*PlanMasine[[#This Row],[KPLQ]]),0)</f>
        <v>20</v>
      </c>
      <c r="P648">
        <v>220642</v>
      </c>
      <c r="Q648">
        <f>COUNTIF(PROMJENA!A:A,PlanMasine[[#This Row],[KPL]]&amp;"-"&amp;PlanMasine[[#This Row],[RN]])</f>
        <v>0</v>
      </c>
      <c r="R648">
        <f>IFERROR(INDEX(REDOSLIJED!A:A,MATCH(PlanMasine[[#This Row],[KPL]],REDOSLIJED!B:B,0)),MAX(REDOSLIJED!A:A)+1)</f>
        <v>45</v>
      </c>
      <c r="S648" s="9">
        <f>SUM($M$2:M648)</f>
        <v>22.552847222222169</v>
      </c>
      <c r="T648" s="3">
        <f>PlanMasine[[#This Row],[Datum SAS]]-1</f>
        <v>45837</v>
      </c>
      <c r="U648">
        <f>WEEKDAY(PlanMasine[[#This Row],[ZAVRŠETAK MAŠINSKE]],2)</f>
        <v>7</v>
      </c>
      <c r="V648" s="3">
        <f>IF(WEEKDAY(PlanMasine[[#This Row],[Datum SAS]]-1,2)=7,PlanMasine[[#This Row],[Datum SAS]]-3,PlanMasine[[#This Row],[Datum SAS]]-1)</f>
        <v>45835</v>
      </c>
      <c r="W648">
        <f>WEEKNUM(PlanMasine[[#This Row],[Column2]],1)</f>
        <v>26</v>
      </c>
    </row>
    <row r="649" spans="1:23" x14ac:dyDescent="0.35">
      <c r="A649">
        <v>999157</v>
      </c>
      <c r="B649">
        <v>1</v>
      </c>
      <c r="C649">
        <v>999184</v>
      </c>
      <c r="D649" t="s">
        <v>1495</v>
      </c>
      <c r="E649">
        <v>360</v>
      </c>
      <c r="F649">
        <v>12</v>
      </c>
      <c r="G649">
        <v>0</v>
      </c>
      <c r="H649">
        <v>0</v>
      </c>
      <c r="I649" t="s">
        <v>24</v>
      </c>
      <c r="J649" t="s">
        <v>597</v>
      </c>
      <c r="K649" t="s">
        <v>1804</v>
      </c>
      <c r="L649" s="3">
        <v>45870</v>
      </c>
      <c r="M649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2.0833333333333332E-2</v>
      </c>
      <c r="N649" s="3">
        <v>45838</v>
      </c>
      <c r="O649" s="5">
        <f>IFERROR((PlanMasine[[#This Row],[Norma]]/PlanMasine[[#This Row],[Q]])*(PlanMasine[[#This Row],[Q]]/SUMIF(C:C,PlanMasine[[#This Row],[RN]],B:B)*PlanMasine[[#This Row],[KPLQ]]),0)</f>
        <v>30</v>
      </c>
      <c r="P649">
        <v>220643</v>
      </c>
      <c r="Q649">
        <f>COUNTIF(PROMJENA!A:A,PlanMasine[[#This Row],[KPL]]&amp;"-"&amp;PlanMasine[[#This Row],[RN]])</f>
        <v>0</v>
      </c>
      <c r="R649">
        <f>IFERROR(INDEX(REDOSLIJED!A:A,MATCH(PlanMasine[[#This Row],[KPL]],REDOSLIJED!B:B,0)),MAX(REDOSLIJED!A:A)+1)</f>
        <v>45</v>
      </c>
      <c r="S649" s="9">
        <f>SUM($M$2:M649)</f>
        <v>22.573680555555502</v>
      </c>
      <c r="T649" s="3">
        <f>PlanMasine[[#This Row],[Datum SAS]]-1</f>
        <v>45837</v>
      </c>
      <c r="U649">
        <f>WEEKDAY(PlanMasine[[#This Row],[ZAVRŠETAK MAŠINSKE]],2)</f>
        <v>7</v>
      </c>
      <c r="V649" s="3">
        <f>IF(WEEKDAY(PlanMasine[[#This Row],[Datum SAS]]-1,2)=7,PlanMasine[[#This Row],[Datum SAS]]-3,PlanMasine[[#This Row],[Datum SAS]]-1)</f>
        <v>45835</v>
      </c>
      <c r="W649">
        <f>WEEKNUM(PlanMasine[[#This Row],[Column2]],1)</f>
        <v>26</v>
      </c>
    </row>
    <row r="650" spans="1:23" x14ac:dyDescent="0.35">
      <c r="A650">
        <v>999157</v>
      </c>
      <c r="B650">
        <v>1</v>
      </c>
      <c r="C650">
        <v>999186</v>
      </c>
      <c r="D650" t="s">
        <v>1496</v>
      </c>
      <c r="E650">
        <v>300</v>
      </c>
      <c r="F650">
        <v>12</v>
      </c>
      <c r="G650">
        <v>0</v>
      </c>
      <c r="H650">
        <v>0</v>
      </c>
      <c r="I650" t="s">
        <v>24</v>
      </c>
      <c r="J650" t="s">
        <v>597</v>
      </c>
      <c r="K650" t="s">
        <v>1804</v>
      </c>
      <c r="L650" s="3">
        <v>45870</v>
      </c>
      <c r="M650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1.7361111111111112E-2</v>
      </c>
      <c r="N650" s="3">
        <v>45838</v>
      </c>
      <c r="O650" s="5">
        <f>IFERROR((PlanMasine[[#This Row],[Norma]]/PlanMasine[[#This Row],[Q]])*(PlanMasine[[#This Row],[Q]]/SUMIF(C:C,PlanMasine[[#This Row],[RN]],B:B)*PlanMasine[[#This Row],[KPLQ]]),0)</f>
        <v>25</v>
      </c>
      <c r="P650">
        <v>220645</v>
      </c>
      <c r="Q650">
        <f>COUNTIF(PROMJENA!A:A,PlanMasine[[#This Row],[KPL]]&amp;"-"&amp;PlanMasine[[#This Row],[RN]])</f>
        <v>0</v>
      </c>
      <c r="R650">
        <f>IFERROR(INDEX(REDOSLIJED!A:A,MATCH(PlanMasine[[#This Row],[KPL]],REDOSLIJED!B:B,0)),MAX(REDOSLIJED!A:A)+1)</f>
        <v>45</v>
      </c>
      <c r="S650" s="9">
        <f>SUM($M$2:M650)</f>
        <v>22.591041666666612</v>
      </c>
      <c r="T650" s="3">
        <f>PlanMasine[[#This Row],[Datum SAS]]-1</f>
        <v>45837</v>
      </c>
      <c r="U650">
        <f>WEEKDAY(PlanMasine[[#This Row],[ZAVRŠETAK MAŠINSKE]],2)</f>
        <v>7</v>
      </c>
      <c r="V650" s="3">
        <f>IF(WEEKDAY(PlanMasine[[#This Row],[Datum SAS]]-1,2)=7,PlanMasine[[#This Row],[Datum SAS]]-3,PlanMasine[[#This Row],[Datum SAS]]-1)</f>
        <v>45835</v>
      </c>
      <c r="W650">
        <f>WEEKNUM(PlanMasine[[#This Row],[Column2]],1)</f>
        <v>26</v>
      </c>
    </row>
    <row r="651" spans="1:23" x14ac:dyDescent="0.35">
      <c r="A651">
        <v>999158</v>
      </c>
      <c r="B651">
        <v>1</v>
      </c>
      <c r="C651">
        <v>999186</v>
      </c>
      <c r="D651" t="s">
        <v>1496</v>
      </c>
      <c r="E651">
        <v>300</v>
      </c>
      <c r="F651">
        <v>12</v>
      </c>
      <c r="G651">
        <v>0</v>
      </c>
      <c r="H651">
        <v>0</v>
      </c>
      <c r="I651" t="s">
        <v>24</v>
      </c>
      <c r="J651" t="s">
        <v>597</v>
      </c>
      <c r="K651" t="s">
        <v>1804</v>
      </c>
      <c r="L651" s="3">
        <v>45870</v>
      </c>
      <c r="M651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1.7361111111111112E-2</v>
      </c>
      <c r="N651" s="3">
        <v>45838</v>
      </c>
      <c r="O651" s="5">
        <f>IFERROR((PlanMasine[[#This Row],[Norma]]/PlanMasine[[#This Row],[Q]])*(PlanMasine[[#This Row],[Q]]/SUMIF(C:C,PlanMasine[[#This Row],[RN]],B:B)*PlanMasine[[#This Row],[KPLQ]]),0)</f>
        <v>25</v>
      </c>
      <c r="P651">
        <v>220645</v>
      </c>
      <c r="Q651">
        <f>COUNTIF(PROMJENA!A:A,PlanMasine[[#This Row],[KPL]]&amp;"-"&amp;PlanMasine[[#This Row],[RN]])</f>
        <v>0</v>
      </c>
      <c r="R651">
        <f>IFERROR(INDEX(REDOSLIJED!A:A,MATCH(PlanMasine[[#This Row],[KPL]],REDOSLIJED!B:B,0)),MAX(REDOSLIJED!A:A)+1)</f>
        <v>45</v>
      </c>
      <c r="S651" s="9">
        <f>SUM($M$2:M651)</f>
        <v>22.608402777777723</v>
      </c>
      <c r="T651" s="3">
        <f>PlanMasine[[#This Row],[Datum SAS]]-1</f>
        <v>45837</v>
      </c>
      <c r="U651">
        <f>WEEKDAY(PlanMasine[[#This Row],[ZAVRŠETAK MAŠINSKE]],2)</f>
        <v>7</v>
      </c>
      <c r="V651" s="3">
        <f>IF(WEEKDAY(PlanMasine[[#This Row],[Datum SAS]]-1,2)=7,PlanMasine[[#This Row],[Datum SAS]]-3,PlanMasine[[#This Row],[Datum SAS]]-1)</f>
        <v>45835</v>
      </c>
      <c r="W651">
        <f>WEEKNUM(PlanMasine[[#This Row],[Column2]],1)</f>
        <v>26</v>
      </c>
    </row>
    <row r="652" spans="1:23" x14ac:dyDescent="0.35">
      <c r="A652">
        <v>999158</v>
      </c>
      <c r="B652">
        <v>1</v>
      </c>
      <c r="C652">
        <v>999183</v>
      </c>
      <c r="D652" t="s">
        <v>1802</v>
      </c>
      <c r="E652">
        <v>240</v>
      </c>
      <c r="F652">
        <v>12</v>
      </c>
      <c r="G652">
        <v>0</v>
      </c>
      <c r="H652">
        <v>0</v>
      </c>
      <c r="I652" t="s">
        <v>24</v>
      </c>
      <c r="J652" t="s">
        <v>597</v>
      </c>
      <c r="K652" t="s">
        <v>1804</v>
      </c>
      <c r="L652" s="3">
        <v>45870</v>
      </c>
      <c r="M652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1.3888888888888888E-2</v>
      </c>
      <c r="N652" s="3">
        <v>45838</v>
      </c>
      <c r="O652" s="5">
        <f>IFERROR((PlanMasine[[#This Row],[Norma]]/PlanMasine[[#This Row],[Q]])*(PlanMasine[[#This Row],[Q]]/SUMIF(C:C,PlanMasine[[#This Row],[RN]],B:B)*PlanMasine[[#This Row],[KPLQ]]),0)</f>
        <v>20</v>
      </c>
      <c r="P652">
        <v>220642</v>
      </c>
      <c r="Q652">
        <f>COUNTIF(PROMJENA!A:A,PlanMasine[[#This Row],[KPL]]&amp;"-"&amp;PlanMasine[[#This Row],[RN]])</f>
        <v>0</v>
      </c>
      <c r="R652">
        <f>IFERROR(INDEX(REDOSLIJED!A:A,MATCH(PlanMasine[[#This Row],[KPL]],REDOSLIJED!B:B,0)),MAX(REDOSLIJED!A:A)+1)</f>
        <v>45</v>
      </c>
      <c r="S652" s="9">
        <f>SUM($M$2:M652)</f>
        <v>22.622291666666612</v>
      </c>
      <c r="T652" s="3">
        <f>PlanMasine[[#This Row],[Datum SAS]]-1</f>
        <v>45837</v>
      </c>
      <c r="U652">
        <f>WEEKDAY(PlanMasine[[#This Row],[ZAVRŠETAK MAŠINSKE]],2)</f>
        <v>7</v>
      </c>
      <c r="V652" s="3">
        <f>IF(WEEKDAY(PlanMasine[[#This Row],[Datum SAS]]-1,2)=7,PlanMasine[[#This Row],[Datum SAS]]-3,PlanMasine[[#This Row],[Datum SAS]]-1)</f>
        <v>45835</v>
      </c>
      <c r="W652">
        <f>WEEKNUM(PlanMasine[[#This Row],[Column2]],1)</f>
        <v>26</v>
      </c>
    </row>
    <row r="653" spans="1:23" x14ac:dyDescent="0.35">
      <c r="A653">
        <v>999158</v>
      </c>
      <c r="B653">
        <v>1</v>
      </c>
      <c r="C653">
        <v>999184</v>
      </c>
      <c r="D653" t="s">
        <v>1495</v>
      </c>
      <c r="E653">
        <v>360</v>
      </c>
      <c r="F653">
        <v>12</v>
      </c>
      <c r="G653">
        <v>0</v>
      </c>
      <c r="H653">
        <v>0</v>
      </c>
      <c r="I653" t="s">
        <v>24</v>
      </c>
      <c r="J653" t="s">
        <v>597</v>
      </c>
      <c r="K653" t="s">
        <v>1804</v>
      </c>
      <c r="L653" s="3">
        <v>45870</v>
      </c>
      <c r="M653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2.0833333333333332E-2</v>
      </c>
      <c r="N653" s="3">
        <v>45838</v>
      </c>
      <c r="O653" s="5">
        <f>IFERROR((PlanMasine[[#This Row],[Norma]]/PlanMasine[[#This Row],[Q]])*(PlanMasine[[#This Row],[Q]]/SUMIF(C:C,PlanMasine[[#This Row],[RN]],B:B)*PlanMasine[[#This Row],[KPLQ]]),0)</f>
        <v>30</v>
      </c>
      <c r="P653">
        <v>220643</v>
      </c>
      <c r="Q653">
        <f>COUNTIF(PROMJENA!A:A,PlanMasine[[#This Row],[KPL]]&amp;"-"&amp;PlanMasine[[#This Row],[RN]])</f>
        <v>0</v>
      </c>
      <c r="R653">
        <f>IFERROR(INDEX(REDOSLIJED!A:A,MATCH(PlanMasine[[#This Row],[KPL]],REDOSLIJED!B:B,0)),MAX(REDOSLIJED!A:A)+1)</f>
        <v>45</v>
      </c>
      <c r="S653" s="9">
        <f>SUM($M$2:M653)</f>
        <v>22.643124999999944</v>
      </c>
      <c r="T653" s="3">
        <f>PlanMasine[[#This Row],[Datum SAS]]-1</f>
        <v>45837</v>
      </c>
      <c r="U653">
        <f>WEEKDAY(PlanMasine[[#This Row],[ZAVRŠETAK MAŠINSKE]],2)</f>
        <v>7</v>
      </c>
      <c r="V653" s="3">
        <f>IF(WEEKDAY(PlanMasine[[#This Row],[Datum SAS]]-1,2)=7,PlanMasine[[#This Row],[Datum SAS]]-3,PlanMasine[[#This Row],[Datum SAS]]-1)</f>
        <v>45835</v>
      </c>
      <c r="W653">
        <f>WEEKNUM(PlanMasine[[#This Row],[Column2]],1)</f>
        <v>26</v>
      </c>
    </row>
    <row r="654" spans="1:23" x14ac:dyDescent="0.35">
      <c r="A654">
        <v>999159</v>
      </c>
      <c r="B654">
        <v>1</v>
      </c>
      <c r="C654">
        <v>999184</v>
      </c>
      <c r="D654" t="s">
        <v>1495</v>
      </c>
      <c r="E654">
        <v>360</v>
      </c>
      <c r="F654">
        <v>12</v>
      </c>
      <c r="G654">
        <v>0</v>
      </c>
      <c r="H654">
        <v>0</v>
      </c>
      <c r="I654" t="s">
        <v>24</v>
      </c>
      <c r="J654" t="s">
        <v>597</v>
      </c>
      <c r="K654" t="s">
        <v>1804</v>
      </c>
      <c r="L654" s="3">
        <v>45870</v>
      </c>
      <c r="M654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2.0833333333333332E-2</v>
      </c>
      <c r="N654" s="3">
        <v>45838</v>
      </c>
      <c r="O654" s="5">
        <f>IFERROR((PlanMasine[[#This Row],[Norma]]/PlanMasine[[#This Row],[Q]])*(PlanMasine[[#This Row],[Q]]/SUMIF(C:C,PlanMasine[[#This Row],[RN]],B:B)*PlanMasine[[#This Row],[KPLQ]]),0)</f>
        <v>30</v>
      </c>
      <c r="P654">
        <v>220643</v>
      </c>
      <c r="Q654">
        <f>COUNTIF(PROMJENA!A:A,PlanMasine[[#This Row],[KPL]]&amp;"-"&amp;PlanMasine[[#This Row],[RN]])</f>
        <v>0</v>
      </c>
      <c r="R654">
        <f>IFERROR(INDEX(REDOSLIJED!A:A,MATCH(PlanMasine[[#This Row],[KPL]],REDOSLIJED!B:B,0)),MAX(REDOSLIJED!A:A)+1)</f>
        <v>45</v>
      </c>
      <c r="S654" s="9">
        <f>SUM($M$2:M654)</f>
        <v>22.663958333333277</v>
      </c>
      <c r="T654" s="3">
        <f>PlanMasine[[#This Row],[Datum SAS]]-1</f>
        <v>45837</v>
      </c>
      <c r="U654">
        <f>WEEKDAY(PlanMasine[[#This Row],[ZAVRŠETAK MAŠINSKE]],2)</f>
        <v>7</v>
      </c>
      <c r="V654" s="3">
        <f>IF(WEEKDAY(PlanMasine[[#This Row],[Datum SAS]]-1,2)=7,PlanMasine[[#This Row],[Datum SAS]]-3,PlanMasine[[#This Row],[Datum SAS]]-1)</f>
        <v>45835</v>
      </c>
      <c r="W654">
        <f>WEEKNUM(PlanMasine[[#This Row],[Column2]],1)</f>
        <v>26</v>
      </c>
    </row>
    <row r="655" spans="1:23" x14ac:dyDescent="0.35">
      <c r="A655">
        <v>999159</v>
      </c>
      <c r="B655">
        <v>1</v>
      </c>
      <c r="C655">
        <v>999183</v>
      </c>
      <c r="D655" t="s">
        <v>1802</v>
      </c>
      <c r="E655">
        <v>240</v>
      </c>
      <c r="F655">
        <v>12</v>
      </c>
      <c r="G655">
        <v>0</v>
      </c>
      <c r="H655">
        <v>0</v>
      </c>
      <c r="I655" t="s">
        <v>24</v>
      </c>
      <c r="J655" t="s">
        <v>597</v>
      </c>
      <c r="K655" t="s">
        <v>1804</v>
      </c>
      <c r="L655" s="3">
        <v>45870</v>
      </c>
      <c r="M655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1.3888888888888888E-2</v>
      </c>
      <c r="N655" s="3">
        <v>45838</v>
      </c>
      <c r="O655" s="5">
        <f>IFERROR((PlanMasine[[#This Row],[Norma]]/PlanMasine[[#This Row],[Q]])*(PlanMasine[[#This Row],[Q]]/SUMIF(C:C,PlanMasine[[#This Row],[RN]],B:B)*PlanMasine[[#This Row],[KPLQ]]),0)</f>
        <v>20</v>
      </c>
      <c r="P655">
        <v>220642</v>
      </c>
      <c r="Q655">
        <f>COUNTIF(PROMJENA!A:A,PlanMasine[[#This Row],[KPL]]&amp;"-"&amp;PlanMasine[[#This Row],[RN]])</f>
        <v>0</v>
      </c>
      <c r="R655">
        <f>IFERROR(INDEX(REDOSLIJED!A:A,MATCH(PlanMasine[[#This Row],[KPL]],REDOSLIJED!B:B,0)),MAX(REDOSLIJED!A:A)+1)</f>
        <v>45</v>
      </c>
      <c r="S655" s="9">
        <f>SUM($M$2:M655)</f>
        <v>22.677847222222166</v>
      </c>
      <c r="T655" s="3">
        <f>PlanMasine[[#This Row],[Datum SAS]]-1</f>
        <v>45837</v>
      </c>
      <c r="U655">
        <f>WEEKDAY(PlanMasine[[#This Row],[ZAVRŠETAK MAŠINSKE]],2)</f>
        <v>7</v>
      </c>
      <c r="V655" s="3">
        <f>IF(WEEKDAY(PlanMasine[[#This Row],[Datum SAS]]-1,2)=7,PlanMasine[[#This Row],[Datum SAS]]-3,PlanMasine[[#This Row],[Datum SAS]]-1)</f>
        <v>45835</v>
      </c>
      <c r="W655">
        <f>WEEKNUM(PlanMasine[[#This Row],[Column2]],1)</f>
        <v>26</v>
      </c>
    </row>
    <row r="656" spans="1:23" x14ac:dyDescent="0.35">
      <c r="A656">
        <v>999159</v>
      </c>
      <c r="B656">
        <v>1</v>
      </c>
      <c r="C656">
        <v>999186</v>
      </c>
      <c r="D656" t="s">
        <v>1496</v>
      </c>
      <c r="E656">
        <v>300</v>
      </c>
      <c r="F656">
        <v>12</v>
      </c>
      <c r="G656">
        <v>0</v>
      </c>
      <c r="H656">
        <v>0</v>
      </c>
      <c r="I656" t="s">
        <v>24</v>
      </c>
      <c r="J656" t="s">
        <v>597</v>
      </c>
      <c r="K656" t="s">
        <v>1804</v>
      </c>
      <c r="L656" s="3">
        <v>45870</v>
      </c>
      <c r="M656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1.7361111111111112E-2</v>
      </c>
      <c r="N656" s="3">
        <v>45838</v>
      </c>
      <c r="O656" s="5">
        <f>IFERROR((PlanMasine[[#This Row],[Norma]]/PlanMasine[[#This Row],[Q]])*(PlanMasine[[#This Row],[Q]]/SUMIF(C:C,PlanMasine[[#This Row],[RN]],B:B)*PlanMasine[[#This Row],[KPLQ]]),0)</f>
        <v>25</v>
      </c>
      <c r="P656">
        <v>220645</v>
      </c>
      <c r="Q656">
        <f>COUNTIF(PROMJENA!A:A,PlanMasine[[#This Row],[KPL]]&amp;"-"&amp;PlanMasine[[#This Row],[RN]])</f>
        <v>0</v>
      </c>
      <c r="R656">
        <f>IFERROR(INDEX(REDOSLIJED!A:A,MATCH(PlanMasine[[#This Row],[KPL]],REDOSLIJED!B:B,0)),MAX(REDOSLIJED!A:A)+1)</f>
        <v>45</v>
      </c>
      <c r="S656" s="9">
        <f>SUM($M$2:M656)</f>
        <v>22.695208333333277</v>
      </c>
      <c r="T656" s="3">
        <f>PlanMasine[[#This Row],[Datum SAS]]-1</f>
        <v>45837</v>
      </c>
      <c r="U656">
        <f>WEEKDAY(PlanMasine[[#This Row],[ZAVRŠETAK MAŠINSKE]],2)</f>
        <v>7</v>
      </c>
      <c r="V656" s="3">
        <f>IF(WEEKDAY(PlanMasine[[#This Row],[Datum SAS]]-1,2)=7,PlanMasine[[#This Row],[Datum SAS]]-3,PlanMasine[[#This Row],[Datum SAS]]-1)</f>
        <v>45835</v>
      </c>
      <c r="W656">
        <f>WEEKNUM(PlanMasine[[#This Row],[Column2]],1)</f>
        <v>26</v>
      </c>
    </row>
    <row r="657" spans="1:23" x14ac:dyDescent="0.35">
      <c r="A657">
        <v>999160</v>
      </c>
      <c r="B657">
        <v>1</v>
      </c>
      <c r="C657">
        <v>999186</v>
      </c>
      <c r="D657" t="s">
        <v>1496</v>
      </c>
      <c r="E657">
        <v>300</v>
      </c>
      <c r="F657">
        <v>12</v>
      </c>
      <c r="G657">
        <v>0</v>
      </c>
      <c r="H657">
        <v>0</v>
      </c>
      <c r="I657" t="s">
        <v>24</v>
      </c>
      <c r="J657" t="s">
        <v>597</v>
      </c>
      <c r="K657" t="s">
        <v>1804</v>
      </c>
      <c r="L657" s="3">
        <v>45870</v>
      </c>
      <c r="M657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1.7361111111111112E-2</v>
      </c>
      <c r="N657" s="3">
        <v>45838</v>
      </c>
      <c r="O657" s="5">
        <f>IFERROR((PlanMasine[[#This Row],[Norma]]/PlanMasine[[#This Row],[Q]])*(PlanMasine[[#This Row],[Q]]/SUMIF(C:C,PlanMasine[[#This Row],[RN]],B:B)*PlanMasine[[#This Row],[KPLQ]]),0)</f>
        <v>25</v>
      </c>
      <c r="P657">
        <v>220645</v>
      </c>
      <c r="Q657">
        <f>COUNTIF(PROMJENA!A:A,PlanMasine[[#This Row],[KPL]]&amp;"-"&amp;PlanMasine[[#This Row],[RN]])</f>
        <v>0</v>
      </c>
      <c r="R657">
        <f>IFERROR(INDEX(REDOSLIJED!A:A,MATCH(PlanMasine[[#This Row],[KPL]],REDOSLIJED!B:B,0)),MAX(REDOSLIJED!A:A)+1)</f>
        <v>45</v>
      </c>
      <c r="S657" s="9">
        <f>SUM($M$2:M657)</f>
        <v>22.712569444444387</v>
      </c>
      <c r="T657" s="3">
        <f>PlanMasine[[#This Row],[Datum SAS]]-1</f>
        <v>45837</v>
      </c>
      <c r="U657">
        <f>WEEKDAY(PlanMasine[[#This Row],[ZAVRŠETAK MAŠINSKE]],2)</f>
        <v>7</v>
      </c>
      <c r="V657" s="3">
        <f>IF(WEEKDAY(PlanMasine[[#This Row],[Datum SAS]]-1,2)=7,PlanMasine[[#This Row],[Datum SAS]]-3,PlanMasine[[#This Row],[Datum SAS]]-1)</f>
        <v>45835</v>
      </c>
      <c r="W657">
        <f>WEEKNUM(PlanMasine[[#This Row],[Column2]],1)</f>
        <v>26</v>
      </c>
    </row>
    <row r="658" spans="1:23" x14ac:dyDescent="0.35">
      <c r="A658">
        <v>999160</v>
      </c>
      <c r="B658">
        <v>1</v>
      </c>
      <c r="C658">
        <v>999184</v>
      </c>
      <c r="D658" t="s">
        <v>1495</v>
      </c>
      <c r="E658">
        <v>360</v>
      </c>
      <c r="F658">
        <v>12</v>
      </c>
      <c r="G658">
        <v>0</v>
      </c>
      <c r="H658">
        <v>0</v>
      </c>
      <c r="I658" t="s">
        <v>24</v>
      </c>
      <c r="J658" t="s">
        <v>597</v>
      </c>
      <c r="K658" t="s">
        <v>1804</v>
      </c>
      <c r="L658" s="3">
        <v>45870</v>
      </c>
      <c r="M658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2.0833333333333332E-2</v>
      </c>
      <c r="N658" s="3">
        <v>45838</v>
      </c>
      <c r="O658" s="5">
        <f>IFERROR((PlanMasine[[#This Row],[Norma]]/PlanMasine[[#This Row],[Q]])*(PlanMasine[[#This Row],[Q]]/SUMIF(C:C,PlanMasine[[#This Row],[RN]],B:B)*PlanMasine[[#This Row],[KPLQ]]),0)</f>
        <v>30</v>
      </c>
      <c r="P658">
        <v>220643</v>
      </c>
      <c r="Q658">
        <f>COUNTIF(PROMJENA!A:A,PlanMasine[[#This Row],[KPL]]&amp;"-"&amp;PlanMasine[[#This Row],[RN]])</f>
        <v>0</v>
      </c>
      <c r="R658">
        <f>IFERROR(INDEX(REDOSLIJED!A:A,MATCH(PlanMasine[[#This Row],[KPL]],REDOSLIJED!B:B,0)),MAX(REDOSLIJED!A:A)+1)</f>
        <v>45</v>
      </c>
      <c r="S658" s="9">
        <f>SUM($M$2:M658)</f>
        <v>22.733402777777719</v>
      </c>
      <c r="T658" s="3">
        <f>PlanMasine[[#This Row],[Datum SAS]]-1</f>
        <v>45837</v>
      </c>
      <c r="U658">
        <f>WEEKDAY(PlanMasine[[#This Row],[ZAVRŠETAK MAŠINSKE]],2)</f>
        <v>7</v>
      </c>
      <c r="V658" s="3">
        <f>IF(WEEKDAY(PlanMasine[[#This Row],[Datum SAS]]-1,2)=7,PlanMasine[[#This Row],[Datum SAS]]-3,PlanMasine[[#This Row],[Datum SAS]]-1)</f>
        <v>45835</v>
      </c>
      <c r="W658">
        <f>WEEKNUM(PlanMasine[[#This Row],[Column2]],1)</f>
        <v>26</v>
      </c>
    </row>
    <row r="659" spans="1:23" x14ac:dyDescent="0.35">
      <c r="A659">
        <v>999160</v>
      </c>
      <c r="B659">
        <v>1</v>
      </c>
      <c r="C659">
        <v>999183</v>
      </c>
      <c r="D659" t="s">
        <v>1802</v>
      </c>
      <c r="E659">
        <v>240</v>
      </c>
      <c r="F659">
        <v>12</v>
      </c>
      <c r="G659">
        <v>0</v>
      </c>
      <c r="H659">
        <v>0</v>
      </c>
      <c r="I659" t="s">
        <v>24</v>
      </c>
      <c r="J659" t="s">
        <v>597</v>
      </c>
      <c r="K659" t="s">
        <v>1804</v>
      </c>
      <c r="L659" s="3">
        <v>45870</v>
      </c>
      <c r="M659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1.3888888888888888E-2</v>
      </c>
      <c r="N659" s="3">
        <v>45838</v>
      </c>
      <c r="O659" s="5">
        <f>IFERROR((PlanMasine[[#This Row],[Norma]]/PlanMasine[[#This Row],[Q]])*(PlanMasine[[#This Row],[Q]]/SUMIF(C:C,PlanMasine[[#This Row],[RN]],B:B)*PlanMasine[[#This Row],[KPLQ]]),0)</f>
        <v>20</v>
      </c>
      <c r="P659">
        <v>220642</v>
      </c>
      <c r="Q659">
        <f>COUNTIF(PROMJENA!A:A,PlanMasine[[#This Row],[KPL]]&amp;"-"&amp;PlanMasine[[#This Row],[RN]])</f>
        <v>0</v>
      </c>
      <c r="R659">
        <f>IFERROR(INDEX(REDOSLIJED!A:A,MATCH(PlanMasine[[#This Row],[KPL]],REDOSLIJED!B:B,0)),MAX(REDOSLIJED!A:A)+1)</f>
        <v>45</v>
      </c>
      <c r="S659" s="9">
        <f>SUM($M$2:M659)</f>
        <v>22.747291666666609</v>
      </c>
      <c r="T659" s="3">
        <f>PlanMasine[[#This Row],[Datum SAS]]-1</f>
        <v>45837</v>
      </c>
      <c r="U659">
        <f>WEEKDAY(PlanMasine[[#This Row],[ZAVRŠETAK MAŠINSKE]],2)</f>
        <v>7</v>
      </c>
      <c r="V659" s="3">
        <f>IF(WEEKDAY(PlanMasine[[#This Row],[Datum SAS]]-1,2)=7,PlanMasine[[#This Row],[Datum SAS]]-3,PlanMasine[[#This Row],[Datum SAS]]-1)</f>
        <v>45835</v>
      </c>
      <c r="W659">
        <f>WEEKNUM(PlanMasine[[#This Row],[Column2]],1)</f>
        <v>26</v>
      </c>
    </row>
    <row r="660" spans="1:23" x14ac:dyDescent="0.35">
      <c r="A660">
        <v>999161</v>
      </c>
      <c r="B660">
        <v>1</v>
      </c>
      <c r="C660">
        <v>999186</v>
      </c>
      <c r="D660" t="s">
        <v>1496</v>
      </c>
      <c r="E660">
        <v>300</v>
      </c>
      <c r="F660">
        <v>12</v>
      </c>
      <c r="G660">
        <v>0</v>
      </c>
      <c r="H660">
        <v>0</v>
      </c>
      <c r="I660" t="s">
        <v>24</v>
      </c>
      <c r="J660" t="s">
        <v>597</v>
      </c>
      <c r="K660" t="s">
        <v>1804</v>
      </c>
      <c r="L660" s="3">
        <v>45870</v>
      </c>
      <c r="M660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1.7361111111111112E-2</v>
      </c>
      <c r="N660" s="3">
        <v>45838</v>
      </c>
      <c r="O660" s="5">
        <f>IFERROR((PlanMasine[[#This Row],[Norma]]/PlanMasine[[#This Row],[Q]])*(PlanMasine[[#This Row],[Q]]/SUMIF(C:C,PlanMasine[[#This Row],[RN]],B:B)*PlanMasine[[#This Row],[KPLQ]]),0)</f>
        <v>25</v>
      </c>
      <c r="P660">
        <v>220645</v>
      </c>
      <c r="Q660">
        <f>COUNTIF(PROMJENA!A:A,PlanMasine[[#This Row],[KPL]]&amp;"-"&amp;PlanMasine[[#This Row],[RN]])</f>
        <v>0</v>
      </c>
      <c r="R660">
        <f>IFERROR(INDEX(REDOSLIJED!A:A,MATCH(PlanMasine[[#This Row],[KPL]],REDOSLIJED!B:B,0)),MAX(REDOSLIJED!A:A)+1)</f>
        <v>45</v>
      </c>
      <c r="S660" s="9">
        <f>SUM($M$2:M660)</f>
        <v>22.764652777777719</v>
      </c>
      <c r="T660" s="3">
        <f>PlanMasine[[#This Row],[Datum SAS]]-1</f>
        <v>45837</v>
      </c>
      <c r="U660">
        <f>WEEKDAY(PlanMasine[[#This Row],[ZAVRŠETAK MAŠINSKE]],2)</f>
        <v>7</v>
      </c>
      <c r="V660" s="3">
        <f>IF(WEEKDAY(PlanMasine[[#This Row],[Datum SAS]]-1,2)=7,PlanMasine[[#This Row],[Datum SAS]]-3,PlanMasine[[#This Row],[Datum SAS]]-1)</f>
        <v>45835</v>
      </c>
      <c r="W660">
        <f>WEEKNUM(PlanMasine[[#This Row],[Column2]],1)</f>
        <v>26</v>
      </c>
    </row>
    <row r="661" spans="1:23" x14ac:dyDescent="0.35">
      <c r="A661">
        <v>999161</v>
      </c>
      <c r="B661">
        <v>1</v>
      </c>
      <c r="C661">
        <v>999184</v>
      </c>
      <c r="D661" t="s">
        <v>1495</v>
      </c>
      <c r="E661">
        <v>360</v>
      </c>
      <c r="F661">
        <v>12</v>
      </c>
      <c r="G661">
        <v>0</v>
      </c>
      <c r="H661">
        <v>0</v>
      </c>
      <c r="I661" t="s">
        <v>24</v>
      </c>
      <c r="J661" t="s">
        <v>597</v>
      </c>
      <c r="K661" t="s">
        <v>1804</v>
      </c>
      <c r="L661" s="3">
        <v>45870</v>
      </c>
      <c r="M661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2.0833333333333332E-2</v>
      </c>
      <c r="N661" s="3">
        <v>45838</v>
      </c>
      <c r="O661" s="5">
        <f>IFERROR((PlanMasine[[#This Row],[Norma]]/PlanMasine[[#This Row],[Q]])*(PlanMasine[[#This Row],[Q]]/SUMIF(C:C,PlanMasine[[#This Row],[RN]],B:B)*PlanMasine[[#This Row],[KPLQ]]),0)</f>
        <v>30</v>
      </c>
      <c r="P661">
        <v>220643</v>
      </c>
      <c r="Q661">
        <f>COUNTIF(PROMJENA!A:A,PlanMasine[[#This Row],[KPL]]&amp;"-"&amp;PlanMasine[[#This Row],[RN]])</f>
        <v>0</v>
      </c>
      <c r="R661">
        <f>IFERROR(INDEX(REDOSLIJED!A:A,MATCH(PlanMasine[[#This Row],[KPL]],REDOSLIJED!B:B,0)),MAX(REDOSLIJED!A:A)+1)</f>
        <v>45</v>
      </c>
      <c r="S661" s="9">
        <f>SUM($M$2:M661)</f>
        <v>22.785486111111052</v>
      </c>
      <c r="T661" s="3">
        <f>PlanMasine[[#This Row],[Datum SAS]]-1</f>
        <v>45837</v>
      </c>
      <c r="U661">
        <f>WEEKDAY(PlanMasine[[#This Row],[ZAVRŠETAK MAŠINSKE]],2)</f>
        <v>7</v>
      </c>
      <c r="V661" s="3">
        <f>IF(WEEKDAY(PlanMasine[[#This Row],[Datum SAS]]-1,2)=7,PlanMasine[[#This Row],[Datum SAS]]-3,PlanMasine[[#This Row],[Datum SAS]]-1)</f>
        <v>45835</v>
      </c>
      <c r="W661">
        <f>WEEKNUM(PlanMasine[[#This Row],[Column2]],1)</f>
        <v>26</v>
      </c>
    </row>
    <row r="662" spans="1:23" x14ac:dyDescent="0.35">
      <c r="A662">
        <v>999161</v>
      </c>
      <c r="B662">
        <v>1</v>
      </c>
      <c r="C662">
        <v>999183</v>
      </c>
      <c r="D662" t="s">
        <v>1802</v>
      </c>
      <c r="E662">
        <v>240</v>
      </c>
      <c r="F662">
        <v>12</v>
      </c>
      <c r="G662">
        <v>0</v>
      </c>
      <c r="H662">
        <v>0</v>
      </c>
      <c r="I662" t="s">
        <v>24</v>
      </c>
      <c r="J662" t="s">
        <v>597</v>
      </c>
      <c r="K662" t="s">
        <v>1804</v>
      </c>
      <c r="L662" s="3">
        <v>45870</v>
      </c>
      <c r="M662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1.3888888888888888E-2</v>
      </c>
      <c r="N662" s="3">
        <v>45838</v>
      </c>
      <c r="O662" s="5">
        <f>IFERROR((PlanMasine[[#This Row],[Norma]]/PlanMasine[[#This Row],[Q]])*(PlanMasine[[#This Row],[Q]]/SUMIF(C:C,PlanMasine[[#This Row],[RN]],B:B)*PlanMasine[[#This Row],[KPLQ]]),0)</f>
        <v>20</v>
      </c>
      <c r="P662">
        <v>220642</v>
      </c>
      <c r="Q662">
        <f>COUNTIF(PROMJENA!A:A,PlanMasine[[#This Row],[KPL]]&amp;"-"&amp;PlanMasine[[#This Row],[RN]])</f>
        <v>0</v>
      </c>
      <c r="R662">
        <f>IFERROR(INDEX(REDOSLIJED!A:A,MATCH(PlanMasine[[#This Row],[KPL]],REDOSLIJED!B:B,0)),MAX(REDOSLIJED!A:A)+1)</f>
        <v>45</v>
      </c>
      <c r="S662" s="9">
        <f>SUM($M$2:M662)</f>
        <v>22.799374999999941</v>
      </c>
      <c r="T662" s="3">
        <f>PlanMasine[[#This Row],[Datum SAS]]-1</f>
        <v>45837</v>
      </c>
      <c r="U662">
        <f>WEEKDAY(PlanMasine[[#This Row],[ZAVRŠETAK MAŠINSKE]],2)</f>
        <v>7</v>
      </c>
      <c r="V662" s="3">
        <f>IF(WEEKDAY(PlanMasine[[#This Row],[Datum SAS]]-1,2)=7,PlanMasine[[#This Row],[Datum SAS]]-3,PlanMasine[[#This Row],[Datum SAS]]-1)</f>
        <v>45835</v>
      </c>
      <c r="W662">
        <f>WEEKNUM(PlanMasine[[#This Row],[Column2]],1)</f>
        <v>26</v>
      </c>
    </row>
    <row r="663" spans="1:23" x14ac:dyDescent="0.35">
      <c r="A663">
        <v>999162</v>
      </c>
      <c r="B663">
        <v>1</v>
      </c>
      <c r="C663">
        <v>999186</v>
      </c>
      <c r="D663" t="s">
        <v>1496</v>
      </c>
      <c r="E663">
        <v>300</v>
      </c>
      <c r="F663">
        <v>12</v>
      </c>
      <c r="G663">
        <v>0</v>
      </c>
      <c r="H663">
        <v>0</v>
      </c>
      <c r="I663" t="s">
        <v>24</v>
      </c>
      <c r="J663" t="s">
        <v>597</v>
      </c>
      <c r="K663" t="s">
        <v>1804</v>
      </c>
      <c r="L663" s="3">
        <v>45870</v>
      </c>
      <c r="M663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1.7361111111111112E-2</v>
      </c>
      <c r="N663" s="3">
        <v>45838</v>
      </c>
      <c r="O663" s="5">
        <f>IFERROR((PlanMasine[[#This Row],[Norma]]/PlanMasine[[#This Row],[Q]])*(PlanMasine[[#This Row],[Q]]/SUMIF(C:C,PlanMasine[[#This Row],[RN]],B:B)*PlanMasine[[#This Row],[KPLQ]]),0)</f>
        <v>25</v>
      </c>
      <c r="P663">
        <v>220645</v>
      </c>
      <c r="Q663">
        <f>COUNTIF(PROMJENA!A:A,PlanMasine[[#This Row],[KPL]]&amp;"-"&amp;PlanMasine[[#This Row],[RN]])</f>
        <v>0</v>
      </c>
      <c r="R663">
        <f>IFERROR(INDEX(REDOSLIJED!A:A,MATCH(PlanMasine[[#This Row],[KPL]],REDOSLIJED!B:B,0)),MAX(REDOSLIJED!A:A)+1)</f>
        <v>45</v>
      </c>
      <c r="S663" s="9">
        <f>SUM($M$2:M663)</f>
        <v>22.816736111111052</v>
      </c>
      <c r="T663" s="3">
        <f>PlanMasine[[#This Row],[Datum SAS]]-1</f>
        <v>45837</v>
      </c>
      <c r="U663">
        <f>WEEKDAY(PlanMasine[[#This Row],[ZAVRŠETAK MAŠINSKE]],2)</f>
        <v>7</v>
      </c>
      <c r="V663" s="3">
        <f>IF(WEEKDAY(PlanMasine[[#This Row],[Datum SAS]]-1,2)=7,PlanMasine[[#This Row],[Datum SAS]]-3,PlanMasine[[#This Row],[Datum SAS]]-1)</f>
        <v>45835</v>
      </c>
      <c r="W663">
        <f>WEEKNUM(PlanMasine[[#This Row],[Column2]],1)</f>
        <v>26</v>
      </c>
    </row>
    <row r="664" spans="1:23" x14ac:dyDescent="0.35">
      <c r="A664">
        <v>999162</v>
      </c>
      <c r="B664">
        <v>1</v>
      </c>
      <c r="C664">
        <v>999184</v>
      </c>
      <c r="D664" t="s">
        <v>1495</v>
      </c>
      <c r="E664">
        <v>360</v>
      </c>
      <c r="F664">
        <v>12</v>
      </c>
      <c r="G664">
        <v>0</v>
      </c>
      <c r="H664">
        <v>0</v>
      </c>
      <c r="I664" t="s">
        <v>24</v>
      </c>
      <c r="J664" t="s">
        <v>597</v>
      </c>
      <c r="K664" t="s">
        <v>1804</v>
      </c>
      <c r="L664" s="3">
        <v>45870</v>
      </c>
      <c r="M664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2.0833333333333332E-2</v>
      </c>
      <c r="N664" s="3">
        <v>45838</v>
      </c>
      <c r="O664" s="5">
        <f>IFERROR((PlanMasine[[#This Row],[Norma]]/PlanMasine[[#This Row],[Q]])*(PlanMasine[[#This Row],[Q]]/SUMIF(C:C,PlanMasine[[#This Row],[RN]],B:B)*PlanMasine[[#This Row],[KPLQ]]),0)</f>
        <v>30</v>
      </c>
      <c r="P664">
        <v>220643</v>
      </c>
      <c r="Q664">
        <f>COUNTIF(PROMJENA!A:A,PlanMasine[[#This Row],[KPL]]&amp;"-"&amp;PlanMasine[[#This Row],[RN]])</f>
        <v>0</v>
      </c>
      <c r="R664">
        <f>IFERROR(INDEX(REDOSLIJED!A:A,MATCH(PlanMasine[[#This Row],[KPL]],REDOSLIJED!B:B,0)),MAX(REDOSLIJED!A:A)+1)</f>
        <v>45</v>
      </c>
      <c r="S664" s="9">
        <f>SUM($M$2:M664)</f>
        <v>22.837569444444384</v>
      </c>
      <c r="T664" s="3">
        <f>PlanMasine[[#This Row],[Datum SAS]]-1</f>
        <v>45837</v>
      </c>
      <c r="U664">
        <f>WEEKDAY(PlanMasine[[#This Row],[ZAVRŠETAK MAŠINSKE]],2)</f>
        <v>7</v>
      </c>
      <c r="V664" s="3">
        <f>IF(WEEKDAY(PlanMasine[[#This Row],[Datum SAS]]-1,2)=7,PlanMasine[[#This Row],[Datum SAS]]-3,PlanMasine[[#This Row],[Datum SAS]]-1)</f>
        <v>45835</v>
      </c>
      <c r="W664">
        <f>WEEKNUM(PlanMasine[[#This Row],[Column2]],1)</f>
        <v>26</v>
      </c>
    </row>
    <row r="665" spans="1:23" x14ac:dyDescent="0.35">
      <c r="A665">
        <v>999162</v>
      </c>
      <c r="B665">
        <v>1</v>
      </c>
      <c r="C665">
        <v>999183</v>
      </c>
      <c r="D665" t="s">
        <v>1802</v>
      </c>
      <c r="E665">
        <v>240</v>
      </c>
      <c r="F665">
        <v>12</v>
      </c>
      <c r="G665">
        <v>0</v>
      </c>
      <c r="H665">
        <v>0</v>
      </c>
      <c r="I665" t="s">
        <v>24</v>
      </c>
      <c r="J665" t="s">
        <v>597</v>
      </c>
      <c r="K665" t="s">
        <v>1804</v>
      </c>
      <c r="L665" s="3">
        <v>45870</v>
      </c>
      <c r="M665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1.3888888888888888E-2</v>
      </c>
      <c r="N665" s="3">
        <v>45838</v>
      </c>
      <c r="O665" s="5">
        <f>IFERROR((PlanMasine[[#This Row],[Norma]]/PlanMasine[[#This Row],[Q]])*(PlanMasine[[#This Row],[Q]]/SUMIF(C:C,PlanMasine[[#This Row],[RN]],B:B)*PlanMasine[[#This Row],[KPLQ]]),0)</f>
        <v>20</v>
      </c>
      <c r="P665">
        <v>220642</v>
      </c>
      <c r="Q665">
        <f>COUNTIF(PROMJENA!A:A,PlanMasine[[#This Row],[KPL]]&amp;"-"&amp;PlanMasine[[#This Row],[RN]])</f>
        <v>0</v>
      </c>
      <c r="R665">
        <f>IFERROR(INDEX(REDOSLIJED!A:A,MATCH(PlanMasine[[#This Row],[KPL]],REDOSLIJED!B:B,0)),MAX(REDOSLIJED!A:A)+1)</f>
        <v>45</v>
      </c>
      <c r="S665" s="9">
        <f>SUM($M$2:M665)</f>
        <v>22.851458333333273</v>
      </c>
      <c r="T665" s="3">
        <f>PlanMasine[[#This Row],[Datum SAS]]-1</f>
        <v>45837</v>
      </c>
      <c r="U665">
        <f>WEEKDAY(PlanMasine[[#This Row],[ZAVRŠETAK MAŠINSKE]],2)</f>
        <v>7</v>
      </c>
      <c r="V665" s="3">
        <f>IF(WEEKDAY(PlanMasine[[#This Row],[Datum SAS]]-1,2)=7,PlanMasine[[#This Row],[Datum SAS]]-3,PlanMasine[[#This Row],[Datum SAS]]-1)</f>
        <v>45835</v>
      </c>
      <c r="W665">
        <f>WEEKNUM(PlanMasine[[#This Row],[Column2]],1)</f>
        <v>26</v>
      </c>
    </row>
    <row r="666" spans="1:23" x14ac:dyDescent="0.35">
      <c r="A666">
        <v>999163</v>
      </c>
      <c r="B666">
        <v>1</v>
      </c>
      <c r="C666">
        <v>999183</v>
      </c>
      <c r="D666" t="s">
        <v>1802</v>
      </c>
      <c r="E666">
        <v>240</v>
      </c>
      <c r="F666">
        <v>12</v>
      </c>
      <c r="G666">
        <v>0</v>
      </c>
      <c r="H666">
        <v>0</v>
      </c>
      <c r="I666" t="s">
        <v>24</v>
      </c>
      <c r="J666" t="s">
        <v>597</v>
      </c>
      <c r="K666" t="s">
        <v>1804</v>
      </c>
      <c r="L666" s="3">
        <v>45870</v>
      </c>
      <c r="M666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1.3888888888888888E-2</v>
      </c>
      <c r="N666" s="3">
        <v>45838</v>
      </c>
      <c r="O666" s="5">
        <f>IFERROR((PlanMasine[[#This Row],[Norma]]/PlanMasine[[#This Row],[Q]])*(PlanMasine[[#This Row],[Q]]/SUMIF(C:C,PlanMasine[[#This Row],[RN]],B:B)*PlanMasine[[#This Row],[KPLQ]]),0)</f>
        <v>20</v>
      </c>
      <c r="P666">
        <v>220642</v>
      </c>
      <c r="Q666">
        <f>COUNTIF(PROMJENA!A:A,PlanMasine[[#This Row],[KPL]]&amp;"-"&amp;PlanMasine[[#This Row],[RN]])</f>
        <v>0</v>
      </c>
      <c r="R666">
        <f>IFERROR(INDEX(REDOSLIJED!A:A,MATCH(PlanMasine[[#This Row],[KPL]],REDOSLIJED!B:B,0)),MAX(REDOSLIJED!A:A)+1)</f>
        <v>45</v>
      </c>
      <c r="S666" s="9">
        <f>SUM($M$2:M666)</f>
        <v>22.865347222222162</v>
      </c>
      <c r="T666" s="3">
        <f>PlanMasine[[#This Row],[Datum SAS]]-1</f>
        <v>45837</v>
      </c>
      <c r="U666">
        <f>WEEKDAY(PlanMasine[[#This Row],[ZAVRŠETAK MAŠINSKE]],2)</f>
        <v>7</v>
      </c>
      <c r="V666" s="3">
        <f>IF(WEEKDAY(PlanMasine[[#This Row],[Datum SAS]]-1,2)=7,PlanMasine[[#This Row],[Datum SAS]]-3,PlanMasine[[#This Row],[Datum SAS]]-1)</f>
        <v>45835</v>
      </c>
      <c r="W666">
        <f>WEEKNUM(PlanMasine[[#This Row],[Column2]],1)</f>
        <v>26</v>
      </c>
    </row>
    <row r="667" spans="1:23" x14ac:dyDescent="0.35">
      <c r="A667">
        <v>999163</v>
      </c>
      <c r="B667">
        <v>1</v>
      </c>
      <c r="C667">
        <v>999186</v>
      </c>
      <c r="D667" t="s">
        <v>1496</v>
      </c>
      <c r="E667">
        <v>300</v>
      </c>
      <c r="F667">
        <v>12</v>
      </c>
      <c r="G667">
        <v>0</v>
      </c>
      <c r="H667">
        <v>0</v>
      </c>
      <c r="I667" t="s">
        <v>24</v>
      </c>
      <c r="J667" t="s">
        <v>597</v>
      </c>
      <c r="K667" t="s">
        <v>1804</v>
      </c>
      <c r="L667" s="3">
        <v>45870</v>
      </c>
      <c r="M667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1.7361111111111112E-2</v>
      </c>
      <c r="N667" s="3">
        <v>45838</v>
      </c>
      <c r="O667" s="5">
        <f>IFERROR((PlanMasine[[#This Row],[Norma]]/PlanMasine[[#This Row],[Q]])*(PlanMasine[[#This Row],[Q]]/SUMIF(C:C,PlanMasine[[#This Row],[RN]],B:B)*PlanMasine[[#This Row],[KPLQ]]),0)</f>
        <v>25</v>
      </c>
      <c r="P667">
        <v>220645</v>
      </c>
      <c r="Q667">
        <f>COUNTIF(PROMJENA!A:A,PlanMasine[[#This Row],[KPL]]&amp;"-"&amp;PlanMasine[[#This Row],[RN]])</f>
        <v>0</v>
      </c>
      <c r="R667">
        <f>IFERROR(INDEX(REDOSLIJED!A:A,MATCH(PlanMasine[[#This Row],[KPL]],REDOSLIJED!B:B,0)),MAX(REDOSLIJED!A:A)+1)</f>
        <v>45</v>
      </c>
      <c r="S667" s="9">
        <f>SUM($M$2:M667)</f>
        <v>22.882708333333273</v>
      </c>
      <c r="T667" s="3">
        <f>PlanMasine[[#This Row],[Datum SAS]]-1</f>
        <v>45837</v>
      </c>
      <c r="U667">
        <f>WEEKDAY(PlanMasine[[#This Row],[ZAVRŠETAK MAŠINSKE]],2)</f>
        <v>7</v>
      </c>
      <c r="V667" s="3">
        <f>IF(WEEKDAY(PlanMasine[[#This Row],[Datum SAS]]-1,2)=7,PlanMasine[[#This Row],[Datum SAS]]-3,PlanMasine[[#This Row],[Datum SAS]]-1)</f>
        <v>45835</v>
      </c>
      <c r="W667">
        <f>WEEKNUM(PlanMasine[[#This Row],[Column2]],1)</f>
        <v>26</v>
      </c>
    </row>
    <row r="668" spans="1:23" x14ac:dyDescent="0.35">
      <c r="A668">
        <v>999163</v>
      </c>
      <c r="B668">
        <v>1</v>
      </c>
      <c r="C668">
        <v>999184</v>
      </c>
      <c r="D668" t="s">
        <v>1495</v>
      </c>
      <c r="E668">
        <v>360</v>
      </c>
      <c r="F668">
        <v>12</v>
      </c>
      <c r="G668">
        <v>0</v>
      </c>
      <c r="H668">
        <v>0</v>
      </c>
      <c r="I668" t="s">
        <v>24</v>
      </c>
      <c r="J668" t="s">
        <v>597</v>
      </c>
      <c r="K668" t="s">
        <v>1804</v>
      </c>
      <c r="L668" s="3">
        <v>45870</v>
      </c>
      <c r="M668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2.0833333333333332E-2</v>
      </c>
      <c r="N668" s="3">
        <v>45838</v>
      </c>
      <c r="O668" s="5">
        <f>IFERROR((PlanMasine[[#This Row],[Norma]]/PlanMasine[[#This Row],[Q]])*(PlanMasine[[#This Row],[Q]]/SUMIF(C:C,PlanMasine[[#This Row],[RN]],B:B)*PlanMasine[[#This Row],[KPLQ]]),0)</f>
        <v>30</v>
      </c>
      <c r="P668">
        <v>220643</v>
      </c>
      <c r="Q668">
        <f>COUNTIF(PROMJENA!A:A,PlanMasine[[#This Row],[KPL]]&amp;"-"&amp;PlanMasine[[#This Row],[RN]])</f>
        <v>0</v>
      </c>
      <c r="R668">
        <f>IFERROR(INDEX(REDOSLIJED!A:A,MATCH(PlanMasine[[#This Row],[KPL]],REDOSLIJED!B:B,0)),MAX(REDOSLIJED!A:A)+1)</f>
        <v>45</v>
      </c>
      <c r="S668" s="9">
        <f>SUM($M$2:M668)</f>
        <v>22.903541666666605</v>
      </c>
      <c r="T668" s="3">
        <f>PlanMasine[[#This Row],[Datum SAS]]-1</f>
        <v>45837</v>
      </c>
      <c r="U668">
        <f>WEEKDAY(PlanMasine[[#This Row],[ZAVRŠETAK MAŠINSKE]],2)</f>
        <v>7</v>
      </c>
      <c r="V668" s="3">
        <f>IF(WEEKDAY(PlanMasine[[#This Row],[Datum SAS]]-1,2)=7,PlanMasine[[#This Row],[Datum SAS]]-3,PlanMasine[[#This Row],[Datum SAS]]-1)</f>
        <v>45835</v>
      </c>
      <c r="W668">
        <f>WEEKNUM(PlanMasine[[#This Row],[Column2]],1)</f>
        <v>26</v>
      </c>
    </row>
    <row r="669" spans="1:23" x14ac:dyDescent="0.35">
      <c r="A669">
        <v>999164</v>
      </c>
      <c r="B669">
        <v>1</v>
      </c>
      <c r="C669">
        <v>999186</v>
      </c>
      <c r="D669" t="s">
        <v>1496</v>
      </c>
      <c r="E669">
        <v>300</v>
      </c>
      <c r="F669">
        <v>12</v>
      </c>
      <c r="G669">
        <v>0</v>
      </c>
      <c r="H669">
        <v>0</v>
      </c>
      <c r="I669" t="s">
        <v>24</v>
      </c>
      <c r="J669" t="s">
        <v>597</v>
      </c>
      <c r="K669" t="s">
        <v>1804</v>
      </c>
      <c r="L669" s="3">
        <v>45870</v>
      </c>
      <c r="M669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1.7361111111111112E-2</v>
      </c>
      <c r="N669" s="3">
        <v>45838</v>
      </c>
      <c r="O669" s="5">
        <f>IFERROR((PlanMasine[[#This Row],[Norma]]/PlanMasine[[#This Row],[Q]])*(PlanMasine[[#This Row],[Q]]/SUMIF(C:C,PlanMasine[[#This Row],[RN]],B:B)*PlanMasine[[#This Row],[KPLQ]]),0)</f>
        <v>25</v>
      </c>
      <c r="P669">
        <v>220645</v>
      </c>
      <c r="Q669">
        <f>COUNTIF(PROMJENA!A:A,PlanMasine[[#This Row],[KPL]]&amp;"-"&amp;PlanMasine[[#This Row],[RN]])</f>
        <v>0</v>
      </c>
      <c r="R669">
        <f>IFERROR(INDEX(REDOSLIJED!A:A,MATCH(PlanMasine[[#This Row],[KPL]],REDOSLIJED!B:B,0)),MAX(REDOSLIJED!A:A)+1)</f>
        <v>45</v>
      </c>
      <c r="S669" s="9">
        <f>SUM($M$2:M669)</f>
        <v>22.920902777777716</v>
      </c>
      <c r="T669" s="3">
        <f>PlanMasine[[#This Row],[Datum SAS]]-1</f>
        <v>45837</v>
      </c>
      <c r="U669">
        <f>WEEKDAY(PlanMasine[[#This Row],[ZAVRŠETAK MAŠINSKE]],2)</f>
        <v>7</v>
      </c>
      <c r="V669" s="3">
        <f>IF(WEEKDAY(PlanMasine[[#This Row],[Datum SAS]]-1,2)=7,PlanMasine[[#This Row],[Datum SAS]]-3,PlanMasine[[#This Row],[Datum SAS]]-1)</f>
        <v>45835</v>
      </c>
      <c r="W669">
        <f>WEEKNUM(PlanMasine[[#This Row],[Column2]],1)</f>
        <v>26</v>
      </c>
    </row>
    <row r="670" spans="1:23" x14ac:dyDescent="0.35">
      <c r="A670">
        <v>999164</v>
      </c>
      <c r="B670">
        <v>1</v>
      </c>
      <c r="C670">
        <v>999184</v>
      </c>
      <c r="D670" t="s">
        <v>1495</v>
      </c>
      <c r="E670">
        <v>360</v>
      </c>
      <c r="F670">
        <v>12</v>
      </c>
      <c r="G670">
        <v>0</v>
      </c>
      <c r="H670">
        <v>0</v>
      </c>
      <c r="I670" t="s">
        <v>24</v>
      </c>
      <c r="J670" t="s">
        <v>597</v>
      </c>
      <c r="K670" t="s">
        <v>1804</v>
      </c>
      <c r="L670" s="3">
        <v>45870</v>
      </c>
      <c r="M670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2.0833333333333332E-2</v>
      </c>
      <c r="N670" s="3">
        <v>45838</v>
      </c>
      <c r="O670" s="5">
        <f>IFERROR((PlanMasine[[#This Row],[Norma]]/PlanMasine[[#This Row],[Q]])*(PlanMasine[[#This Row],[Q]]/SUMIF(C:C,PlanMasine[[#This Row],[RN]],B:B)*PlanMasine[[#This Row],[KPLQ]]),0)</f>
        <v>30</v>
      </c>
      <c r="P670">
        <v>220643</v>
      </c>
      <c r="Q670">
        <f>COUNTIF(PROMJENA!A:A,PlanMasine[[#This Row],[KPL]]&amp;"-"&amp;PlanMasine[[#This Row],[RN]])</f>
        <v>0</v>
      </c>
      <c r="R670">
        <f>IFERROR(INDEX(REDOSLIJED!A:A,MATCH(PlanMasine[[#This Row],[KPL]],REDOSLIJED!B:B,0)),MAX(REDOSLIJED!A:A)+1)</f>
        <v>45</v>
      </c>
      <c r="S670" s="9">
        <f>SUM($M$2:M670)</f>
        <v>22.941736111111048</v>
      </c>
      <c r="T670" s="3">
        <f>PlanMasine[[#This Row],[Datum SAS]]-1</f>
        <v>45837</v>
      </c>
      <c r="U670">
        <f>WEEKDAY(PlanMasine[[#This Row],[ZAVRŠETAK MAŠINSKE]],2)</f>
        <v>7</v>
      </c>
      <c r="V670" s="3">
        <f>IF(WEEKDAY(PlanMasine[[#This Row],[Datum SAS]]-1,2)=7,PlanMasine[[#This Row],[Datum SAS]]-3,PlanMasine[[#This Row],[Datum SAS]]-1)</f>
        <v>45835</v>
      </c>
      <c r="W670">
        <f>WEEKNUM(PlanMasine[[#This Row],[Column2]],1)</f>
        <v>26</v>
      </c>
    </row>
    <row r="671" spans="1:23" x14ac:dyDescent="0.35">
      <c r="A671">
        <v>999164</v>
      </c>
      <c r="B671">
        <v>1</v>
      </c>
      <c r="C671">
        <v>999183</v>
      </c>
      <c r="D671" t="s">
        <v>1802</v>
      </c>
      <c r="E671">
        <v>240</v>
      </c>
      <c r="F671">
        <v>12</v>
      </c>
      <c r="G671">
        <v>0</v>
      </c>
      <c r="H671">
        <v>0</v>
      </c>
      <c r="I671" t="s">
        <v>24</v>
      </c>
      <c r="J671" t="s">
        <v>597</v>
      </c>
      <c r="K671" t="s">
        <v>1804</v>
      </c>
      <c r="L671" s="3">
        <v>45870</v>
      </c>
      <c r="M671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1.3888888888888888E-2</v>
      </c>
      <c r="N671" s="3">
        <v>45838</v>
      </c>
      <c r="O671" s="5">
        <f>IFERROR((PlanMasine[[#This Row],[Norma]]/PlanMasine[[#This Row],[Q]])*(PlanMasine[[#This Row],[Q]]/SUMIF(C:C,PlanMasine[[#This Row],[RN]],B:B)*PlanMasine[[#This Row],[KPLQ]]),0)</f>
        <v>20</v>
      </c>
      <c r="P671">
        <v>220642</v>
      </c>
      <c r="Q671">
        <f>COUNTIF(PROMJENA!A:A,PlanMasine[[#This Row],[KPL]]&amp;"-"&amp;PlanMasine[[#This Row],[RN]])</f>
        <v>0</v>
      </c>
      <c r="R671">
        <f>IFERROR(INDEX(REDOSLIJED!A:A,MATCH(PlanMasine[[#This Row],[KPL]],REDOSLIJED!B:B,0)),MAX(REDOSLIJED!A:A)+1)</f>
        <v>45</v>
      </c>
      <c r="S671" s="9">
        <f>SUM($M$2:M671)</f>
        <v>22.955624999999937</v>
      </c>
      <c r="T671" s="3">
        <f>PlanMasine[[#This Row],[Datum SAS]]-1</f>
        <v>45837</v>
      </c>
      <c r="U671">
        <f>WEEKDAY(PlanMasine[[#This Row],[ZAVRŠETAK MAŠINSKE]],2)</f>
        <v>7</v>
      </c>
      <c r="V671" s="3">
        <f>IF(WEEKDAY(PlanMasine[[#This Row],[Datum SAS]]-1,2)=7,PlanMasine[[#This Row],[Datum SAS]]-3,PlanMasine[[#This Row],[Datum SAS]]-1)</f>
        <v>45835</v>
      </c>
      <c r="W671">
        <f>WEEKNUM(PlanMasine[[#This Row],[Column2]],1)</f>
        <v>26</v>
      </c>
    </row>
    <row r="672" spans="1:23" x14ac:dyDescent="0.35">
      <c r="A672">
        <v>999165</v>
      </c>
      <c r="B672">
        <v>1</v>
      </c>
      <c r="C672">
        <v>999186</v>
      </c>
      <c r="D672" t="s">
        <v>1496</v>
      </c>
      <c r="E672">
        <v>300</v>
      </c>
      <c r="F672">
        <v>12</v>
      </c>
      <c r="G672">
        <v>0</v>
      </c>
      <c r="H672">
        <v>0</v>
      </c>
      <c r="I672" t="s">
        <v>24</v>
      </c>
      <c r="J672" t="s">
        <v>597</v>
      </c>
      <c r="K672" t="s">
        <v>1804</v>
      </c>
      <c r="L672" s="3">
        <v>45870</v>
      </c>
      <c r="M672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1.7361111111111112E-2</v>
      </c>
      <c r="N672" s="3">
        <v>45838</v>
      </c>
      <c r="O672" s="5">
        <f>IFERROR((PlanMasine[[#This Row],[Norma]]/PlanMasine[[#This Row],[Q]])*(PlanMasine[[#This Row],[Q]]/SUMIF(C:C,PlanMasine[[#This Row],[RN]],B:B)*PlanMasine[[#This Row],[KPLQ]]),0)</f>
        <v>25</v>
      </c>
      <c r="P672">
        <v>220645</v>
      </c>
      <c r="Q672">
        <f>COUNTIF(PROMJENA!A:A,PlanMasine[[#This Row],[KPL]]&amp;"-"&amp;PlanMasine[[#This Row],[RN]])</f>
        <v>0</v>
      </c>
      <c r="R672">
        <f>IFERROR(INDEX(REDOSLIJED!A:A,MATCH(PlanMasine[[#This Row],[KPL]],REDOSLIJED!B:B,0)),MAX(REDOSLIJED!A:A)+1)</f>
        <v>45</v>
      </c>
      <c r="S672" s="9">
        <f>SUM($M$2:M672)</f>
        <v>22.972986111111048</v>
      </c>
      <c r="T672" s="3">
        <f>PlanMasine[[#This Row],[Datum SAS]]-1</f>
        <v>45837</v>
      </c>
      <c r="U672">
        <f>WEEKDAY(PlanMasine[[#This Row],[ZAVRŠETAK MAŠINSKE]],2)</f>
        <v>7</v>
      </c>
      <c r="V672" s="3">
        <f>IF(WEEKDAY(PlanMasine[[#This Row],[Datum SAS]]-1,2)=7,PlanMasine[[#This Row],[Datum SAS]]-3,PlanMasine[[#This Row],[Datum SAS]]-1)</f>
        <v>45835</v>
      </c>
      <c r="W672">
        <f>WEEKNUM(PlanMasine[[#This Row],[Column2]],1)</f>
        <v>26</v>
      </c>
    </row>
    <row r="673" spans="1:23" x14ac:dyDescent="0.35">
      <c r="A673">
        <v>999165</v>
      </c>
      <c r="B673">
        <v>1</v>
      </c>
      <c r="C673">
        <v>999184</v>
      </c>
      <c r="D673" t="s">
        <v>1495</v>
      </c>
      <c r="E673">
        <v>360</v>
      </c>
      <c r="F673">
        <v>12</v>
      </c>
      <c r="G673">
        <v>0</v>
      </c>
      <c r="H673">
        <v>0</v>
      </c>
      <c r="I673" t="s">
        <v>24</v>
      </c>
      <c r="J673" t="s">
        <v>597</v>
      </c>
      <c r="K673" t="s">
        <v>1804</v>
      </c>
      <c r="L673" s="3">
        <v>45870</v>
      </c>
      <c r="M673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2.0833333333333332E-2</v>
      </c>
      <c r="N673" s="3">
        <v>45838</v>
      </c>
      <c r="O673" s="5">
        <f>IFERROR((PlanMasine[[#This Row],[Norma]]/PlanMasine[[#This Row],[Q]])*(PlanMasine[[#This Row],[Q]]/SUMIF(C:C,PlanMasine[[#This Row],[RN]],B:B)*PlanMasine[[#This Row],[KPLQ]]),0)</f>
        <v>30</v>
      </c>
      <c r="P673">
        <v>220643</v>
      </c>
      <c r="Q673">
        <f>COUNTIF(PROMJENA!A:A,PlanMasine[[#This Row],[KPL]]&amp;"-"&amp;PlanMasine[[#This Row],[RN]])</f>
        <v>0</v>
      </c>
      <c r="R673">
        <f>IFERROR(INDEX(REDOSLIJED!A:A,MATCH(PlanMasine[[#This Row],[KPL]],REDOSLIJED!B:B,0)),MAX(REDOSLIJED!A:A)+1)</f>
        <v>45</v>
      </c>
      <c r="S673" s="9">
        <f>SUM($M$2:M673)</f>
        <v>22.99381944444438</v>
      </c>
      <c r="T673" s="3">
        <f>PlanMasine[[#This Row],[Datum SAS]]-1</f>
        <v>45837</v>
      </c>
      <c r="U673">
        <f>WEEKDAY(PlanMasine[[#This Row],[ZAVRŠETAK MAŠINSKE]],2)</f>
        <v>7</v>
      </c>
      <c r="V673" s="3">
        <f>IF(WEEKDAY(PlanMasine[[#This Row],[Datum SAS]]-1,2)=7,PlanMasine[[#This Row],[Datum SAS]]-3,PlanMasine[[#This Row],[Datum SAS]]-1)</f>
        <v>45835</v>
      </c>
      <c r="W673">
        <f>WEEKNUM(PlanMasine[[#This Row],[Column2]],1)</f>
        <v>26</v>
      </c>
    </row>
    <row r="674" spans="1:23" x14ac:dyDescent="0.35">
      <c r="A674">
        <v>999165</v>
      </c>
      <c r="B674">
        <v>1</v>
      </c>
      <c r="C674">
        <v>999183</v>
      </c>
      <c r="D674" t="s">
        <v>1802</v>
      </c>
      <c r="E674">
        <v>240</v>
      </c>
      <c r="F674">
        <v>12</v>
      </c>
      <c r="G674">
        <v>0</v>
      </c>
      <c r="H674">
        <v>0</v>
      </c>
      <c r="I674" t="s">
        <v>24</v>
      </c>
      <c r="J674" t="s">
        <v>597</v>
      </c>
      <c r="K674" t="s">
        <v>1804</v>
      </c>
      <c r="L674" s="3">
        <v>45870</v>
      </c>
      <c r="M674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1.3888888888888888E-2</v>
      </c>
      <c r="N674" s="3">
        <v>45838</v>
      </c>
      <c r="O674" s="5">
        <f>IFERROR((PlanMasine[[#This Row],[Norma]]/PlanMasine[[#This Row],[Q]])*(PlanMasine[[#This Row],[Q]]/SUMIF(C:C,PlanMasine[[#This Row],[RN]],B:B)*PlanMasine[[#This Row],[KPLQ]]),0)</f>
        <v>20</v>
      </c>
      <c r="P674">
        <v>220642</v>
      </c>
      <c r="Q674">
        <f>COUNTIF(PROMJENA!A:A,PlanMasine[[#This Row],[KPL]]&amp;"-"&amp;PlanMasine[[#This Row],[RN]])</f>
        <v>0</v>
      </c>
      <c r="R674">
        <f>IFERROR(INDEX(REDOSLIJED!A:A,MATCH(PlanMasine[[#This Row],[KPL]],REDOSLIJED!B:B,0)),MAX(REDOSLIJED!A:A)+1)</f>
        <v>45</v>
      </c>
      <c r="S674" s="9">
        <f>SUM($M$2:M674)</f>
        <v>23.007708333333269</v>
      </c>
      <c r="T674" s="3">
        <f>PlanMasine[[#This Row],[Datum SAS]]-1</f>
        <v>45837</v>
      </c>
      <c r="U674">
        <f>WEEKDAY(PlanMasine[[#This Row],[ZAVRŠETAK MAŠINSKE]],2)</f>
        <v>7</v>
      </c>
      <c r="V674" s="3">
        <f>IF(WEEKDAY(PlanMasine[[#This Row],[Datum SAS]]-1,2)=7,PlanMasine[[#This Row],[Datum SAS]]-3,PlanMasine[[#This Row],[Datum SAS]]-1)</f>
        <v>45835</v>
      </c>
      <c r="W674">
        <f>WEEKNUM(PlanMasine[[#This Row],[Column2]],1)</f>
        <v>26</v>
      </c>
    </row>
    <row r="675" spans="1:23" x14ac:dyDescent="0.35">
      <c r="A675">
        <v>999166</v>
      </c>
      <c r="B675">
        <v>1</v>
      </c>
      <c r="C675">
        <v>999186</v>
      </c>
      <c r="D675" t="s">
        <v>1496</v>
      </c>
      <c r="E675">
        <v>300</v>
      </c>
      <c r="F675">
        <v>12</v>
      </c>
      <c r="G675">
        <v>0</v>
      </c>
      <c r="H675">
        <v>0</v>
      </c>
      <c r="I675" t="s">
        <v>24</v>
      </c>
      <c r="J675" t="s">
        <v>597</v>
      </c>
      <c r="K675" t="s">
        <v>1804</v>
      </c>
      <c r="L675" s="3">
        <v>45870</v>
      </c>
      <c r="M675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1.7361111111111112E-2</v>
      </c>
      <c r="N675" s="3">
        <v>45838</v>
      </c>
      <c r="O675" s="5">
        <f>IFERROR((PlanMasine[[#This Row],[Norma]]/PlanMasine[[#This Row],[Q]])*(PlanMasine[[#This Row],[Q]]/SUMIF(C:C,PlanMasine[[#This Row],[RN]],B:B)*PlanMasine[[#This Row],[KPLQ]]),0)</f>
        <v>25</v>
      </c>
      <c r="P675">
        <v>220645</v>
      </c>
      <c r="Q675">
        <f>COUNTIF(PROMJENA!A:A,PlanMasine[[#This Row],[KPL]]&amp;"-"&amp;PlanMasine[[#This Row],[RN]])</f>
        <v>0</v>
      </c>
      <c r="R675">
        <f>IFERROR(INDEX(REDOSLIJED!A:A,MATCH(PlanMasine[[#This Row],[KPL]],REDOSLIJED!B:B,0)),MAX(REDOSLIJED!A:A)+1)</f>
        <v>45</v>
      </c>
      <c r="S675" s="9">
        <f>SUM($M$2:M675)</f>
        <v>23.02506944444438</v>
      </c>
      <c r="T675" s="3">
        <f>PlanMasine[[#This Row],[Datum SAS]]-1</f>
        <v>45837</v>
      </c>
      <c r="U675">
        <f>WEEKDAY(PlanMasine[[#This Row],[ZAVRŠETAK MAŠINSKE]],2)</f>
        <v>7</v>
      </c>
      <c r="V675" s="3">
        <f>IF(WEEKDAY(PlanMasine[[#This Row],[Datum SAS]]-1,2)=7,PlanMasine[[#This Row],[Datum SAS]]-3,PlanMasine[[#This Row],[Datum SAS]]-1)</f>
        <v>45835</v>
      </c>
      <c r="W675">
        <f>WEEKNUM(PlanMasine[[#This Row],[Column2]],1)</f>
        <v>26</v>
      </c>
    </row>
    <row r="676" spans="1:23" x14ac:dyDescent="0.35">
      <c r="A676">
        <v>999166</v>
      </c>
      <c r="B676">
        <v>1</v>
      </c>
      <c r="C676">
        <v>999184</v>
      </c>
      <c r="D676" t="s">
        <v>1495</v>
      </c>
      <c r="E676">
        <v>360</v>
      </c>
      <c r="F676">
        <v>12</v>
      </c>
      <c r="G676">
        <v>0</v>
      </c>
      <c r="H676">
        <v>0</v>
      </c>
      <c r="I676" t="s">
        <v>24</v>
      </c>
      <c r="J676" t="s">
        <v>597</v>
      </c>
      <c r="K676" t="s">
        <v>1804</v>
      </c>
      <c r="L676" s="3">
        <v>45870</v>
      </c>
      <c r="M676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2.0833333333333332E-2</v>
      </c>
      <c r="N676" s="3">
        <v>45838</v>
      </c>
      <c r="O676" s="5">
        <f>IFERROR((PlanMasine[[#This Row],[Norma]]/PlanMasine[[#This Row],[Q]])*(PlanMasine[[#This Row],[Q]]/SUMIF(C:C,PlanMasine[[#This Row],[RN]],B:B)*PlanMasine[[#This Row],[KPLQ]]),0)</f>
        <v>30</v>
      </c>
      <c r="P676">
        <v>220643</v>
      </c>
      <c r="Q676">
        <f>COUNTIF(PROMJENA!A:A,PlanMasine[[#This Row],[KPL]]&amp;"-"&amp;PlanMasine[[#This Row],[RN]])</f>
        <v>0</v>
      </c>
      <c r="R676">
        <f>IFERROR(INDEX(REDOSLIJED!A:A,MATCH(PlanMasine[[#This Row],[KPL]],REDOSLIJED!B:B,0)),MAX(REDOSLIJED!A:A)+1)</f>
        <v>45</v>
      </c>
      <c r="S676" s="9">
        <f>SUM($M$2:M676)</f>
        <v>23.045902777777712</v>
      </c>
      <c r="T676" s="3">
        <f>PlanMasine[[#This Row],[Datum SAS]]-1</f>
        <v>45837</v>
      </c>
      <c r="U676">
        <f>WEEKDAY(PlanMasine[[#This Row],[ZAVRŠETAK MAŠINSKE]],2)</f>
        <v>7</v>
      </c>
      <c r="V676" s="3">
        <f>IF(WEEKDAY(PlanMasine[[#This Row],[Datum SAS]]-1,2)=7,PlanMasine[[#This Row],[Datum SAS]]-3,PlanMasine[[#This Row],[Datum SAS]]-1)</f>
        <v>45835</v>
      </c>
      <c r="W676">
        <f>WEEKNUM(PlanMasine[[#This Row],[Column2]],1)</f>
        <v>26</v>
      </c>
    </row>
    <row r="677" spans="1:23" x14ac:dyDescent="0.35">
      <c r="A677">
        <v>999166</v>
      </c>
      <c r="B677">
        <v>1</v>
      </c>
      <c r="C677">
        <v>999183</v>
      </c>
      <c r="D677" t="s">
        <v>1802</v>
      </c>
      <c r="E677">
        <v>240</v>
      </c>
      <c r="F677">
        <v>12</v>
      </c>
      <c r="G677">
        <v>0</v>
      </c>
      <c r="H677">
        <v>0</v>
      </c>
      <c r="I677" t="s">
        <v>24</v>
      </c>
      <c r="J677" t="s">
        <v>597</v>
      </c>
      <c r="K677" t="s">
        <v>1804</v>
      </c>
      <c r="L677" s="3">
        <v>45870</v>
      </c>
      <c r="M677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1.3888888888888888E-2</v>
      </c>
      <c r="N677" s="3">
        <v>45838</v>
      </c>
      <c r="O677" s="5">
        <f>IFERROR((PlanMasine[[#This Row],[Norma]]/PlanMasine[[#This Row],[Q]])*(PlanMasine[[#This Row],[Q]]/SUMIF(C:C,PlanMasine[[#This Row],[RN]],B:B)*PlanMasine[[#This Row],[KPLQ]]),0)</f>
        <v>20</v>
      </c>
      <c r="P677">
        <v>220642</v>
      </c>
      <c r="Q677">
        <f>COUNTIF(PROMJENA!A:A,PlanMasine[[#This Row],[KPL]]&amp;"-"&amp;PlanMasine[[#This Row],[RN]])</f>
        <v>0</v>
      </c>
      <c r="R677">
        <f>IFERROR(INDEX(REDOSLIJED!A:A,MATCH(PlanMasine[[#This Row],[KPL]],REDOSLIJED!B:B,0)),MAX(REDOSLIJED!A:A)+1)</f>
        <v>45</v>
      </c>
      <c r="S677" s="9">
        <f>SUM($M$2:M677)</f>
        <v>23.059791666666602</v>
      </c>
      <c r="T677" s="3">
        <f>PlanMasine[[#This Row],[Datum SAS]]-1</f>
        <v>45837</v>
      </c>
      <c r="U677">
        <f>WEEKDAY(PlanMasine[[#This Row],[ZAVRŠETAK MAŠINSKE]],2)</f>
        <v>7</v>
      </c>
      <c r="V677" s="3">
        <f>IF(WEEKDAY(PlanMasine[[#This Row],[Datum SAS]]-1,2)=7,PlanMasine[[#This Row],[Datum SAS]]-3,PlanMasine[[#This Row],[Datum SAS]]-1)</f>
        <v>45835</v>
      </c>
      <c r="W677">
        <f>WEEKNUM(PlanMasine[[#This Row],[Column2]],1)</f>
        <v>26</v>
      </c>
    </row>
    <row r="678" spans="1:23" x14ac:dyDescent="0.35">
      <c r="A678">
        <v>1020857</v>
      </c>
      <c r="B678">
        <v>1</v>
      </c>
      <c r="C678">
        <v>1020868</v>
      </c>
      <c r="D678" t="s">
        <v>1454</v>
      </c>
      <c r="E678">
        <v>26</v>
      </c>
      <c r="F678">
        <v>2</v>
      </c>
      <c r="G678">
        <v>0</v>
      </c>
      <c r="H678">
        <v>0</v>
      </c>
      <c r="I678" t="s">
        <v>24</v>
      </c>
      <c r="J678" t="s">
        <v>597</v>
      </c>
      <c r="K678" t="s">
        <v>2030</v>
      </c>
      <c r="L678" s="3">
        <v>45869</v>
      </c>
      <c r="M678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9.0277777777777769E-3</v>
      </c>
      <c r="N678" s="3">
        <v>45838</v>
      </c>
      <c r="O678" s="5">
        <f>IFERROR((PlanMasine[[#This Row],[Norma]]/PlanMasine[[#This Row],[Q]])*(PlanMasine[[#This Row],[Q]]/SUMIF(C:C,PlanMasine[[#This Row],[RN]],B:B)*PlanMasine[[#This Row],[KPLQ]]),0)</f>
        <v>13</v>
      </c>
      <c r="P678">
        <v>137864</v>
      </c>
      <c r="Q678">
        <f>COUNTIF(PROMJENA!A:A,PlanMasine[[#This Row],[KPL]]&amp;"-"&amp;PlanMasine[[#This Row],[RN]])</f>
        <v>0</v>
      </c>
      <c r="R678">
        <f>IFERROR(INDEX(REDOSLIJED!A:A,MATCH(PlanMasine[[#This Row],[KPL]],REDOSLIJED!B:B,0)),MAX(REDOSLIJED!A:A)+1)</f>
        <v>45</v>
      </c>
      <c r="S678" s="9">
        <f>SUM($M$2:M678)</f>
        <v>23.068819444444379</v>
      </c>
      <c r="T678" s="3">
        <f>PlanMasine[[#This Row],[Datum SAS]]-1</f>
        <v>45837</v>
      </c>
      <c r="U678">
        <f>WEEKDAY(PlanMasine[[#This Row],[ZAVRŠETAK MAŠINSKE]],2)</f>
        <v>7</v>
      </c>
      <c r="V678" s="3">
        <f>IF(WEEKDAY(PlanMasine[[#This Row],[Datum SAS]]-1,2)=7,PlanMasine[[#This Row],[Datum SAS]]-3,PlanMasine[[#This Row],[Datum SAS]]-1)</f>
        <v>45835</v>
      </c>
      <c r="W678">
        <f>WEEKNUM(PlanMasine[[#This Row],[Column2]],1)</f>
        <v>26</v>
      </c>
    </row>
    <row r="679" spans="1:23" x14ac:dyDescent="0.35">
      <c r="A679">
        <v>1020857</v>
      </c>
      <c r="B679">
        <v>1</v>
      </c>
      <c r="C679">
        <v>1020869</v>
      </c>
      <c r="D679" t="s">
        <v>1453</v>
      </c>
      <c r="E679">
        <v>30</v>
      </c>
      <c r="F679">
        <v>2</v>
      </c>
      <c r="G679">
        <v>0</v>
      </c>
      <c r="H679">
        <v>0</v>
      </c>
      <c r="I679" t="s">
        <v>24</v>
      </c>
      <c r="J679" t="s">
        <v>597</v>
      </c>
      <c r="K679" t="s">
        <v>2030</v>
      </c>
      <c r="L679" s="3">
        <v>45869</v>
      </c>
      <c r="M679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1.0416666666666666E-2</v>
      </c>
      <c r="N679" s="3">
        <v>45838</v>
      </c>
      <c r="O679" s="5">
        <f>IFERROR((PlanMasine[[#This Row],[Norma]]/PlanMasine[[#This Row],[Q]])*(PlanMasine[[#This Row],[Q]]/SUMIF(C:C,PlanMasine[[#This Row],[RN]],B:B)*PlanMasine[[#This Row],[KPLQ]]),0)</f>
        <v>15</v>
      </c>
      <c r="P679">
        <v>137865</v>
      </c>
      <c r="Q679">
        <f>COUNTIF(PROMJENA!A:A,PlanMasine[[#This Row],[KPL]]&amp;"-"&amp;PlanMasine[[#This Row],[RN]])</f>
        <v>0</v>
      </c>
      <c r="R679">
        <f>IFERROR(INDEX(REDOSLIJED!A:A,MATCH(PlanMasine[[#This Row],[KPL]],REDOSLIJED!B:B,0)),MAX(REDOSLIJED!A:A)+1)</f>
        <v>45</v>
      </c>
      <c r="S679" s="9">
        <f>SUM($M$2:M679)</f>
        <v>23.079236111111047</v>
      </c>
      <c r="T679" s="3">
        <f>PlanMasine[[#This Row],[Datum SAS]]-1</f>
        <v>45837</v>
      </c>
      <c r="U679">
        <f>WEEKDAY(PlanMasine[[#This Row],[ZAVRŠETAK MAŠINSKE]],2)</f>
        <v>7</v>
      </c>
      <c r="V679" s="3">
        <f>IF(WEEKDAY(PlanMasine[[#This Row],[Datum SAS]]-1,2)=7,PlanMasine[[#This Row],[Datum SAS]]-3,PlanMasine[[#This Row],[Datum SAS]]-1)</f>
        <v>45835</v>
      </c>
      <c r="W679">
        <f>WEEKNUM(PlanMasine[[#This Row],[Column2]],1)</f>
        <v>26</v>
      </c>
    </row>
    <row r="680" spans="1:23" x14ac:dyDescent="0.35">
      <c r="A680">
        <v>1020857</v>
      </c>
      <c r="B680">
        <v>1</v>
      </c>
      <c r="C680">
        <v>1020884</v>
      </c>
      <c r="D680" t="s">
        <v>1964</v>
      </c>
      <c r="E680">
        <v>120</v>
      </c>
      <c r="F680">
        <v>4</v>
      </c>
      <c r="G680">
        <v>0</v>
      </c>
      <c r="H680">
        <v>0</v>
      </c>
      <c r="I680" t="s">
        <v>24</v>
      </c>
      <c r="J680" t="s">
        <v>597</v>
      </c>
      <c r="K680" t="s">
        <v>2030</v>
      </c>
      <c r="L680" s="3">
        <v>45869</v>
      </c>
      <c r="M680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4.1666666666666664E-2</v>
      </c>
      <c r="N680" s="3">
        <v>45838</v>
      </c>
      <c r="O680" s="5">
        <f>IFERROR((PlanMasine[[#This Row],[Norma]]/PlanMasine[[#This Row],[Q]])*(PlanMasine[[#This Row],[Q]]/SUMIF(C:C,PlanMasine[[#This Row],[RN]],B:B)*PlanMasine[[#This Row],[KPLQ]]),0)</f>
        <v>60</v>
      </c>
      <c r="P680">
        <v>137880</v>
      </c>
      <c r="Q680">
        <f>COUNTIF(PROMJENA!A:A,PlanMasine[[#This Row],[KPL]]&amp;"-"&amp;PlanMasine[[#This Row],[RN]])</f>
        <v>0</v>
      </c>
      <c r="R680">
        <f>IFERROR(INDEX(REDOSLIJED!A:A,MATCH(PlanMasine[[#This Row],[KPL]],REDOSLIJED!B:B,0)),MAX(REDOSLIJED!A:A)+1)</f>
        <v>45</v>
      </c>
      <c r="S680" s="9">
        <f>SUM($M$2:M680)</f>
        <v>23.120902777777715</v>
      </c>
      <c r="T680" s="3">
        <f>PlanMasine[[#This Row],[Datum SAS]]-1</f>
        <v>45837</v>
      </c>
      <c r="U680">
        <f>WEEKDAY(PlanMasine[[#This Row],[ZAVRŠETAK MAŠINSKE]],2)</f>
        <v>7</v>
      </c>
      <c r="V680" s="3">
        <f>IF(WEEKDAY(PlanMasine[[#This Row],[Datum SAS]]-1,2)=7,PlanMasine[[#This Row],[Datum SAS]]-3,PlanMasine[[#This Row],[Datum SAS]]-1)</f>
        <v>45835</v>
      </c>
      <c r="W680">
        <f>WEEKNUM(PlanMasine[[#This Row],[Column2]],1)</f>
        <v>26</v>
      </c>
    </row>
    <row r="681" spans="1:23" x14ac:dyDescent="0.35">
      <c r="A681">
        <v>1020857</v>
      </c>
      <c r="B681">
        <v>1</v>
      </c>
      <c r="C681">
        <v>1020866</v>
      </c>
      <c r="D681" t="s">
        <v>1769</v>
      </c>
      <c r="E681">
        <v>30</v>
      </c>
      <c r="F681">
        <v>2</v>
      </c>
      <c r="G681">
        <v>0</v>
      </c>
      <c r="H681">
        <v>0</v>
      </c>
      <c r="I681" t="s">
        <v>24</v>
      </c>
      <c r="J681" t="s">
        <v>597</v>
      </c>
      <c r="K681" t="s">
        <v>2030</v>
      </c>
      <c r="L681" s="3">
        <v>45869</v>
      </c>
      <c r="M681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1.0416666666666666E-2</v>
      </c>
      <c r="N681" s="3">
        <v>45838</v>
      </c>
      <c r="O681" s="5">
        <f>IFERROR((PlanMasine[[#This Row],[Norma]]/PlanMasine[[#This Row],[Q]])*(PlanMasine[[#This Row],[Q]]/SUMIF(C:C,PlanMasine[[#This Row],[RN]],B:B)*PlanMasine[[#This Row],[KPLQ]]),0)</f>
        <v>15</v>
      </c>
      <c r="P681">
        <v>137862</v>
      </c>
      <c r="Q681">
        <f>COUNTIF(PROMJENA!A:A,PlanMasine[[#This Row],[KPL]]&amp;"-"&amp;PlanMasine[[#This Row],[RN]])</f>
        <v>0</v>
      </c>
      <c r="R681">
        <f>IFERROR(INDEX(REDOSLIJED!A:A,MATCH(PlanMasine[[#This Row],[KPL]],REDOSLIJED!B:B,0)),MAX(REDOSLIJED!A:A)+1)</f>
        <v>45</v>
      </c>
      <c r="S681" s="9">
        <f>SUM($M$2:M681)</f>
        <v>23.131319444444383</v>
      </c>
      <c r="T681" s="3">
        <f>PlanMasine[[#This Row],[Datum SAS]]-1</f>
        <v>45837</v>
      </c>
      <c r="U681">
        <f>WEEKDAY(PlanMasine[[#This Row],[ZAVRŠETAK MAŠINSKE]],2)</f>
        <v>7</v>
      </c>
      <c r="V681" s="3">
        <f>IF(WEEKDAY(PlanMasine[[#This Row],[Datum SAS]]-1,2)=7,PlanMasine[[#This Row],[Datum SAS]]-3,PlanMasine[[#This Row],[Datum SAS]]-1)</f>
        <v>45835</v>
      </c>
      <c r="W681">
        <f>WEEKNUM(PlanMasine[[#This Row],[Column2]],1)</f>
        <v>26</v>
      </c>
    </row>
    <row r="682" spans="1:23" x14ac:dyDescent="0.35">
      <c r="A682">
        <v>1020857</v>
      </c>
      <c r="B682">
        <v>1</v>
      </c>
      <c r="C682">
        <v>1020867</v>
      </c>
      <c r="D682" t="s">
        <v>1768</v>
      </c>
      <c r="E682">
        <v>30</v>
      </c>
      <c r="F682">
        <v>2</v>
      </c>
      <c r="G682">
        <v>0</v>
      </c>
      <c r="H682">
        <v>0</v>
      </c>
      <c r="I682" t="s">
        <v>24</v>
      </c>
      <c r="J682" t="s">
        <v>597</v>
      </c>
      <c r="K682" t="s">
        <v>2030</v>
      </c>
      <c r="L682" s="3">
        <v>45869</v>
      </c>
      <c r="M682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1.0416666666666666E-2</v>
      </c>
      <c r="N682" s="3">
        <v>45838</v>
      </c>
      <c r="O682" s="5">
        <f>IFERROR((PlanMasine[[#This Row],[Norma]]/PlanMasine[[#This Row],[Q]])*(PlanMasine[[#This Row],[Q]]/SUMIF(C:C,PlanMasine[[#This Row],[RN]],B:B)*PlanMasine[[#This Row],[KPLQ]]),0)</f>
        <v>15</v>
      </c>
      <c r="P682">
        <v>137863</v>
      </c>
      <c r="Q682">
        <f>COUNTIF(PROMJENA!A:A,PlanMasine[[#This Row],[KPL]]&amp;"-"&amp;PlanMasine[[#This Row],[RN]])</f>
        <v>0</v>
      </c>
      <c r="R682">
        <f>IFERROR(INDEX(REDOSLIJED!A:A,MATCH(PlanMasine[[#This Row],[KPL]],REDOSLIJED!B:B,0)),MAX(REDOSLIJED!A:A)+1)</f>
        <v>45</v>
      </c>
      <c r="S682" s="9">
        <f>SUM($M$2:M682)</f>
        <v>23.141736111111051</v>
      </c>
      <c r="T682" s="3">
        <f>PlanMasine[[#This Row],[Datum SAS]]-1</f>
        <v>45837</v>
      </c>
      <c r="U682">
        <f>WEEKDAY(PlanMasine[[#This Row],[ZAVRŠETAK MAŠINSKE]],2)</f>
        <v>7</v>
      </c>
      <c r="V682" s="3">
        <f>IF(WEEKDAY(PlanMasine[[#This Row],[Datum SAS]]-1,2)=7,PlanMasine[[#This Row],[Datum SAS]]-3,PlanMasine[[#This Row],[Datum SAS]]-1)</f>
        <v>45835</v>
      </c>
      <c r="W682">
        <f>WEEKNUM(PlanMasine[[#This Row],[Column2]],1)</f>
        <v>26</v>
      </c>
    </row>
    <row r="683" spans="1:23" x14ac:dyDescent="0.35">
      <c r="A683">
        <v>1020858</v>
      </c>
      <c r="B683">
        <v>1</v>
      </c>
      <c r="C683">
        <v>1020867</v>
      </c>
      <c r="D683" t="s">
        <v>1768</v>
      </c>
      <c r="E683">
        <v>30</v>
      </c>
      <c r="F683">
        <v>2</v>
      </c>
      <c r="G683">
        <v>0</v>
      </c>
      <c r="H683">
        <v>0</v>
      </c>
      <c r="I683" t="s">
        <v>24</v>
      </c>
      <c r="J683" t="s">
        <v>597</v>
      </c>
      <c r="K683" t="s">
        <v>2030</v>
      </c>
      <c r="L683" s="3">
        <v>45869</v>
      </c>
      <c r="M683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1.0416666666666666E-2</v>
      </c>
      <c r="N683" s="3">
        <v>45838</v>
      </c>
      <c r="O683" s="5">
        <f>IFERROR((PlanMasine[[#This Row],[Norma]]/PlanMasine[[#This Row],[Q]])*(PlanMasine[[#This Row],[Q]]/SUMIF(C:C,PlanMasine[[#This Row],[RN]],B:B)*PlanMasine[[#This Row],[KPLQ]]),0)</f>
        <v>15</v>
      </c>
      <c r="P683">
        <v>137863</v>
      </c>
      <c r="Q683">
        <f>COUNTIF(PROMJENA!A:A,PlanMasine[[#This Row],[KPL]]&amp;"-"&amp;PlanMasine[[#This Row],[RN]])</f>
        <v>0</v>
      </c>
      <c r="R683">
        <f>IFERROR(INDEX(REDOSLIJED!A:A,MATCH(PlanMasine[[#This Row],[KPL]],REDOSLIJED!B:B,0)),MAX(REDOSLIJED!A:A)+1)</f>
        <v>45</v>
      </c>
      <c r="S683" s="9">
        <f>SUM($M$2:M683)</f>
        <v>23.152152777777719</v>
      </c>
      <c r="T683" s="3">
        <f>PlanMasine[[#This Row],[Datum SAS]]-1</f>
        <v>45837</v>
      </c>
      <c r="U683">
        <f>WEEKDAY(PlanMasine[[#This Row],[ZAVRŠETAK MAŠINSKE]],2)</f>
        <v>7</v>
      </c>
      <c r="V683" s="3">
        <f>IF(WEEKDAY(PlanMasine[[#This Row],[Datum SAS]]-1,2)=7,PlanMasine[[#This Row],[Datum SAS]]-3,PlanMasine[[#This Row],[Datum SAS]]-1)</f>
        <v>45835</v>
      </c>
      <c r="W683">
        <f>WEEKNUM(PlanMasine[[#This Row],[Column2]],1)</f>
        <v>26</v>
      </c>
    </row>
    <row r="684" spans="1:23" x14ac:dyDescent="0.35">
      <c r="A684">
        <v>1020858</v>
      </c>
      <c r="B684">
        <v>1</v>
      </c>
      <c r="C684">
        <v>1020868</v>
      </c>
      <c r="D684" t="s">
        <v>1454</v>
      </c>
      <c r="E684">
        <v>26</v>
      </c>
      <c r="F684">
        <v>2</v>
      </c>
      <c r="G684">
        <v>0</v>
      </c>
      <c r="H684">
        <v>0</v>
      </c>
      <c r="I684" t="s">
        <v>24</v>
      </c>
      <c r="J684" t="s">
        <v>597</v>
      </c>
      <c r="K684" t="s">
        <v>2030</v>
      </c>
      <c r="L684" s="3">
        <v>45869</v>
      </c>
      <c r="M684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9.0277777777777769E-3</v>
      </c>
      <c r="N684" s="3">
        <v>45838</v>
      </c>
      <c r="O684" s="5">
        <f>IFERROR((PlanMasine[[#This Row],[Norma]]/PlanMasine[[#This Row],[Q]])*(PlanMasine[[#This Row],[Q]]/SUMIF(C:C,PlanMasine[[#This Row],[RN]],B:B)*PlanMasine[[#This Row],[KPLQ]]),0)</f>
        <v>13</v>
      </c>
      <c r="P684">
        <v>137864</v>
      </c>
      <c r="Q684">
        <f>COUNTIF(PROMJENA!A:A,PlanMasine[[#This Row],[KPL]]&amp;"-"&amp;PlanMasine[[#This Row],[RN]])</f>
        <v>0</v>
      </c>
      <c r="R684">
        <f>IFERROR(INDEX(REDOSLIJED!A:A,MATCH(PlanMasine[[#This Row],[KPL]],REDOSLIJED!B:B,0)),MAX(REDOSLIJED!A:A)+1)</f>
        <v>45</v>
      </c>
      <c r="S684" s="9">
        <f>SUM($M$2:M684)</f>
        <v>23.161180555555497</v>
      </c>
      <c r="T684" s="3">
        <f>PlanMasine[[#This Row],[Datum SAS]]-1</f>
        <v>45837</v>
      </c>
      <c r="U684">
        <f>WEEKDAY(PlanMasine[[#This Row],[ZAVRŠETAK MAŠINSKE]],2)</f>
        <v>7</v>
      </c>
      <c r="V684" s="3">
        <f>IF(WEEKDAY(PlanMasine[[#This Row],[Datum SAS]]-1,2)=7,PlanMasine[[#This Row],[Datum SAS]]-3,PlanMasine[[#This Row],[Datum SAS]]-1)</f>
        <v>45835</v>
      </c>
      <c r="W684">
        <f>WEEKNUM(PlanMasine[[#This Row],[Column2]],1)</f>
        <v>26</v>
      </c>
    </row>
    <row r="685" spans="1:23" x14ac:dyDescent="0.35">
      <c r="A685">
        <v>1020858</v>
      </c>
      <c r="B685">
        <v>1</v>
      </c>
      <c r="C685">
        <v>1020869</v>
      </c>
      <c r="D685" t="s">
        <v>1453</v>
      </c>
      <c r="E685">
        <v>30</v>
      </c>
      <c r="F685">
        <v>2</v>
      </c>
      <c r="G685">
        <v>0</v>
      </c>
      <c r="H685">
        <v>0</v>
      </c>
      <c r="I685" t="s">
        <v>24</v>
      </c>
      <c r="J685" t="s">
        <v>597</v>
      </c>
      <c r="K685" t="s">
        <v>2030</v>
      </c>
      <c r="L685" s="3">
        <v>45869</v>
      </c>
      <c r="M685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1.0416666666666666E-2</v>
      </c>
      <c r="N685" s="3">
        <v>45838</v>
      </c>
      <c r="O685" s="5">
        <f>IFERROR((PlanMasine[[#This Row],[Norma]]/PlanMasine[[#This Row],[Q]])*(PlanMasine[[#This Row],[Q]]/SUMIF(C:C,PlanMasine[[#This Row],[RN]],B:B)*PlanMasine[[#This Row],[KPLQ]]),0)</f>
        <v>15</v>
      </c>
      <c r="P685">
        <v>137865</v>
      </c>
      <c r="Q685">
        <f>COUNTIF(PROMJENA!A:A,PlanMasine[[#This Row],[KPL]]&amp;"-"&amp;PlanMasine[[#This Row],[RN]])</f>
        <v>0</v>
      </c>
      <c r="R685">
        <f>IFERROR(INDEX(REDOSLIJED!A:A,MATCH(PlanMasine[[#This Row],[KPL]],REDOSLIJED!B:B,0)),MAX(REDOSLIJED!A:A)+1)</f>
        <v>45</v>
      </c>
      <c r="S685" s="9">
        <f>SUM($M$2:M685)</f>
        <v>23.171597222222164</v>
      </c>
      <c r="T685" s="3">
        <f>PlanMasine[[#This Row],[Datum SAS]]-1</f>
        <v>45837</v>
      </c>
      <c r="U685">
        <f>WEEKDAY(PlanMasine[[#This Row],[ZAVRŠETAK MAŠINSKE]],2)</f>
        <v>7</v>
      </c>
      <c r="V685" s="3">
        <f>IF(WEEKDAY(PlanMasine[[#This Row],[Datum SAS]]-1,2)=7,PlanMasine[[#This Row],[Datum SAS]]-3,PlanMasine[[#This Row],[Datum SAS]]-1)</f>
        <v>45835</v>
      </c>
      <c r="W685">
        <f>WEEKNUM(PlanMasine[[#This Row],[Column2]],1)</f>
        <v>26</v>
      </c>
    </row>
    <row r="686" spans="1:23" x14ac:dyDescent="0.35">
      <c r="A686">
        <v>1020858</v>
      </c>
      <c r="B686">
        <v>1</v>
      </c>
      <c r="C686">
        <v>1020884</v>
      </c>
      <c r="D686" t="s">
        <v>1964</v>
      </c>
      <c r="E686">
        <v>120</v>
      </c>
      <c r="F686">
        <v>4</v>
      </c>
      <c r="G686">
        <v>0</v>
      </c>
      <c r="H686">
        <v>0</v>
      </c>
      <c r="I686" t="s">
        <v>24</v>
      </c>
      <c r="J686" t="s">
        <v>597</v>
      </c>
      <c r="K686" t="s">
        <v>2030</v>
      </c>
      <c r="L686" s="3">
        <v>45869</v>
      </c>
      <c r="M686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4.1666666666666664E-2</v>
      </c>
      <c r="N686" s="3">
        <v>45838</v>
      </c>
      <c r="O686" s="5">
        <f>IFERROR((PlanMasine[[#This Row],[Norma]]/PlanMasine[[#This Row],[Q]])*(PlanMasine[[#This Row],[Q]]/SUMIF(C:C,PlanMasine[[#This Row],[RN]],B:B)*PlanMasine[[#This Row],[KPLQ]]),0)</f>
        <v>60</v>
      </c>
      <c r="P686">
        <v>137880</v>
      </c>
      <c r="Q686">
        <f>COUNTIF(PROMJENA!A:A,PlanMasine[[#This Row],[KPL]]&amp;"-"&amp;PlanMasine[[#This Row],[RN]])</f>
        <v>0</v>
      </c>
      <c r="R686">
        <f>IFERROR(INDEX(REDOSLIJED!A:A,MATCH(PlanMasine[[#This Row],[KPL]],REDOSLIJED!B:B,0)),MAX(REDOSLIJED!A:A)+1)</f>
        <v>45</v>
      </c>
      <c r="S686" s="9">
        <f>SUM($M$2:M686)</f>
        <v>23.213263888888832</v>
      </c>
      <c r="T686" s="3">
        <f>PlanMasine[[#This Row],[Datum SAS]]-1</f>
        <v>45837</v>
      </c>
      <c r="U686">
        <f>WEEKDAY(PlanMasine[[#This Row],[ZAVRŠETAK MAŠINSKE]],2)</f>
        <v>7</v>
      </c>
      <c r="V686" s="3">
        <f>IF(WEEKDAY(PlanMasine[[#This Row],[Datum SAS]]-1,2)=7,PlanMasine[[#This Row],[Datum SAS]]-3,PlanMasine[[#This Row],[Datum SAS]]-1)</f>
        <v>45835</v>
      </c>
      <c r="W686">
        <f>WEEKNUM(PlanMasine[[#This Row],[Column2]],1)</f>
        <v>26</v>
      </c>
    </row>
    <row r="687" spans="1:23" x14ac:dyDescent="0.35">
      <c r="A687">
        <v>1020858</v>
      </c>
      <c r="B687">
        <v>1</v>
      </c>
      <c r="C687">
        <v>1020866</v>
      </c>
      <c r="D687" t="s">
        <v>1769</v>
      </c>
      <c r="E687">
        <v>30</v>
      </c>
      <c r="F687">
        <v>2</v>
      </c>
      <c r="G687">
        <v>0</v>
      </c>
      <c r="H687">
        <v>0</v>
      </c>
      <c r="I687" t="s">
        <v>24</v>
      </c>
      <c r="J687" t="s">
        <v>597</v>
      </c>
      <c r="K687" t="s">
        <v>2030</v>
      </c>
      <c r="L687" s="3">
        <v>45869</v>
      </c>
      <c r="M687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1.0416666666666666E-2</v>
      </c>
      <c r="N687" s="3">
        <v>45838</v>
      </c>
      <c r="O687" s="5">
        <f>IFERROR((PlanMasine[[#This Row],[Norma]]/PlanMasine[[#This Row],[Q]])*(PlanMasine[[#This Row],[Q]]/SUMIF(C:C,PlanMasine[[#This Row],[RN]],B:B)*PlanMasine[[#This Row],[KPLQ]]),0)</f>
        <v>15</v>
      </c>
      <c r="P687">
        <v>137862</v>
      </c>
      <c r="Q687">
        <f>COUNTIF(PROMJENA!A:A,PlanMasine[[#This Row],[KPL]]&amp;"-"&amp;PlanMasine[[#This Row],[RN]])</f>
        <v>0</v>
      </c>
      <c r="R687">
        <f>IFERROR(INDEX(REDOSLIJED!A:A,MATCH(PlanMasine[[#This Row],[KPL]],REDOSLIJED!B:B,0)),MAX(REDOSLIJED!A:A)+1)</f>
        <v>45</v>
      </c>
      <c r="S687" s="9">
        <f>SUM($M$2:M687)</f>
        <v>23.2236805555555</v>
      </c>
      <c r="T687" s="3">
        <f>PlanMasine[[#This Row],[Datum SAS]]-1</f>
        <v>45837</v>
      </c>
      <c r="U687">
        <f>WEEKDAY(PlanMasine[[#This Row],[ZAVRŠETAK MAŠINSKE]],2)</f>
        <v>7</v>
      </c>
      <c r="V687" s="3">
        <f>IF(WEEKDAY(PlanMasine[[#This Row],[Datum SAS]]-1,2)=7,PlanMasine[[#This Row],[Datum SAS]]-3,PlanMasine[[#This Row],[Datum SAS]]-1)</f>
        <v>45835</v>
      </c>
      <c r="W687">
        <f>WEEKNUM(PlanMasine[[#This Row],[Column2]],1)</f>
        <v>26</v>
      </c>
    </row>
    <row r="688" spans="1:23" x14ac:dyDescent="0.35">
      <c r="A688">
        <v>1020994</v>
      </c>
      <c r="B688">
        <v>12</v>
      </c>
      <c r="C688">
        <v>1021000</v>
      </c>
      <c r="D688" t="s">
        <v>624</v>
      </c>
      <c r="E688">
        <v>480</v>
      </c>
      <c r="F688">
        <v>12</v>
      </c>
      <c r="G688">
        <v>0</v>
      </c>
      <c r="H688">
        <v>0</v>
      </c>
      <c r="I688" t="s">
        <v>24</v>
      </c>
      <c r="J688" t="s">
        <v>597</v>
      </c>
      <c r="K688" t="s">
        <v>2031</v>
      </c>
      <c r="L688" s="3">
        <v>45869</v>
      </c>
      <c r="M688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0.33333333333333331</v>
      </c>
      <c r="N688" s="3">
        <v>45838</v>
      </c>
      <c r="O688" s="5">
        <f>IFERROR((PlanMasine[[#This Row],[Norma]]/PlanMasine[[#This Row],[Q]])*(PlanMasine[[#This Row],[Q]]/SUMIF(C:C,PlanMasine[[#This Row],[RN]],B:B)*PlanMasine[[#This Row],[KPLQ]]),0)</f>
        <v>480</v>
      </c>
      <c r="P688">
        <v>131783</v>
      </c>
      <c r="Q688">
        <f>COUNTIF(PROMJENA!A:A,PlanMasine[[#This Row],[KPL]]&amp;"-"&amp;PlanMasine[[#This Row],[RN]])</f>
        <v>0</v>
      </c>
      <c r="R688">
        <f>IFERROR(INDEX(REDOSLIJED!A:A,MATCH(PlanMasine[[#This Row],[KPL]],REDOSLIJED!B:B,0)),MAX(REDOSLIJED!A:A)+1)</f>
        <v>45</v>
      </c>
      <c r="S688" s="9">
        <f>SUM($M$2:M688)</f>
        <v>23.557013888888832</v>
      </c>
      <c r="T688" s="3">
        <f>PlanMasine[[#This Row],[Datum SAS]]-1</f>
        <v>45837</v>
      </c>
      <c r="U688">
        <f>WEEKDAY(PlanMasine[[#This Row],[ZAVRŠETAK MAŠINSKE]],2)</f>
        <v>7</v>
      </c>
      <c r="V688" s="3">
        <f>IF(WEEKDAY(PlanMasine[[#This Row],[Datum SAS]]-1,2)=7,PlanMasine[[#This Row],[Datum SAS]]-3,PlanMasine[[#This Row],[Datum SAS]]-1)</f>
        <v>45835</v>
      </c>
      <c r="W688">
        <f>WEEKNUM(PlanMasine[[#This Row],[Column2]],1)</f>
        <v>26</v>
      </c>
    </row>
    <row r="689" spans="1:23" x14ac:dyDescent="0.35">
      <c r="A689">
        <v>1020994</v>
      </c>
      <c r="B689">
        <v>12</v>
      </c>
      <c r="C689">
        <v>1020999</v>
      </c>
      <c r="D689" t="s">
        <v>656</v>
      </c>
      <c r="E689">
        <v>420</v>
      </c>
      <c r="F689">
        <v>12</v>
      </c>
      <c r="G689">
        <v>0</v>
      </c>
      <c r="H689">
        <v>0</v>
      </c>
      <c r="I689" t="s">
        <v>24</v>
      </c>
      <c r="J689" t="s">
        <v>597</v>
      </c>
      <c r="K689" t="s">
        <v>2031</v>
      </c>
      <c r="L689" s="3">
        <v>45869</v>
      </c>
      <c r="M689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0.29166666666666669</v>
      </c>
      <c r="N689" s="3">
        <v>45838</v>
      </c>
      <c r="O689" s="5">
        <f>IFERROR((PlanMasine[[#This Row],[Norma]]/PlanMasine[[#This Row],[Q]])*(PlanMasine[[#This Row],[Q]]/SUMIF(C:C,PlanMasine[[#This Row],[RN]],B:B)*PlanMasine[[#This Row],[KPLQ]]),0)</f>
        <v>420</v>
      </c>
      <c r="P689">
        <v>131782</v>
      </c>
      <c r="Q689">
        <f>COUNTIF(PROMJENA!A:A,PlanMasine[[#This Row],[KPL]]&amp;"-"&amp;PlanMasine[[#This Row],[RN]])</f>
        <v>0</v>
      </c>
      <c r="R689">
        <f>IFERROR(INDEX(REDOSLIJED!A:A,MATCH(PlanMasine[[#This Row],[KPL]],REDOSLIJED!B:B,0)),MAX(REDOSLIJED!A:A)+1)</f>
        <v>45</v>
      </c>
      <c r="S689" s="9">
        <f>SUM($M$2:M689)</f>
        <v>23.8486805555555</v>
      </c>
      <c r="T689" s="3">
        <f>PlanMasine[[#This Row],[Datum SAS]]-1</f>
        <v>45837</v>
      </c>
      <c r="U689">
        <f>WEEKDAY(PlanMasine[[#This Row],[ZAVRŠETAK MAŠINSKE]],2)</f>
        <v>7</v>
      </c>
      <c r="V689" s="3">
        <f>IF(WEEKDAY(PlanMasine[[#This Row],[Datum SAS]]-1,2)=7,PlanMasine[[#This Row],[Datum SAS]]-3,PlanMasine[[#This Row],[Datum SAS]]-1)</f>
        <v>45835</v>
      </c>
      <c r="W689">
        <f>WEEKNUM(PlanMasine[[#This Row],[Column2]],1)</f>
        <v>26</v>
      </c>
    </row>
    <row r="690" spans="1:23" x14ac:dyDescent="0.35">
      <c r="A690">
        <v>1021055</v>
      </c>
      <c r="B690">
        <v>8</v>
      </c>
      <c r="C690">
        <v>1021060</v>
      </c>
      <c r="D690" t="s">
        <v>656</v>
      </c>
      <c r="E690">
        <v>280</v>
      </c>
      <c r="F690">
        <v>8</v>
      </c>
      <c r="G690">
        <v>0</v>
      </c>
      <c r="H690">
        <v>0</v>
      </c>
      <c r="I690" t="s">
        <v>24</v>
      </c>
      <c r="J690" t="s">
        <v>597</v>
      </c>
      <c r="K690" t="s">
        <v>2032</v>
      </c>
      <c r="L690" s="3">
        <v>45869</v>
      </c>
      <c r="M690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0.19444444444444445</v>
      </c>
      <c r="N690" s="3">
        <v>45838</v>
      </c>
      <c r="O690" s="5">
        <f>IFERROR((PlanMasine[[#This Row],[Norma]]/PlanMasine[[#This Row],[Q]])*(PlanMasine[[#This Row],[Q]]/SUMIF(C:C,PlanMasine[[#This Row],[RN]],B:B)*PlanMasine[[#This Row],[KPLQ]]),0)</f>
        <v>280</v>
      </c>
      <c r="P690">
        <v>131782</v>
      </c>
      <c r="Q690">
        <f>COUNTIF(PROMJENA!A:A,PlanMasine[[#This Row],[KPL]]&amp;"-"&amp;PlanMasine[[#This Row],[RN]])</f>
        <v>0</v>
      </c>
      <c r="R690">
        <f>IFERROR(INDEX(REDOSLIJED!A:A,MATCH(PlanMasine[[#This Row],[KPL]],REDOSLIJED!B:B,0)),MAX(REDOSLIJED!A:A)+1)</f>
        <v>45</v>
      </c>
      <c r="S690" s="9">
        <f>SUM($M$2:M690)</f>
        <v>24.043124999999943</v>
      </c>
      <c r="T690" s="3">
        <f>PlanMasine[[#This Row],[Datum SAS]]-1</f>
        <v>45837</v>
      </c>
      <c r="U690">
        <f>WEEKDAY(PlanMasine[[#This Row],[ZAVRŠETAK MAŠINSKE]],2)</f>
        <v>7</v>
      </c>
      <c r="V690" s="3">
        <f>IF(WEEKDAY(PlanMasine[[#This Row],[Datum SAS]]-1,2)=7,PlanMasine[[#This Row],[Datum SAS]]-3,PlanMasine[[#This Row],[Datum SAS]]-1)</f>
        <v>45835</v>
      </c>
      <c r="W690">
        <f>WEEKNUM(PlanMasine[[#This Row],[Column2]],1)</f>
        <v>26</v>
      </c>
    </row>
    <row r="691" spans="1:23" x14ac:dyDescent="0.35">
      <c r="A691">
        <v>1021055</v>
      </c>
      <c r="B691">
        <v>8</v>
      </c>
      <c r="C691">
        <v>1021061</v>
      </c>
      <c r="D691" t="s">
        <v>624</v>
      </c>
      <c r="E691">
        <v>320</v>
      </c>
      <c r="F691">
        <v>8</v>
      </c>
      <c r="G691">
        <v>0</v>
      </c>
      <c r="H691">
        <v>0</v>
      </c>
      <c r="I691" t="s">
        <v>24</v>
      </c>
      <c r="J691" t="s">
        <v>597</v>
      </c>
      <c r="K691" t="s">
        <v>2032</v>
      </c>
      <c r="L691" s="3">
        <v>45869</v>
      </c>
      <c r="M691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0.22222222222222221</v>
      </c>
      <c r="N691" s="3">
        <v>45838</v>
      </c>
      <c r="O691" s="5">
        <f>IFERROR((PlanMasine[[#This Row],[Norma]]/PlanMasine[[#This Row],[Q]])*(PlanMasine[[#This Row],[Q]]/SUMIF(C:C,PlanMasine[[#This Row],[RN]],B:B)*PlanMasine[[#This Row],[KPLQ]]),0)</f>
        <v>320</v>
      </c>
      <c r="P691">
        <v>131783</v>
      </c>
      <c r="Q691">
        <f>COUNTIF(PROMJENA!A:A,PlanMasine[[#This Row],[KPL]]&amp;"-"&amp;PlanMasine[[#This Row],[RN]])</f>
        <v>0</v>
      </c>
      <c r="R691">
        <f>IFERROR(INDEX(REDOSLIJED!A:A,MATCH(PlanMasine[[#This Row],[KPL]],REDOSLIJED!B:B,0)),MAX(REDOSLIJED!A:A)+1)</f>
        <v>45</v>
      </c>
      <c r="S691" s="9">
        <f>SUM($M$2:M691)</f>
        <v>24.265347222222164</v>
      </c>
      <c r="T691" s="3">
        <f>PlanMasine[[#This Row],[Datum SAS]]-1</f>
        <v>45837</v>
      </c>
      <c r="U691">
        <f>WEEKDAY(PlanMasine[[#This Row],[ZAVRŠETAK MAŠINSKE]],2)</f>
        <v>7</v>
      </c>
      <c r="V691" s="3">
        <f>IF(WEEKDAY(PlanMasine[[#This Row],[Datum SAS]]-1,2)=7,PlanMasine[[#This Row],[Datum SAS]]-3,PlanMasine[[#This Row],[Datum SAS]]-1)</f>
        <v>45835</v>
      </c>
      <c r="W691">
        <f>WEEKNUM(PlanMasine[[#This Row],[Column2]],1)</f>
        <v>26</v>
      </c>
    </row>
    <row r="692" spans="1:23" x14ac:dyDescent="0.35">
      <c r="A692">
        <v>1026465</v>
      </c>
      <c r="B692">
        <v>1</v>
      </c>
      <c r="C692">
        <v>1026496</v>
      </c>
      <c r="D692" t="s">
        <v>242</v>
      </c>
      <c r="E692">
        <v>30</v>
      </c>
      <c r="F692">
        <v>1</v>
      </c>
      <c r="G692">
        <v>0</v>
      </c>
      <c r="H692">
        <v>0</v>
      </c>
      <c r="I692" t="s">
        <v>24</v>
      </c>
      <c r="J692" t="s">
        <v>597</v>
      </c>
      <c r="K692" t="s">
        <v>2033</v>
      </c>
      <c r="L692" s="3">
        <v>45853</v>
      </c>
      <c r="M692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2.0833333333333332E-2</v>
      </c>
      <c r="N692" s="3">
        <v>45838</v>
      </c>
      <c r="O692" s="5">
        <f>IFERROR((PlanMasine[[#This Row],[Norma]]/PlanMasine[[#This Row],[Q]])*(PlanMasine[[#This Row],[Q]]/SUMIF(C:C,PlanMasine[[#This Row],[RN]],B:B)*PlanMasine[[#This Row],[KPLQ]]),0)</f>
        <v>30</v>
      </c>
      <c r="P692">
        <v>133531</v>
      </c>
      <c r="Q692">
        <f>COUNTIF(PROMJENA!A:A,PlanMasine[[#This Row],[KPL]]&amp;"-"&amp;PlanMasine[[#This Row],[RN]])</f>
        <v>0</v>
      </c>
      <c r="R692">
        <f>IFERROR(INDEX(REDOSLIJED!A:A,MATCH(PlanMasine[[#This Row],[KPL]],REDOSLIJED!B:B,0)),MAX(REDOSLIJED!A:A)+1)</f>
        <v>45</v>
      </c>
      <c r="S692" s="9">
        <f>SUM($M$2:M692)</f>
        <v>24.286180555555497</v>
      </c>
      <c r="T692" s="3">
        <f>PlanMasine[[#This Row],[Datum SAS]]-1</f>
        <v>45837</v>
      </c>
      <c r="U692">
        <f>WEEKDAY(PlanMasine[[#This Row],[ZAVRŠETAK MAŠINSKE]],2)</f>
        <v>7</v>
      </c>
      <c r="V692" s="3">
        <f>IF(WEEKDAY(PlanMasine[[#This Row],[Datum SAS]]-1,2)=7,PlanMasine[[#This Row],[Datum SAS]]-3,PlanMasine[[#This Row],[Datum SAS]]-1)</f>
        <v>45835</v>
      </c>
      <c r="W692">
        <f>WEEKNUM(PlanMasine[[#This Row],[Column2]],1)</f>
        <v>26</v>
      </c>
    </row>
    <row r="693" spans="1:23" x14ac:dyDescent="0.35">
      <c r="A693">
        <v>1026465</v>
      </c>
      <c r="B693">
        <v>1</v>
      </c>
      <c r="C693">
        <v>1026485</v>
      </c>
      <c r="D693" t="s">
        <v>1836</v>
      </c>
      <c r="E693">
        <v>10</v>
      </c>
      <c r="F693">
        <v>1</v>
      </c>
      <c r="G693">
        <v>0</v>
      </c>
      <c r="H693">
        <v>0</v>
      </c>
      <c r="I693" t="s">
        <v>24</v>
      </c>
      <c r="J693" t="s">
        <v>597</v>
      </c>
      <c r="K693" t="s">
        <v>2033</v>
      </c>
      <c r="L693" s="3">
        <v>45853</v>
      </c>
      <c r="M693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6.9444444444444441E-3</v>
      </c>
      <c r="N693" s="3">
        <v>45838</v>
      </c>
      <c r="O693" s="5">
        <f>IFERROR((PlanMasine[[#This Row],[Norma]]/PlanMasine[[#This Row],[Q]])*(PlanMasine[[#This Row],[Q]]/SUMIF(C:C,PlanMasine[[#This Row],[RN]],B:B)*PlanMasine[[#This Row],[KPLQ]]),0)</f>
        <v>10</v>
      </c>
      <c r="P693">
        <v>133520</v>
      </c>
      <c r="Q693">
        <f>COUNTIF(PROMJENA!A:A,PlanMasine[[#This Row],[KPL]]&amp;"-"&amp;PlanMasine[[#This Row],[RN]])</f>
        <v>0</v>
      </c>
      <c r="R693">
        <f>IFERROR(INDEX(REDOSLIJED!A:A,MATCH(PlanMasine[[#This Row],[KPL]],REDOSLIJED!B:B,0)),MAX(REDOSLIJED!A:A)+1)</f>
        <v>45</v>
      </c>
      <c r="S693" s="9">
        <f>SUM($M$2:M693)</f>
        <v>24.293124999999939</v>
      </c>
      <c r="T693" s="3">
        <f>PlanMasine[[#This Row],[Datum SAS]]-1</f>
        <v>45837</v>
      </c>
      <c r="U693">
        <f>WEEKDAY(PlanMasine[[#This Row],[ZAVRŠETAK MAŠINSKE]],2)</f>
        <v>7</v>
      </c>
      <c r="V693" s="3">
        <f>IF(WEEKDAY(PlanMasine[[#This Row],[Datum SAS]]-1,2)=7,PlanMasine[[#This Row],[Datum SAS]]-3,PlanMasine[[#This Row],[Datum SAS]]-1)</f>
        <v>45835</v>
      </c>
      <c r="W693">
        <f>WEEKNUM(PlanMasine[[#This Row],[Column2]],1)</f>
        <v>26</v>
      </c>
    </row>
    <row r="694" spans="1:23" x14ac:dyDescent="0.35">
      <c r="A694">
        <v>1026465</v>
      </c>
      <c r="B694">
        <v>1</v>
      </c>
      <c r="C694">
        <v>1026560</v>
      </c>
      <c r="D694" t="s">
        <v>2017</v>
      </c>
      <c r="E694">
        <v>35</v>
      </c>
      <c r="F694">
        <v>1</v>
      </c>
      <c r="G694">
        <v>0</v>
      </c>
      <c r="H694">
        <v>0</v>
      </c>
      <c r="I694" t="s">
        <v>24</v>
      </c>
      <c r="J694" t="s">
        <v>597</v>
      </c>
      <c r="K694" t="s">
        <v>2033</v>
      </c>
      <c r="L694" s="3">
        <v>45853</v>
      </c>
      <c r="M694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2.4305555555555556E-2</v>
      </c>
      <c r="N694" s="3">
        <v>45838</v>
      </c>
      <c r="O694" s="5">
        <f>IFERROR((PlanMasine[[#This Row],[Norma]]/PlanMasine[[#This Row],[Q]])*(PlanMasine[[#This Row],[Q]]/SUMIF(C:C,PlanMasine[[#This Row],[RN]],B:B)*PlanMasine[[#This Row],[KPLQ]]),0)</f>
        <v>35</v>
      </c>
      <c r="P694">
        <v>133592</v>
      </c>
      <c r="Q694">
        <f>COUNTIF(PROMJENA!A:A,PlanMasine[[#This Row],[KPL]]&amp;"-"&amp;PlanMasine[[#This Row],[RN]])</f>
        <v>0</v>
      </c>
      <c r="R694">
        <f>IFERROR(INDEX(REDOSLIJED!A:A,MATCH(PlanMasine[[#This Row],[KPL]],REDOSLIJED!B:B,0)),MAX(REDOSLIJED!A:A)+1)</f>
        <v>45</v>
      </c>
      <c r="S694" s="9">
        <f>SUM($M$2:M694)</f>
        <v>24.317430555555497</v>
      </c>
      <c r="T694" s="3">
        <f>PlanMasine[[#This Row],[Datum SAS]]-1</f>
        <v>45837</v>
      </c>
      <c r="U694">
        <f>WEEKDAY(PlanMasine[[#This Row],[ZAVRŠETAK MAŠINSKE]],2)</f>
        <v>7</v>
      </c>
      <c r="V694" s="3">
        <f>IF(WEEKDAY(PlanMasine[[#This Row],[Datum SAS]]-1,2)=7,PlanMasine[[#This Row],[Datum SAS]]-3,PlanMasine[[#This Row],[Datum SAS]]-1)</f>
        <v>45835</v>
      </c>
      <c r="W694">
        <f>WEEKNUM(PlanMasine[[#This Row],[Column2]],1)</f>
        <v>26</v>
      </c>
    </row>
    <row r="695" spans="1:23" x14ac:dyDescent="0.35">
      <c r="A695">
        <v>1026900</v>
      </c>
      <c r="B695">
        <v>1</v>
      </c>
      <c r="C695">
        <v>1026881</v>
      </c>
      <c r="D695" t="s">
        <v>243</v>
      </c>
      <c r="E695">
        <v>10</v>
      </c>
      <c r="F695">
        <v>1</v>
      </c>
      <c r="G695">
        <v>0</v>
      </c>
      <c r="H695">
        <v>0</v>
      </c>
      <c r="I695" t="s">
        <v>24</v>
      </c>
      <c r="J695" t="s">
        <v>597</v>
      </c>
      <c r="K695" t="s">
        <v>2034</v>
      </c>
      <c r="L695" s="3">
        <v>45847</v>
      </c>
      <c r="M695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6.9444444444444441E-3</v>
      </c>
      <c r="N695" s="3">
        <v>45838</v>
      </c>
      <c r="O695" s="5">
        <f>IFERROR((PlanMasine[[#This Row],[Norma]]/PlanMasine[[#This Row],[Q]])*(PlanMasine[[#This Row],[Q]]/SUMIF(C:C,PlanMasine[[#This Row],[RN]],B:B)*PlanMasine[[#This Row],[KPLQ]]),0)</f>
        <v>10</v>
      </c>
      <c r="P695">
        <v>155678</v>
      </c>
      <c r="Q695">
        <f>COUNTIF(PROMJENA!A:A,PlanMasine[[#This Row],[KPL]]&amp;"-"&amp;PlanMasine[[#This Row],[RN]])</f>
        <v>0</v>
      </c>
      <c r="R695">
        <f>IFERROR(INDEX(REDOSLIJED!A:A,MATCH(PlanMasine[[#This Row],[KPL]],REDOSLIJED!B:B,0)),MAX(REDOSLIJED!A:A)+1)</f>
        <v>45</v>
      </c>
      <c r="S695" s="9">
        <f>SUM($M$2:M695)</f>
        <v>24.324374999999939</v>
      </c>
      <c r="T695" s="3">
        <f>PlanMasine[[#This Row],[Datum SAS]]-1</f>
        <v>45837</v>
      </c>
      <c r="U695">
        <f>WEEKDAY(PlanMasine[[#This Row],[ZAVRŠETAK MAŠINSKE]],2)</f>
        <v>7</v>
      </c>
      <c r="V695" s="3">
        <f>IF(WEEKDAY(PlanMasine[[#This Row],[Datum SAS]]-1,2)=7,PlanMasine[[#This Row],[Datum SAS]]-3,PlanMasine[[#This Row],[Datum SAS]]-1)</f>
        <v>45835</v>
      </c>
      <c r="W695">
        <f>WEEKNUM(PlanMasine[[#This Row],[Column2]],1)</f>
        <v>26</v>
      </c>
    </row>
    <row r="696" spans="1:23" x14ac:dyDescent="0.35">
      <c r="A696">
        <v>1026900</v>
      </c>
      <c r="B696">
        <v>1</v>
      </c>
      <c r="C696">
        <v>1026895</v>
      </c>
      <c r="D696" t="s">
        <v>239</v>
      </c>
      <c r="E696">
        <v>10</v>
      </c>
      <c r="F696">
        <v>1</v>
      </c>
      <c r="G696">
        <v>0</v>
      </c>
      <c r="H696">
        <v>0</v>
      </c>
      <c r="I696" t="s">
        <v>24</v>
      </c>
      <c r="J696" t="s">
        <v>597</v>
      </c>
      <c r="K696" t="s">
        <v>2034</v>
      </c>
      <c r="L696" s="3">
        <v>45847</v>
      </c>
      <c r="M696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6.9444444444444441E-3</v>
      </c>
      <c r="N696" s="3">
        <v>45838</v>
      </c>
      <c r="O696" s="5">
        <f>IFERROR((PlanMasine[[#This Row],[Norma]]/PlanMasine[[#This Row],[Q]])*(PlanMasine[[#This Row],[Q]]/SUMIF(C:C,PlanMasine[[#This Row],[RN]],B:B)*PlanMasine[[#This Row],[KPLQ]]),0)</f>
        <v>10</v>
      </c>
      <c r="P696">
        <v>155692</v>
      </c>
      <c r="Q696">
        <f>COUNTIF(PROMJENA!A:A,PlanMasine[[#This Row],[KPL]]&amp;"-"&amp;PlanMasine[[#This Row],[RN]])</f>
        <v>0</v>
      </c>
      <c r="R696">
        <f>IFERROR(INDEX(REDOSLIJED!A:A,MATCH(PlanMasine[[#This Row],[KPL]],REDOSLIJED!B:B,0)),MAX(REDOSLIJED!A:A)+1)</f>
        <v>45</v>
      </c>
      <c r="S696" s="9">
        <f>SUM($M$2:M696)</f>
        <v>24.331319444444382</v>
      </c>
      <c r="T696" s="3">
        <f>PlanMasine[[#This Row],[Datum SAS]]-1</f>
        <v>45837</v>
      </c>
      <c r="U696">
        <f>WEEKDAY(PlanMasine[[#This Row],[ZAVRŠETAK MAŠINSKE]],2)</f>
        <v>7</v>
      </c>
      <c r="V696" s="3">
        <f>IF(WEEKDAY(PlanMasine[[#This Row],[Datum SAS]]-1,2)=7,PlanMasine[[#This Row],[Datum SAS]]-3,PlanMasine[[#This Row],[Datum SAS]]-1)</f>
        <v>45835</v>
      </c>
      <c r="W696">
        <f>WEEKNUM(PlanMasine[[#This Row],[Column2]],1)</f>
        <v>26</v>
      </c>
    </row>
    <row r="697" spans="1:23" x14ac:dyDescent="0.35">
      <c r="A697">
        <v>1026928</v>
      </c>
      <c r="B697">
        <v>1</v>
      </c>
      <c r="C697">
        <v>1026923</v>
      </c>
      <c r="D697" t="s">
        <v>239</v>
      </c>
      <c r="E697">
        <v>10</v>
      </c>
      <c r="F697">
        <v>1</v>
      </c>
      <c r="G697">
        <v>0</v>
      </c>
      <c r="H697">
        <v>0</v>
      </c>
      <c r="I697" t="s">
        <v>24</v>
      </c>
      <c r="J697" t="s">
        <v>597</v>
      </c>
      <c r="K697" t="s">
        <v>2035</v>
      </c>
      <c r="L697" s="3">
        <v>45849</v>
      </c>
      <c r="M697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6.9444444444444441E-3</v>
      </c>
      <c r="N697" s="3">
        <v>45839</v>
      </c>
      <c r="O697" s="5">
        <f>IFERROR((PlanMasine[[#This Row],[Norma]]/PlanMasine[[#This Row],[Q]])*(PlanMasine[[#This Row],[Q]]/SUMIF(C:C,PlanMasine[[#This Row],[RN]],B:B)*PlanMasine[[#This Row],[KPLQ]]),0)</f>
        <v>10</v>
      </c>
      <c r="P697">
        <v>155692</v>
      </c>
      <c r="Q697">
        <f>COUNTIF(PROMJENA!A:A,PlanMasine[[#This Row],[KPL]]&amp;"-"&amp;PlanMasine[[#This Row],[RN]])</f>
        <v>0</v>
      </c>
      <c r="R697">
        <f>IFERROR(INDEX(REDOSLIJED!A:A,MATCH(PlanMasine[[#This Row],[KPL]],REDOSLIJED!B:B,0)),MAX(REDOSLIJED!A:A)+1)</f>
        <v>45</v>
      </c>
      <c r="S697" s="9">
        <f>SUM($M$2:M697)</f>
        <v>24.338263888888825</v>
      </c>
      <c r="T697" s="3">
        <f>PlanMasine[[#This Row],[Datum SAS]]-1</f>
        <v>45838</v>
      </c>
      <c r="U697">
        <f>WEEKDAY(PlanMasine[[#This Row],[ZAVRŠETAK MAŠINSKE]],2)</f>
        <v>1</v>
      </c>
      <c r="V697" s="3">
        <f>IF(WEEKDAY(PlanMasine[[#This Row],[Datum SAS]]-1,2)=7,PlanMasine[[#This Row],[Datum SAS]]-3,PlanMasine[[#This Row],[Datum SAS]]-1)</f>
        <v>45838</v>
      </c>
      <c r="W697">
        <f>WEEKNUM(PlanMasine[[#This Row],[Column2]],1)</f>
        <v>27</v>
      </c>
    </row>
    <row r="698" spans="1:23" x14ac:dyDescent="0.35">
      <c r="A698">
        <v>1026928</v>
      </c>
      <c r="B698">
        <v>1</v>
      </c>
      <c r="C698">
        <v>1026909</v>
      </c>
      <c r="D698" t="s">
        <v>243</v>
      </c>
      <c r="E698">
        <v>10</v>
      </c>
      <c r="F698">
        <v>1</v>
      </c>
      <c r="G698">
        <v>0</v>
      </c>
      <c r="H698">
        <v>0</v>
      </c>
      <c r="I698" t="s">
        <v>24</v>
      </c>
      <c r="J698" t="s">
        <v>597</v>
      </c>
      <c r="K698" t="s">
        <v>2035</v>
      </c>
      <c r="L698" s="3">
        <v>45849</v>
      </c>
      <c r="M698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6.9444444444444441E-3</v>
      </c>
      <c r="N698" s="3">
        <v>45839</v>
      </c>
      <c r="O698" s="5">
        <f>IFERROR((PlanMasine[[#This Row],[Norma]]/PlanMasine[[#This Row],[Q]])*(PlanMasine[[#This Row],[Q]]/SUMIF(C:C,PlanMasine[[#This Row],[RN]],B:B)*PlanMasine[[#This Row],[KPLQ]]),0)</f>
        <v>10</v>
      </c>
      <c r="P698">
        <v>155678</v>
      </c>
      <c r="Q698">
        <f>COUNTIF(PROMJENA!A:A,PlanMasine[[#This Row],[KPL]]&amp;"-"&amp;PlanMasine[[#This Row],[RN]])</f>
        <v>0</v>
      </c>
      <c r="R698">
        <f>IFERROR(INDEX(REDOSLIJED!A:A,MATCH(PlanMasine[[#This Row],[KPL]],REDOSLIJED!B:B,0)),MAX(REDOSLIJED!A:A)+1)</f>
        <v>45</v>
      </c>
      <c r="S698" s="9">
        <f>SUM($M$2:M698)</f>
        <v>24.345208333333268</v>
      </c>
      <c r="T698" s="3">
        <f>PlanMasine[[#This Row],[Datum SAS]]-1</f>
        <v>45838</v>
      </c>
      <c r="U698">
        <f>WEEKDAY(PlanMasine[[#This Row],[ZAVRŠETAK MAŠINSKE]],2)</f>
        <v>1</v>
      </c>
      <c r="V698" s="3">
        <f>IF(WEEKDAY(PlanMasine[[#This Row],[Datum SAS]]-1,2)=7,PlanMasine[[#This Row],[Datum SAS]]-3,PlanMasine[[#This Row],[Datum SAS]]-1)</f>
        <v>45838</v>
      </c>
      <c r="W698">
        <f>WEEKNUM(PlanMasine[[#This Row],[Column2]],1)</f>
        <v>27</v>
      </c>
    </row>
    <row r="699" spans="1:23" x14ac:dyDescent="0.35">
      <c r="A699">
        <v>1020890</v>
      </c>
      <c r="B699">
        <v>1</v>
      </c>
      <c r="C699">
        <v>1020930</v>
      </c>
      <c r="D699" t="s">
        <v>1655</v>
      </c>
      <c r="E699">
        <v>840</v>
      </c>
      <c r="F699">
        <v>4</v>
      </c>
      <c r="G699">
        <v>0</v>
      </c>
      <c r="H699">
        <v>0</v>
      </c>
      <c r="I699" t="s">
        <v>24</v>
      </c>
      <c r="J699" t="s">
        <v>597</v>
      </c>
      <c r="K699" t="s">
        <v>2036</v>
      </c>
      <c r="L699" s="3">
        <v>45869</v>
      </c>
      <c r="M699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0.14583333333333334</v>
      </c>
      <c r="N699" s="3">
        <v>45840</v>
      </c>
      <c r="O699" s="5">
        <f>IFERROR((PlanMasine[[#This Row],[Norma]]/PlanMasine[[#This Row],[Q]])*(PlanMasine[[#This Row],[Q]]/SUMIF(C:C,PlanMasine[[#This Row],[RN]],B:B)*PlanMasine[[#This Row],[KPLQ]]),0)</f>
        <v>210</v>
      </c>
      <c r="P699">
        <v>140067</v>
      </c>
      <c r="Q699">
        <f>COUNTIF(PROMJENA!A:A,PlanMasine[[#This Row],[KPL]]&amp;"-"&amp;PlanMasine[[#This Row],[RN]])</f>
        <v>0</v>
      </c>
      <c r="R699">
        <f>IFERROR(INDEX(REDOSLIJED!A:A,MATCH(PlanMasine[[#This Row],[KPL]],REDOSLIJED!B:B,0)),MAX(REDOSLIJED!A:A)+1)</f>
        <v>45</v>
      </c>
      <c r="S699" s="9">
        <f>SUM($M$2:M699)</f>
        <v>24.4910416666666</v>
      </c>
      <c r="T699" s="3">
        <f>PlanMasine[[#This Row],[Datum SAS]]-1</f>
        <v>45839</v>
      </c>
      <c r="U699">
        <f>WEEKDAY(PlanMasine[[#This Row],[ZAVRŠETAK MAŠINSKE]],2)</f>
        <v>2</v>
      </c>
      <c r="V699" s="3">
        <f>IF(WEEKDAY(PlanMasine[[#This Row],[Datum SAS]]-1,2)=7,PlanMasine[[#This Row],[Datum SAS]]-3,PlanMasine[[#This Row],[Datum SAS]]-1)</f>
        <v>45839</v>
      </c>
      <c r="W699">
        <f>WEEKNUM(PlanMasine[[#This Row],[Column2]],1)</f>
        <v>27</v>
      </c>
    </row>
    <row r="700" spans="1:23" x14ac:dyDescent="0.35">
      <c r="A700">
        <v>1020890</v>
      </c>
      <c r="B700">
        <v>1</v>
      </c>
      <c r="C700">
        <v>1020929</v>
      </c>
      <c r="D700" t="s">
        <v>1654</v>
      </c>
      <c r="E700">
        <v>200</v>
      </c>
      <c r="F700">
        <v>8</v>
      </c>
      <c r="G700">
        <v>0</v>
      </c>
      <c r="H700">
        <v>0</v>
      </c>
      <c r="I700" t="s">
        <v>24</v>
      </c>
      <c r="J700" t="s">
        <v>597</v>
      </c>
      <c r="K700" t="s">
        <v>2036</v>
      </c>
      <c r="L700" s="3">
        <v>45869</v>
      </c>
      <c r="M700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3.4722222222222224E-2</v>
      </c>
      <c r="N700" s="3">
        <v>45840</v>
      </c>
      <c r="O700" s="5">
        <f>IFERROR((PlanMasine[[#This Row],[Norma]]/PlanMasine[[#This Row],[Q]])*(PlanMasine[[#This Row],[Q]]/SUMIF(C:C,PlanMasine[[#This Row],[RN]],B:B)*PlanMasine[[#This Row],[KPLQ]]),0)</f>
        <v>50</v>
      </c>
      <c r="P700">
        <v>140066</v>
      </c>
      <c r="Q700">
        <f>COUNTIF(PROMJENA!A:A,PlanMasine[[#This Row],[KPL]]&amp;"-"&amp;PlanMasine[[#This Row],[RN]])</f>
        <v>0</v>
      </c>
      <c r="R700">
        <f>IFERROR(INDEX(REDOSLIJED!A:A,MATCH(PlanMasine[[#This Row],[KPL]],REDOSLIJED!B:B,0)),MAX(REDOSLIJED!A:A)+1)</f>
        <v>45</v>
      </c>
      <c r="S700" s="9">
        <f>SUM($M$2:M700)</f>
        <v>24.525763888888822</v>
      </c>
      <c r="T700" s="3">
        <f>PlanMasine[[#This Row],[Datum SAS]]-1</f>
        <v>45839</v>
      </c>
      <c r="U700">
        <f>WEEKDAY(PlanMasine[[#This Row],[ZAVRŠETAK MAŠINSKE]],2)</f>
        <v>2</v>
      </c>
      <c r="V700" s="3">
        <f>IF(WEEKDAY(PlanMasine[[#This Row],[Datum SAS]]-1,2)=7,PlanMasine[[#This Row],[Datum SAS]]-3,PlanMasine[[#This Row],[Datum SAS]]-1)</f>
        <v>45839</v>
      </c>
      <c r="W700">
        <f>WEEKNUM(PlanMasine[[#This Row],[Column2]],1)</f>
        <v>27</v>
      </c>
    </row>
    <row r="701" spans="1:23" x14ac:dyDescent="0.35">
      <c r="A701">
        <v>1020890</v>
      </c>
      <c r="B701">
        <v>1</v>
      </c>
      <c r="C701">
        <v>1020924</v>
      </c>
      <c r="D701" t="s">
        <v>179</v>
      </c>
      <c r="E701">
        <v>400</v>
      </c>
      <c r="F701">
        <v>4</v>
      </c>
      <c r="G701">
        <v>0</v>
      </c>
      <c r="H701">
        <v>0</v>
      </c>
      <c r="I701" t="s">
        <v>24</v>
      </c>
      <c r="J701" t="s">
        <v>597</v>
      </c>
      <c r="K701" t="s">
        <v>2036</v>
      </c>
      <c r="L701" s="3">
        <v>45869</v>
      </c>
      <c r="M701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6.9444444444444448E-2</v>
      </c>
      <c r="N701" s="3">
        <v>45840</v>
      </c>
      <c r="O701" s="5">
        <f>IFERROR((PlanMasine[[#This Row],[Norma]]/PlanMasine[[#This Row],[Q]])*(PlanMasine[[#This Row],[Q]]/SUMIF(C:C,PlanMasine[[#This Row],[RN]],B:B)*PlanMasine[[#This Row],[KPLQ]]),0)</f>
        <v>100</v>
      </c>
      <c r="P701">
        <v>140061</v>
      </c>
      <c r="Q701">
        <f>COUNTIF(PROMJENA!A:A,PlanMasine[[#This Row],[KPL]]&amp;"-"&amp;PlanMasine[[#This Row],[RN]])</f>
        <v>0</v>
      </c>
      <c r="R701">
        <f>IFERROR(INDEX(REDOSLIJED!A:A,MATCH(PlanMasine[[#This Row],[KPL]],REDOSLIJED!B:B,0)),MAX(REDOSLIJED!A:A)+1)</f>
        <v>45</v>
      </c>
      <c r="S701" s="9">
        <f>SUM($M$2:M701)</f>
        <v>24.595208333333265</v>
      </c>
      <c r="T701" s="3">
        <f>PlanMasine[[#This Row],[Datum SAS]]-1</f>
        <v>45839</v>
      </c>
      <c r="U701">
        <f>WEEKDAY(PlanMasine[[#This Row],[ZAVRŠETAK MAŠINSKE]],2)</f>
        <v>2</v>
      </c>
      <c r="V701" s="3">
        <f>IF(WEEKDAY(PlanMasine[[#This Row],[Datum SAS]]-1,2)=7,PlanMasine[[#This Row],[Datum SAS]]-3,PlanMasine[[#This Row],[Datum SAS]]-1)</f>
        <v>45839</v>
      </c>
      <c r="W701">
        <f>WEEKNUM(PlanMasine[[#This Row],[Column2]],1)</f>
        <v>27</v>
      </c>
    </row>
    <row r="702" spans="1:23" x14ac:dyDescent="0.35">
      <c r="A702">
        <v>1020890</v>
      </c>
      <c r="B702">
        <v>1</v>
      </c>
      <c r="C702">
        <v>1020919</v>
      </c>
      <c r="D702" t="s">
        <v>444</v>
      </c>
      <c r="E702">
        <v>120</v>
      </c>
      <c r="F702">
        <v>4</v>
      </c>
      <c r="G702">
        <v>0</v>
      </c>
      <c r="H702">
        <v>0</v>
      </c>
      <c r="I702" t="s">
        <v>24</v>
      </c>
      <c r="J702" t="s">
        <v>597</v>
      </c>
      <c r="K702" t="s">
        <v>2036</v>
      </c>
      <c r="L702" s="3">
        <v>45869</v>
      </c>
      <c r="M702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2.0833333333333332E-2</v>
      </c>
      <c r="N702" s="3">
        <v>45840</v>
      </c>
      <c r="O702" s="5">
        <f>IFERROR((PlanMasine[[#This Row],[Norma]]/PlanMasine[[#This Row],[Q]])*(PlanMasine[[#This Row],[Q]]/SUMIF(C:C,PlanMasine[[#This Row],[RN]],B:B)*PlanMasine[[#This Row],[KPLQ]]),0)</f>
        <v>30</v>
      </c>
      <c r="P702">
        <v>140056</v>
      </c>
      <c r="Q702">
        <f>COUNTIF(PROMJENA!A:A,PlanMasine[[#This Row],[KPL]]&amp;"-"&amp;PlanMasine[[#This Row],[RN]])</f>
        <v>0</v>
      </c>
      <c r="R702">
        <f>IFERROR(INDEX(REDOSLIJED!A:A,MATCH(PlanMasine[[#This Row],[KPL]],REDOSLIJED!B:B,0)),MAX(REDOSLIJED!A:A)+1)</f>
        <v>45</v>
      </c>
      <c r="S702" s="9">
        <f>SUM($M$2:M702)</f>
        <v>24.616041666666597</v>
      </c>
      <c r="T702" s="3">
        <f>PlanMasine[[#This Row],[Datum SAS]]-1</f>
        <v>45839</v>
      </c>
      <c r="U702">
        <f>WEEKDAY(PlanMasine[[#This Row],[ZAVRŠETAK MAŠINSKE]],2)</f>
        <v>2</v>
      </c>
      <c r="V702" s="3">
        <f>IF(WEEKDAY(PlanMasine[[#This Row],[Datum SAS]]-1,2)=7,PlanMasine[[#This Row],[Datum SAS]]-3,PlanMasine[[#This Row],[Datum SAS]]-1)</f>
        <v>45839</v>
      </c>
      <c r="W702">
        <f>WEEKNUM(PlanMasine[[#This Row],[Column2]],1)</f>
        <v>27</v>
      </c>
    </row>
    <row r="703" spans="1:23" x14ac:dyDescent="0.35">
      <c r="A703">
        <v>1020890</v>
      </c>
      <c r="B703">
        <v>1</v>
      </c>
      <c r="C703">
        <v>1020918</v>
      </c>
      <c r="D703" t="s">
        <v>443</v>
      </c>
      <c r="E703">
        <v>80</v>
      </c>
      <c r="F703">
        <v>4</v>
      </c>
      <c r="G703">
        <v>0</v>
      </c>
      <c r="H703">
        <v>0</v>
      </c>
      <c r="I703" t="s">
        <v>24</v>
      </c>
      <c r="J703" t="s">
        <v>597</v>
      </c>
      <c r="K703" t="s">
        <v>2036</v>
      </c>
      <c r="L703" s="3">
        <v>45869</v>
      </c>
      <c r="M703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1.3888888888888888E-2</v>
      </c>
      <c r="N703" s="3">
        <v>45840</v>
      </c>
      <c r="O703" s="5">
        <f>IFERROR((PlanMasine[[#This Row],[Norma]]/PlanMasine[[#This Row],[Q]])*(PlanMasine[[#This Row],[Q]]/SUMIF(C:C,PlanMasine[[#This Row],[RN]],B:B)*PlanMasine[[#This Row],[KPLQ]]),0)</f>
        <v>20</v>
      </c>
      <c r="P703">
        <v>140055</v>
      </c>
      <c r="Q703">
        <f>COUNTIF(PROMJENA!A:A,PlanMasine[[#This Row],[KPL]]&amp;"-"&amp;PlanMasine[[#This Row],[RN]])</f>
        <v>0</v>
      </c>
      <c r="R703">
        <f>IFERROR(INDEX(REDOSLIJED!A:A,MATCH(PlanMasine[[#This Row],[KPL]],REDOSLIJED!B:B,0)),MAX(REDOSLIJED!A:A)+1)</f>
        <v>45</v>
      </c>
      <c r="S703" s="9">
        <f>SUM($M$2:M703)</f>
        <v>24.629930555555486</v>
      </c>
      <c r="T703" s="3">
        <f>PlanMasine[[#This Row],[Datum SAS]]-1</f>
        <v>45839</v>
      </c>
      <c r="U703">
        <f>WEEKDAY(PlanMasine[[#This Row],[ZAVRŠETAK MAŠINSKE]],2)</f>
        <v>2</v>
      </c>
      <c r="V703" s="3">
        <f>IF(WEEKDAY(PlanMasine[[#This Row],[Datum SAS]]-1,2)=7,PlanMasine[[#This Row],[Datum SAS]]-3,PlanMasine[[#This Row],[Datum SAS]]-1)</f>
        <v>45839</v>
      </c>
      <c r="W703">
        <f>WEEKNUM(PlanMasine[[#This Row],[Column2]],1)</f>
        <v>27</v>
      </c>
    </row>
    <row r="704" spans="1:23" x14ac:dyDescent="0.35">
      <c r="A704">
        <v>1020890</v>
      </c>
      <c r="B704">
        <v>1</v>
      </c>
      <c r="C704">
        <v>1020904</v>
      </c>
      <c r="D704" t="s">
        <v>1653</v>
      </c>
      <c r="E704">
        <v>320</v>
      </c>
      <c r="F704">
        <v>4</v>
      </c>
      <c r="G704">
        <v>0</v>
      </c>
      <c r="H704">
        <v>0</v>
      </c>
      <c r="I704" t="s">
        <v>24</v>
      </c>
      <c r="J704" t="s">
        <v>597</v>
      </c>
      <c r="K704" t="s">
        <v>2036</v>
      </c>
      <c r="L704" s="3">
        <v>45869</v>
      </c>
      <c r="M704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5.5555555555555552E-2</v>
      </c>
      <c r="N704" s="3">
        <v>45840</v>
      </c>
      <c r="O704" s="5">
        <f>IFERROR((PlanMasine[[#This Row],[Norma]]/PlanMasine[[#This Row],[Q]])*(PlanMasine[[#This Row],[Q]]/SUMIF(C:C,PlanMasine[[#This Row],[RN]],B:B)*PlanMasine[[#This Row],[KPLQ]]),0)</f>
        <v>80</v>
      </c>
      <c r="P704">
        <v>140041</v>
      </c>
      <c r="Q704">
        <f>COUNTIF(PROMJENA!A:A,PlanMasine[[#This Row],[KPL]]&amp;"-"&amp;PlanMasine[[#This Row],[RN]])</f>
        <v>0</v>
      </c>
      <c r="R704">
        <f>IFERROR(INDEX(REDOSLIJED!A:A,MATCH(PlanMasine[[#This Row],[KPL]],REDOSLIJED!B:B,0)),MAX(REDOSLIJED!A:A)+1)</f>
        <v>45</v>
      </c>
      <c r="S704" s="9">
        <f>SUM($M$2:M704)</f>
        <v>24.685486111111043</v>
      </c>
      <c r="T704" s="3">
        <f>PlanMasine[[#This Row],[Datum SAS]]-1</f>
        <v>45839</v>
      </c>
      <c r="U704">
        <f>WEEKDAY(PlanMasine[[#This Row],[ZAVRŠETAK MAŠINSKE]],2)</f>
        <v>2</v>
      </c>
      <c r="V704" s="3">
        <f>IF(WEEKDAY(PlanMasine[[#This Row],[Datum SAS]]-1,2)=7,PlanMasine[[#This Row],[Datum SAS]]-3,PlanMasine[[#This Row],[Datum SAS]]-1)</f>
        <v>45839</v>
      </c>
      <c r="W704">
        <f>WEEKNUM(PlanMasine[[#This Row],[Column2]],1)</f>
        <v>27</v>
      </c>
    </row>
    <row r="705" spans="1:23" x14ac:dyDescent="0.35">
      <c r="A705">
        <v>1020893</v>
      </c>
      <c r="B705">
        <v>1</v>
      </c>
      <c r="C705">
        <v>1020930</v>
      </c>
      <c r="D705" t="s">
        <v>1655</v>
      </c>
      <c r="E705">
        <v>840</v>
      </c>
      <c r="F705">
        <v>4</v>
      </c>
      <c r="G705">
        <v>0</v>
      </c>
      <c r="H705">
        <v>0</v>
      </c>
      <c r="I705" t="s">
        <v>24</v>
      </c>
      <c r="J705" t="s">
        <v>597</v>
      </c>
      <c r="K705" t="s">
        <v>2036</v>
      </c>
      <c r="L705" s="3">
        <v>45869</v>
      </c>
      <c r="M705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0.14583333333333334</v>
      </c>
      <c r="N705" s="3">
        <v>45840</v>
      </c>
      <c r="O705" s="5">
        <f>IFERROR((PlanMasine[[#This Row],[Norma]]/PlanMasine[[#This Row],[Q]])*(PlanMasine[[#This Row],[Q]]/SUMIF(C:C,PlanMasine[[#This Row],[RN]],B:B)*PlanMasine[[#This Row],[KPLQ]]),0)</f>
        <v>210</v>
      </c>
      <c r="P705">
        <v>140067</v>
      </c>
      <c r="Q705">
        <f>COUNTIF(PROMJENA!A:A,PlanMasine[[#This Row],[KPL]]&amp;"-"&amp;PlanMasine[[#This Row],[RN]])</f>
        <v>0</v>
      </c>
      <c r="R705">
        <f>IFERROR(INDEX(REDOSLIJED!A:A,MATCH(PlanMasine[[#This Row],[KPL]],REDOSLIJED!B:B,0)),MAX(REDOSLIJED!A:A)+1)</f>
        <v>45</v>
      </c>
      <c r="S705" s="9">
        <f>SUM($M$2:M705)</f>
        <v>24.831319444444375</v>
      </c>
      <c r="T705" s="3">
        <f>PlanMasine[[#This Row],[Datum SAS]]-1</f>
        <v>45839</v>
      </c>
      <c r="U705">
        <f>WEEKDAY(PlanMasine[[#This Row],[ZAVRŠETAK MAŠINSKE]],2)</f>
        <v>2</v>
      </c>
      <c r="V705" s="3">
        <f>IF(WEEKDAY(PlanMasine[[#This Row],[Datum SAS]]-1,2)=7,PlanMasine[[#This Row],[Datum SAS]]-3,PlanMasine[[#This Row],[Datum SAS]]-1)</f>
        <v>45839</v>
      </c>
      <c r="W705">
        <f>WEEKNUM(PlanMasine[[#This Row],[Column2]],1)</f>
        <v>27</v>
      </c>
    </row>
    <row r="706" spans="1:23" x14ac:dyDescent="0.35">
      <c r="A706">
        <v>1020893</v>
      </c>
      <c r="B706">
        <v>1</v>
      </c>
      <c r="C706">
        <v>1020929</v>
      </c>
      <c r="D706" t="s">
        <v>1654</v>
      </c>
      <c r="E706">
        <v>200</v>
      </c>
      <c r="F706">
        <v>8</v>
      </c>
      <c r="G706">
        <v>0</v>
      </c>
      <c r="H706">
        <v>0</v>
      </c>
      <c r="I706" t="s">
        <v>24</v>
      </c>
      <c r="J706" t="s">
        <v>597</v>
      </c>
      <c r="K706" t="s">
        <v>2036</v>
      </c>
      <c r="L706" s="3">
        <v>45869</v>
      </c>
      <c r="M706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3.4722222222222224E-2</v>
      </c>
      <c r="N706" s="3">
        <v>45840</v>
      </c>
      <c r="O706" s="5">
        <f>IFERROR((PlanMasine[[#This Row],[Norma]]/PlanMasine[[#This Row],[Q]])*(PlanMasine[[#This Row],[Q]]/SUMIF(C:C,PlanMasine[[#This Row],[RN]],B:B)*PlanMasine[[#This Row],[KPLQ]]),0)</f>
        <v>50</v>
      </c>
      <c r="P706">
        <v>140066</v>
      </c>
      <c r="Q706">
        <f>COUNTIF(PROMJENA!A:A,PlanMasine[[#This Row],[KPL]]&amp;"-"&amp;PlanMasine[[#This Row],[RN]])</f>
        <v>0</v>
      </c>
      <c r="R706">
        <f>IFERROR(INDEX(REDOSLIJED!A:A,MATCH(PlanMasine[[#This Row],[KPL]],REDOSLIJED!B:B,0)),MAX(REDOSLIJED!A:A)+1)</f>
        <v>45</v>
      </c>
      <c r="S706" s="9">
        <f>SUM($M$2:M706)</f>
        <v>24.866041666666597</v>
      </c>
      <c r="T706" s="3">
        <f>PlanMasine[[#This Row],[Datum SAS]]-1</f>
        <v>45839</v>
      </c>
      <c r="U706">
        <f>WEEKDAY(PlanMasine[[#This Row],[ZAVRŠETAK MAŠINSKE]],2)</f>
        <v>2</v>
      </c>
      <c r="V706" s="3">
        <f>IF(WEEKDAY(PlanMasine[[#This Row],[Datum SAS]]-1,2)=7,PlanMasine[[#This Row],[Datum SAS]]-3,PlanMasine[[#This Row],[Datum SAS]]-1)</f>
        <v>45839</v>
      </c>
      <c r="W706">
        <f>WEEKNUM(PlanMasine[[#This Row],[Column2]],1)</f>
        <v>27</v>
      </c>
    </row>
    <row r="707" spans="1:23" x14ac:dyDescent="0.35">
      <c r="A707">
        <v>1020893</v>
      </c>
      <c r="B707">
        <v>1</v>
      </c>
      <c r="C707">
        <v>1020919</v>
      </c>
      <c r="D707" t="s">
        <v>444</v>
      </c>
      <c r="E707">
        <v>120</v>
      </c>
      <c r="F707">
        <v>4</v>
      </c>
      <c r="G707">
        <v>0</v>
      </c>
      <c r="H707">
        <v>0</v>
      </c>
      <c r="I707" t="s">
        <v>24</v>
      </c>
      <c r="J707" t="s">
        <v>597</v>
      </c>
      <c r="K707" t="s">
        <v>2036</v>
      </c>
      <c r="L707" s="3">
        <v>45869</v>
      </c>
      <c r="M707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2.0833333333333332E-2</v>
      </c>
      <c r="N707" s="3">
        <v>45840</v>
      </c>
      <c r="O707" s="5">
        <f>IFERROR((PlanMasine[[#This Row],[Norma]]/PlanMasine[[#This Row],[Q]])*(PlanMasine[[#This Row],[Q]]/SUMIF(C:C,PlanMasine[[#This Row],[RN]],B:B)*PlanMasine[[#This Row],[KPLQ]]),0)</f>
        <v>30</v>
      </c>
      <c r="P707">
        <v>140056</v>
      </c>
      <c r="Q707">
        <f>COUNTIF(PROMJENA!A:A,PlanMasine[[#This Row],[KPL]]&amp;"-"&amp;PlanMasine[[#This Row],[RN]])</f>
        <v>0</v>
      </c>
      <c r="R707">
        <f>IFERROR(INDEX(REDOSLIJED!A:A,MATCH(PlanMasine[[#This Row],[KPL]],REDOSLIJED!B:B,0)),MAX(REDOSLIJED!A:A)+1)</f>
        <v>45</v>
      </c>
      <c r="S707" s="9">
        <f>SUM($M$2:M707)</f>
        <v>24.886874999999929</v>
      </c>
      <c r="T707" s="3">
        <f>PlanMasine[[#This Row],[Datum SAS]]-1</f>
        <v>45839</v>
      </c>
      <c r="U707">
        <f>WEEKDAY(PlanMasine[[#This Row],[ZAVRŠETAK MAŠINSKE]],2)</f>
        <v>2</v>
      </c>
      <c r="V707" s="3">
        <f>IF(WEEKDAY(PlanMasine[[#This Row],[Datum SAS]]-1,2)=7,PlanMasine[[#This Row],[Datum SAS]]-3,PlanMasine[[#This Row],[Datum SAS]]-1)</f>
        <v>45839</v>
      </c>
      <c r="W707">
        <f>WEEKNUM(PlanMasine[[#This Row],[Column2]],1)</f>
        <v>27</v>
      </c>
    </row>
    <row r="708" spans="1:23" x14ac:dyDescent="0.35">
      <c r="A708">
        <v>1020893</v>
      </c>
      <c r="B708">
        <v>1</v>
      </c>
      <c r="C708">
        <v>1020918</v>
      </c>
      <c r="D708" t="s">
        <v>443</v>
      </c>
      <c r="E708">
        <v>80</v>
      </c>
      <c r="F708">
        <v>4</v>
      </c>
      <c r="G708">
        <v>0</v>
      </c>
      <c r="H708">
        <v>0</v>
      </c>
      <c r="I708" t="s">
        <v>24</v>
      </c>
      <c r="J708" t="s">
        <v>597</v>
      </c>
      <c r="K708" t="s">
        <v>2036</v>
      </c>
      <c r="L708" s="3">
        <v>45869</v>
      </c>
      <c r="M708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1.3888888888888888E-2</v>
      </c>
      <c r="N708" s="3">
        <v>45840</v>
      </c>
      <c r="O708" s="5">
        <f>IFERROR((PlanMasine[[#This Row],[Norma]]/PlanMasine[[#This Row],[Q]])*(PlanMasine[[#This Row],[Q]]/SUMIF(C:C,PlanMasine[[#This Row],[RN]],B:B)*PlanMasine[[#This Row],[KPLQ]]),0)</f>
        <v>20</v>
      </c>
      <c r="P708">
        <v>140055</v>
      </c>
      <c r="Q708">
        <f>COUNTIF(PROMJENA!A:A,PlanMasine[[#This Row],[KPL]]&amp;"-"&amp;PlanMasine[[#This Row],[RN]])</f>
        <v>0</v>
      </c>
      <c r="R708">
        <f>IFERROR(INDEX(REDOSLIJED!A:A,MATCH(PlanMasine[[#This Row],[KPL]],REDOSLIJED!B:B,0)),MAX(REDOSLIJED!A:A)+1)</f>
        <v>45</v>
      </c>
      <c r="S708" s="9">
        <f>SUM($M$2:M708)</f>
        <v>24.900763888888818</v>
      </c>
      <c r="T708" s="3">
        <f>PlanMasine[[#This Row],[Datum SAS]]-1</f>
        <v>45839</v>
      </c>
      <c r="U708">
        <f>WEEKDAY(PlanMasine[[#This Row],[ZAVRŠETAK MAŠINSKE]],2)</f>
        <v>2</v>
      </c>
      <c r="V708" s="3">
        <f>IF(WEEKDAY(PlanMasine[[#This Row],[Datum SAS]]-1,2)=7,PlanMasine[[#This Row],[Datum SAS]]-3,PlanMasine[[#This Row],[Datum SAS]]-1)</f>
        <v>45839</v>
      </c>
      <c r="W708">
        <f>WEEKNUM(PlanMasine[[#This Row],[Column2]],1)</f>
        <v>27</v>
      </c>
    </row>
    <row r="709" spans="1:23" x14ac:dyDescent="0.35">
      <c r="A709">
        <v>1020893</v>
      </c>
      <c r="B709">
        <v>1</v>
      </c>
      <c r="C709">
        <v>1020904</v>
      </c>
      <c r="D709" t="s">
        <v>1653</v>
      </c>
      <c r="E709">
        <v>320</v>
      </c>
      <c r="F709">
        <v>4</v>
      </c>
      <c r="G709">
        <v>0</v>
      </c>
      <c r="H709">
        <v>0</v>
      </c>
      <c r="I709" t="s">
        <v>24</v>
      </c>
      <c r="J709" t="s">
        <v>597</v>
      </c>
      <c r="K709" t="s">
        <v>2036</v>
      </c>
      <c r="L709" s="3">
        <v>45869</v>
      </c>
      <c r="M709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5.5555555555555552E-2</v>
      </c>
      <c r="N709" s="3">
        <v>45840</v>
      </c>
      <c r="O709" s="5">
        <f>IFERROR((PlanMasine[[#This Row],[Norma]]/PlanMasine[[#This Row],[Q]])*(PlanMasine[[#This Row],[Q]]/SUMIF(C:C,PlanMasine[[#This Row],[RN]],B:B)*PlanMasine[[#This Row],[KPLQ]]),0)</f>
        <v>80</v>
      </c>
      <c r="P709">
        <v>140041</v>
      </c>
      <c r="Q709">
        <f>COUNTIF(PROMJENA!A:A,PlanMasine[[#This Row],[KPL]]&amp;"-"&amp;PlanMasine[[#This Row],[RN]])</f>
        <v>0</v>
      </c>
      <c r="R709">
        <f>IFERROR(INDEX(REDOSLIJED!A:A,MATCH(PlanMasine[[#This Row],[KPL]],REDOSLIJED!B:B,0)),MAX(REDOSLIJED!A:A)+1)</f>
        <v>45</v>
      </c>
      <c r="S709" s="9">
        <f>SUM($M$2:M709)</f>
        <v>24.956319444444375</v>
      </c>
      <c r="T709" s="3">
        <f>PlanMasine[[#This Row],[Datum SAS]]-1</f>
        <v>45839</v>
      </c>
      <c r="U709">
        <f>WEEKDAY(PlanMasine[[#This Row],[ZAVRŠETAK MAŠINSKE]],2)</f>
        <v>2</v>
      </c>
      <c r="V709" s="3">
        <f>IF(WEEKDAY(PlanMasine[[#This Row],[Datum SAS]]-1,2)=7,PlanMasine[[#This Row],[Datum SAS]]-3,PlanMasine[[#This Row],[Datum SAS]]-1)</f>
        <v>45839</v>
      </c>
      <c r="W709">
        <f>WEEKNUM(PlanMasine[[#This Row],[Column2]],1)</f>
        <v>27</v>
      </c>
    </row>
    <row r="710" spans="1:23" x14ac:dyDescent="0.35">
      <c r="A710">
        <v>1020893</v>
      </c>
      <c r="B710">
        <v>1</v>
      </c>
      <c r="C710">
        <v>1020924</v>
      </c>
      <c r="D710" t="s">
        <v>179</v>
      </c>
      <c r="E710">
        <v>400</v>
      </c>
      <c r="F710">
        <v>4</v>
      </c>
      <c r="G710">
        <v>0</v>
      </c>
      <c r="H710">
        <v>0</v>
      </c>
      <c r="I710" t="s">
        <v>24</v>
      </c>
      <c r="J710" t="s">
        <v>597</v>
      </c>
      <c r="K710" t="s">
        <v>2036</v>
      </c>
      <c r="L710" s="3">
        <v>45869</v>
      </c>
      <c r="M710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6.9444444444444448E-2</v>
      </c>
      <c r="N710" s="3">
        <v>45840</v>
      </c>
      <c r="O710" s="5">
        <f>IFERROR((PlanMasine[[#This Row],[Norma]]/PlanMasine[[#This Row],[Q]])*(PlanMasine[[#This Row],[Q]]/SUMIF(C:C,PlanMasine[[#This Row],[RN]],B:B)*PlanMasine[[#This Row],[KPLQ]]),0)</f>
        <v>100</v>
      </c>
      <c r="P710">
        <v>140061</v>
      </c>
      <c r="Q710">
        <f>COUNTIF(PROMJENA!A:A,PlanMasine[[#This Row],[KPL]]&amp;"-"&amp;PlanMasine[[#This Row],[RN]])</f>
        <v>0</v>
      </c>
      <c r="R710">
        <f>IFERROR(INDEX(REDOSLIJED!A:A,MATCH(PlanMasine[[#This Row],[KPL]],REDOSLIJED!B:B,0)),MAX(REDOSLIJED!A:A)+1)</f>
        <v>45</v>
      </c>
      <c r="S710" s="9">
        <f>SUM($M$2:M710)</f>
        <v>25.025763888888818</v>
      </c>
      <c r="T710" s="3">
        <f>PlanMasine[[#This Row],[Datum SAS]]-1</f>
        <v>45839</v>
      </c>
      <c r="U710">
        <f>WEEKDAY(PlanMasine[[#This Row],[ZAVRŠETAK MAŠINSKE]],2)</f>
        <v>2</v>
      </c>
      <c r="V710" s="3">
        <f>IF(WEEKDAY(PlanMasine[[#This Row],[Datum SAS]]-1,2)=7,PlanMasine[[#This Row],[Datum SAS]]-3,PlanMasine[[#This Row],[Datum SAS]]-1)</f>
        <v>45839</v>
      </c>
      <c r="W710">
        <f>WEEKNUM(PlanMasine[[#This Row],[Column2]],1)</f>
        <v>27</v>
      </c>
    </row>
    <row r="711" spans="1:23" x14ac:dyDescent="0.35">
      <c r="A711">
        <v>1020943</v>
      </c>
      <c r="B711">
        <v>1</v>
      </c>
      <c r="C711">
        <v>1020950</v>
      </c>
      <c r="D711" t="s">
        <v>1772</v>
      </c>
      <c r="E711">
        <v>80</v>
      </c>
      <c r="F711">
        <v>4</v>
      </c>
      <c r="G711">
        <v>0</v>
      </c>
      <c r="H711">
        <v>0</v>
      </c>
      <c r="I711" t="s">
        <v>24</v>
      </c>
      <c r="J711" t="s">
        <v>597</v>
      </c>
      <c r="K711" t="s">
        <v>2037</v>
      </c>
      <c r="L711" s="3">
        <v>45898</v>
      </c>
      <c r="M711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1.3888888888888888E-2</v>
      </c>
      <c r="N711" s="3">
        <v>45840</v>
      </c>
      <c r="O711" s="5">
        <f>IFERROR((PlanMasine[[#This Row],[Norma]]/PlanMasine[[#This Row],[Q]])*(PlanMasine[[#This Row],[Q]]/SUMIF(C:C,PlanMasine[[#This Row],[RN]],B:B)*PlanMasine[[#This Row],[KPLQ]]),0)</f>
        <v>20</v>
      </c>
      <c r="P711">
        <v>139608</v>
      </c>
      <c r="Q711">
        <f>COUNTIF(PROMJENA!A:A,PlanMasine[[#This Row],[KPL]]&amp;"-"&amp;PlanMasine[[#This Row],[RN]])</f>
        <v>0</v>
      </c>
      <c r="R711">
        <f>IFERROR(INDEX(REDOSLIJED!A:A,MATCH(PlanMasine[[#This Row],[KPL]],REDOSLIJED!B:B,0)),MAX(REDOSLIJED!A:A)+1)</f>
        <v>45</v>
      </c>
      <c r="S711" s="9">
        <f>SUM($M$2:M711)</f>
        <v>25.039652777777707</v>
      </c>
      <c r="T711" s="3">
        <f>PlanMasine[[#This Row],[Datum SAS]]-1</f>
        <v>45839</v>
      </c>
      <c r="U711">
        <f>WEEKDAY(PlanMasine[[#This Row],[ZAVRŠETAK MAŠINSKE]],2)</f>
        <v>2</v>
      </c>
      <c r="V711" s="3">
        <f>IF(WEEKDAY(PlanMasine[[#This Row],[Datum SAS]]-1,2)=7,PlanMasine[[#This Row],[Datum SAS]]-3,PlanMasine[[#This Row],[Datum SAS]]-1)</f>
        <v>45839</v>
      </c>
      <c r="W711">
        <f>WEEKNUM(PlanMasine[[#This Row],[Column2]],1)</f>
        <v>27</v>
      </c>
    </row>
    <row r="712" spans="1:23" x14ac:dyDescent="0.35">
      <c r="A712">
        <v>1020943</v>
      </c>
      <c r="B712">
        <v>1</v>
      </c>
      <c r="C712">
        <v>1020973</v>
      </c>
      <c r="D712" t="s">
        <v>1457</v>
      </c>
      <c r="E712">
        <v>300</v>
      </c>
      <c r="F712">
        <v>4</v>
      </c>
      <c r="G712">
        <v>0</v>
      </c>
      <c r="H712">
        <v>0</v>
      </c>
      <c r="I712" t="s">
        <v>24</v>
      </c>
      <c r="J712" t="s">
        <v>597</v>
      </c>
      <c r="K712" t="s">
        <v>2037</v>
      </c>
      <c r="L712" s="3">
        <v>45898</v>
      </c>
      <c r="M712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5.2083333333333336E-2</v>
      </c>
      <c r="N712" s="3">
        <v>45840</v>
      </c>
      <c r="O712" s="5">
        <f>IFERROR((PlanMasine[[#This Row],[Norma]]/PlanMasine[[#This Row],[Q]])*(PlanMasine[[#This Row],[Q]]/SUMIF(C:C,PlanMasine[[#This Row],[RN]],B:B)*PlanMasine[[#This Row],[KPLQ]]),0)</f>
        <v>75</v>
      </c>
      <c r="P712">
        <v>139631</v>
      </c>
      <c r="Q712">
        <f>COUNTIF(PROMJENA!A:A,PlanMasine[[#This Row],[KPL]]&amp;"-"&amp;PlanMasine[[#This Row],[RN]])</f>
        <v>0</v>
      </c>
      <c r="R712">
        <f>IFERROR(INDEX(REDOSLIJED!A:A,MATCH(PlanMasine[[#This Row],[KPL]],REDOSLIJED!B:B,0)),MAX(REDOSLIJED!A:A)+1)</f>
        <v>45</v>
      </c>
      <c r="S712" s="9">
        <f>SUM($M$2:M712)</f>
        <v>25.09173611111104</v>
      </c>
      <c r="T712" s="3">
        <f>PlanMasine[[#This Row],[Datum SAS]]-1</f>
        <v>45839</v>
      </c>
      <c r="U712">
        <f>WEEKDAY(PlanMasine[[#This Row],[ZAVRŠETAK MAŠINSKE]],2)</f>
        <v>2</v>
      </c>
      <c r="V712" s="3">
        <f>IF(WEEKDAY(PlanMasine[[#This Row],[Datum SAS]]-1,2)=7,PlanMasine[[#This Row],[Datum SAS]]-3,PlanMasine[[#This Row],[Datum SAS]]-1)</f>
        <v>45839</v>
      </c>
      <c r="W712">
        <f>WEEKNUM(PlanMasine[[#This Row],[Column2]],1)</f>
        <v>27</v>
      </c>
    </row>
    <row r="713" spans="1:23" x14ac:dyDescent="0.35">
      <c r="A713">
        <v>1020943</v>
      </c>
      <c r="B713">
        <v>1</v>
      </c>
      <c r="C713">
        <v>1020957</v>
      </c>
      <c r="D713" t="s">
        <v>1771</v>
      </c>
      <c r="E713">
        <v>60</v>
      </c>
      <c r="F713">
        <v>4</v>
      </c>
      <c r="G713">
        <v>0</v>
      </c>
      <c r="H713">
        <v>0</v>
      </c>
      <c r="I713" t="s">
        <v>24</v>
      </c>
      <c r="J713" t="s">
        <v>597</v>
      </c>
      <c r="K713" t="s">
        <v>2037</v>
      </c>
      <c r="L713" s="3">
        <v>45898</v>
      </c>
      <c r="M713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1.0416666666666666E-2</v>
      </c>
      <c r="N713" s="3">
        <v>45840</v>
      </c>
      <c r="O713" s="5">
        <f>IFERROR((PlanMasine[[#This Row],[Norma]]/PlanMasine[[#This Row],[Q]])*(PlanMasine[[#This Row],[Q]]/SUMIF(C:C,PlanMasine[[#This Row],[RN]],B:B)*PlanMasine[[#This Row],[KPLQ]]),0)</f>
        <v>15</v>
      </c>
      <c r="P713">
        <v>139615</v>
      </c>
      <c r="Q713">
        <f>COUNTIF(PROMJENA!A:A,PlanMasine[[#This Row],[KPL]]&amp;"-"&amp;PlanMasine[[#This Row],[RN]])</f>
        <v>0</v>
      </c>
      <c r="R713">
        <f>IFERROR(INDEX(REDOSLIJED!A:A,MATCH(PlanMasine[[#This Row],[KPL]],REDOSLIJED!B:B,0)),MAX(REDOSLIJED!A:A)+1)</f>
        <v>45</v>
      </c>
      <c r="S713" s="9">
        <f>SUM($M$2:M713)</f>
        <v>25.102152777777707</v>
      </c>
      <c r="T713" s="3">
        <f>PlanMasine[[#This Row],[Datum SAS]]-1</f>
        <v>45839</v>
      </c>
      <c r="U713">
        <f>WEEKDAY(PlanMasine[[#This Row],[ZAVRŠETAK MAŠINSKE]],2)</f>
        <v>2</v>
      </c>
      <c r="V713" s="3">
        <f>IF(WEEKDAY(PlanMasine[[#This Row],[Datum SAS]]-1,2)=7,PlanMasine[[#This Row],[Datum SAS]]-3,PlanMasine[[#This Row],[Datum SAS]]-1)</f>
        <v>45839</v>
      </c>
      <c r="W713">
        <f>WEEKNUM(PlanMasine[[#This Row],[Column2]],1)</f>
        <v>27</v>
      </c>
    </row>
    <row r="714" spans="1:23" x14ac:dyDescent="0.35">
      <c r="A714">
        <v>1020943</v>
      </c>
      <c r="B714">
        <v>1</v>
      </c>
      <c r="C714">
        <v>1020947</v>
      </c>
      <c r="D714" t="s">
        <v>993</v>
      </c>
      <c r="E714">
        <v>50</v>
      </c>
      <c r="F714">
        <v>4</v>
      </c>
      <c r="G714">
        <v>0</v>
      </c>
      <c r="H714">
        <v>0</v>
      </c>
      <c r="I714" t="s">
        <v>24</v>
      </c>
      <c r="J714" t="s">
        <v>597</v>
      </c>
      <c r="K714" t="s">
        <v>2037</v>
      </c>
      <c r="L714" s="3">
        <v>45898</v>
      </c>
      <c r="M714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8.6805555555555559E-3</v>
      </c>
      <c r="N714" s="3">
        <v>45840</v>
      </c>
      <c r="O714" s="5">
        <f>IFERROR((PlanMasine[[#This Row],[Norma]]/PlanMasine[[#This Row],[Q]])*(PlanMasine[[#This Row],[Q]]/SUMIF(C:C,PlanMasine[[#This Row],[RN]],B:B)*PlanMasine[[#This Row],[KPLQ]]),0)</f>
        <v>12.5</v>
      </c>
      <c r="P714">
        <v>139605</v>
      </c>
      <c r="Q714">
        <f>COUNTIF(PROMJENA!A:A,PlanMasine[[#This Row],[KPL]]&amp;"-"&amp;PlanMasine[[#This Row],[RN]])</f>
        <v>0</v>
      </c>
      <c r="R714">
        <f>IFERROR(INDEX(REDOSLIJED!A:A,MATCH(PlanMasine[[#This Row],[KPL]],REDOSLIJED!B:B,0)),MAX(REDOSLIJED!A:A)+1)</f>
        <v>45</v>
      </c>
      <c r="S714" s="9">
        <f>SUM($M$2:M714)</f>
        <v>25.110833333333265</v>
      </c>
      <c r="T714" s="3">
        <f>PlanMasine[[#This Row],[Datum SAS]]-1</f>
        <v>45839</v>
      </c>
      <c r="U714">
        <f>WEEKDAY(PlanMasine[[#This Row],[ZAVRŠETAK MAŠINSKE]],2)</f>
        <v>2</v>
      </c>
      <c r="V714" s="3">
        <f>IF(WEEKDAY(PlanMasine[[#This Row],[Datum SAS]]-1,2)=7,PlanMasine[[#This Row],[Datum SAS]]-3,PlanMasine[[#This Row],[Datum SAS]]-1)</f>
        <v>45839</v>
      </c>
      <c r="W714">
        <f>WEEKNUM(PlanMasine[[#This Row],[Column2]],1)</f>
        <v>27</v>
      </c>
    </row>
    <row r="715" spans="1:23" x14ac:dyDescent="0.35">
      <c r="A715">
        <v>1020943</v>
      </c>
      <c r="B715">
        <v>1</v>
      </c>
      <c r="C715">
        <v>1020966</v>
      </c>
      <c r="D715" t="s">
        <v>1855</v>
      </c>
      <c r="E715">
        <v>80</v>
      </c>
      <c r="F715">
        <v>8</v>
      </c>
      <c r="G715">
        <v>0</v>
      </c>
      <c r="H715">
        <v>0</v>
      </c>
      <c r="I715" t="s">
        <v>24</v>
      </c>
      <c r="J715" t="s">
        <v>597</v>
      </c>
      <c r="K715" t="s">
        <v>2037</v>
      </c>
      <c r="L715" s="3">
        <v>45898</v>
      </c>
      <c r="M715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1.3888888888888888E-2</v>
      </c>
      <c r="N715" s="3">
        <v>45840</v>
      </c>
      <c r="O715" s="5">
        <f>IFERROR((PlanMasine[[#This Row],[Norma]]/PlanMasine[[#This Row],[Q]])*(PlanMasine[[#This Row],[Q]]/SUMIF(C:C,PlanMasine[[#This Row],[RN]],B:B)*PlanMasine[[#This Row],[KPLQ]]),0)</f>
        <v>20</v>
      </c>
      <c r="P715">
        <v>139624</v>
      </c>
      <c r="Q715">
        <f>COUNTIF(PROMJENA!A:A,PlanMasine[[#This Row],[KPL]]&amp;"-"&amp;PlanMasine[[#This Row],[RN]])</f>
        <v>0</v>
      </c>
      <c r="R715">
        <f>IFERROR(INDEX(REDOSLIJED!A:A,MATCH(PlanMasine[[#This Row],[KPL]],REDOSLIJED!B:B,0)),MAX(REDOSLIJED!A:A)+1)</f>
        <v>45</v>
      </c>
      <c r="S715" s="9">
        <f>SUM($M$2:M715)</f>
        <v>25.124722222222154</v>
      </c>
      <c r="T715" s="3">
        <f>PlanMasine[[#This Row],[Datum SAS]]-1</f>
        <v>45839</v>
      </c>
      <c r="U715">
        <f>WEEKDAY(PlanMasine[[#This Row],[ZAVRŠETAK MAŠINSKE]],2)</f>
        <v>2</v>
      </c>
      <c r="V715" s="3">
        <f>IF(WEEKDAY(PlanMasine[[#This Row],[Datum SAS]]-1,2)=7,PlanMasine[[#This Row],[Datum SAS]]-3,PlanMasine[[#This Row],[Datum SAS]]-1)</f>
        <v>45839</v>
      </c>
      <c r="W715">
        <f>WEEKNUM(PlanMasine[[#This Row],[Column2]],1)</f>
        <v>27</v>
      </c>
    </row>
    <row r="716" spans="1:23" x14ac:dyDescent="0.35">
      <c r="A716">
        <v>1020943</v>
      </c>
      <c r="B716">
        <v>1</v>
      </c>
      <c r="C716">
        <v>1020961</v>
      </c>
      <c r="D716" t="s">
        <v>1770</v>
      </c>
      <c r="E716">
        <v>120</v>
      </c>
      <c r="F716">
        <v>4</v>
      </c>
      <c r="G716">
        <v>0</v>
      </c>
      <c r="H716">
        <v>0</v>
      </c>
      <c r="I716" t="s">
        <v>24</v>
      </c>
      <c r="J716" t="s">
        <v>597</v>
      </c>
      <c r="K716" t="s">
        <v>2037</v>
      </c>
      <c r="L716" s="3">
        <v>45898</v>
      </c>
      <c r="M716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2.0833333333333332E-2</v>
      </c>
      <c r="N716" s="3">
        <v>45840</v>
      </c>
      <c r="O716" s="5">
        <f>IFERROR((PlanMasine[[#This Row],[Norma]]/PlanMasine[[#This Row],[Q]])*(PlanMasine[[#This Row],[Q]]/SUMIF(C:C,PlanMasine[[#This Row],[RN]],B:B)*PlanMasine[[#This Row],[KPLQ]]),0)</f>
        <v>30</v>
      </c>
      <c r="P716">
        <v>139619</v>
      </c>
      <c r="Q716">
        <f>COUNTIF(PROMJENA!A:A,PlanMasine[[#This Row],[KPL]]&amp;"-"&amp;PlanMasine[[#This Row],[RN]])</f>
        <v>0</v>
      </c>
      <c r="R716">
        <f>IFERROR(INDEX(REDOSLIJED!A:A,MATCH(PlanMasine[[#This Row],[KPL]],REDOSLIJED!B:B,0)),MAX(REDOSLIJED!A:A)+1)</f>
        <v>45</v>
      </c>
      <c r="S716" s="9">
        <f>SUM($M$2:M716)</f>
        <v>25.145555555555486</v>
      </c>
      <c r="T716" s="3">
        <f>PlanMasine[[#This Row],[Datum SAS]]-1</f>
        <v>45839</v>
      </c>
      <c r="U716">
        <f>WEEKDAY(PlanMasine[[#This Row],[ZAVRŠETAK MAŠINSKE]],2)</f>
        <v>2</v>
      </c>
      <c r="V716" s="3">
        <f>IF(WEEKDAY(PlanMasine[[#This Row],[Datum SAS]]-1,2)=7,PlanMasine[[#This Row],[Datum SAS]]-3,PlanMasine[[#This Row],[Datum SAS]]-1)</f>
        <v>45839</v>
      </c>
      <c r="W716">
        <f>WEEKNUM(PlanMasine[[#This Row],[Column2]],1)</f>
        <v>27</v>
      </c>
    </row>
    <row r="717" spans="1:23" x14ac:dyDescent="0.35">
      <c r="A717">
        <v>1020943</v>
      </c>
      <c r="B717">
        <v>1</v>
      </c>
      <c r="C717">
        <v>1020960</v>
      </c>
      <c r="D717" t="s">
        <v>977</v>
      </c>
      <c r="E717">
        <v>100</v>
      </c>
      <c r="F717">
        <v>4</v>
      </c>
      <c r="G717">
        <v>0</v>
      </c>
      <c r="H717">
        <v>0</v>
      </c>
      <c r="I717" t="s">
        <v>24</v>
      </c>
      <c r="J717" t="s">
        <v>597</v>
      </c>
      <c r="K717" t="s">
        <v>2037</v>
      </c>
      <c r="L717" s="3">
        <v>45898</v>
      </c>
      <c r="M717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1.7361111111111112E-2</v>
      </c>
      <c r="N717" s="3">
        <v>45840</v>
      </c>
      <c r="O717" s="5">
        <f>IFERROR((PlanMasine[[#This Row],[Norma]]/PlanMasine[[#This Row],[Q]])*(PlanMasine[[#This Row],[Q]]/SUMIF(C:C,PlanMasine[[#This Row],[RN]],B:B)*PlanMasine[[#This Row],[KPLQ]]),0)</f>
        <v>25</v>
      </c>
      <c r="P717">
        <v>139618</v>
      </c>
      <c r="Q717">
        <f>COUNTIF(PROMJENA!A:A,PlanMasine[[#This Row],[KPL]]&amp;"-"&amp;PlanMasine[[#This Row],[RN]])</f>
        <v>0</v>
      </c>
      <c r="R717">
        <f>IFERROR(INDEX(REDOSLIJED!A:A,MATCH(PlanMasine[[#This Row],[KPL]],REDOSLIJED!B:B,0)),MAX(REDOSLIJED!A:A)+1)</f>
        <v>45</v>
      </c>
      <c r="S717" s="9">
        <f>SUM($M$2:M717)</f>
        <v>25.162916666666597</v>
      </c>
      <c r="T717" s="3">
        <f>PlanMasine[[#This Row],[Datum SAS]]-1</f>
        <v>45839</v>
      </c>
      <c r="U717">
        <f>WEEKDAY(PlanMasine[[#This Row],[ZAVRŠETAK MAŠINSKE]],2)</f>
        <v>2</v>
      </c>
      <c r="V717" s="3">
        <f>IF(WEEKDAY(PlanMasine[[#This Row],[Datum SAS]]-1,2)=7,PlanMasine[[#This Row],[Datum SAS]]-3,PlanMasine[[#This Row],[Datum SAS]]-1)</f>
        <v>45839</v>
      </c>
      <c r="W717">
        <f>WEEKNUM(PlanMasine[[#This Row],[Column2]],1)</f>
        <v>27</v>
      </c>
    </row>
    <row r="718" spans="1:23" x14ac:dyDescent="0.35">
      <c r="A718">
        <v>1020943</v>
      </c>
      <c r="B718">
        <v>1</v>
      </c>
      <c r="C718">
        <v>1020948</v>
      </c>
      <c r="D718" t="s">
        <v>994</v>
      </c>
      <c r="E718">
        <v>50</v>
      </c>
      <c r="F718">
        <v>4</v>
      </c>
      <c r="G718">
        <v>0</v>
      </c>
      <c r="H718">
        <v>0</v>
      </c>
      <c r="I718" t="s">
        <v>24</v>
      </c>
      <c r="J718" t="s">
        <v>597</v>
      </c>
      <c r="K718" t="s">
        <v>2037</v>
      </c>
      <c r="L718" s="3">
        <v>45898</v>
      </c>
      <c r="M718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8.6805555555555559E-3</v>
      </c>
      <c r="N718" s="3">
        <v>45840</v>
      </c>
      <c r="O718" s="5">
        <f>IFERROR((PlanMasine[[#This Row],[Norma]]/PlanMasine[[#This Row],[Q]])*(PlanMasine[[#This Row],[Q]]/SUMIF(C:C,PlanMasine[[#This Row],[RN]],B:B)*PlanMasine[[#This Row],[KPLQ]]),0)</f>
        <v>12.5</v>
      </c>
      <c r="P718">
        <v>139606</v>
      </c>
      <c r="Q718">
        <f>COUNTIF(PROMJENA!A:A,PlanMasine[[#This Row],[KPL]]&amp;"-"&amp;PlanMasine[[#This Row],[RN]])</f>
        <v>0</v>
      </c>
      <c r="R718">
        <f>IFERROR(INDEX(REDOSLIJED!A:A,MATCH(PlanMasine[[#This Row],[KPL]],REDOSLIJED!B:B,0)),MAX(REDOSLIJED!A:A)+1)</f>
        <v>45</v>
      </c>
      <c r="S718" s="9">
        <f>SUM($M$2:M718)</f>
        <v>25.171597222222154</v>
      </c>
      <c r="T718" s="3">
        <f>PlanMasine[[#This Row],[Datum SAS]]-1</f>
        <v>45839</v>
      </c>
      <c r="U718">
        <f>WEEKDAY(PlanMasine[[#This Row],[ZAVRŠETAK MAŠINSKE]],2)</f>
        <v>2</v>
      </c>
      <c r="V718" s="3">
        <f>IF(WEEKDAY(PlanMasine[[#This Row],[Datum SAS]]-1,2)=7,PlanMasine[[#This Row],[Datum SAS]]-3,PlanMasine[[#This Row],[Datum SAS]]-1)</f>
        <v>45839</v>
      </c>
      <c r="W718">
        <f>WEEKNUM(PlanMasine[[#This Row],[Column2]],1)</f>
        <v>27</v>
      </c>
    </row>
    <row r="719" spans="1:23" x14ac:dyDescent="0.35">
      <c r="A719">
        <v>1020944</v>
      </c>
      <c r="B719">
        <v>1</v>
      </c>
      <c r="C719">
        <v>1020973</v>
      </c>
      <c r="D719" t="s">
        <v>1457</v>
      </c>
      <c r="E719">
        <v>300</v>
      </c>
      <c r="F719">
        <v>4</v>
      </c>
      <c r="G719">
        <v>0</v>
      </c>
      <c r="H719">
        <v>0</v>
      </c>
      <c r="I719" t="s">
        <v>24</v>
      </c>
      <c r="J719" t="s">
        <v>597</v>
      </c>
      <c r="K719" t="s">
        <v>2037</v>
      </c>
      <c r="L719" s="3">
        <v>45898</v>
      </c>
      <c r="M719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5.2083333333333336E-2</v>
      </c>
      <c r="N719" s="3">
        <v>45840</v>
      </c>
      <c r="O719" s="5">
        <f>IFERROR((PlanMasine[[#This Row],[Norma]]/PlanMasine[[#This Row],[Q]])*(PlanMasine[[#This Row],[Q]]/SUMIF(C:C,PlanMasine[[#This Row],[RN]],B:B)*PlanMasine[[#This Row],[KPLQ]]),0)</f>
        <v>75</v>
      </c>
      <c r="P719">
        <v>139631</v>
      </c>
      <c r="Q719">
        <f>COUNTIF(PROMJENA!A:A,PlanMasine[[#This Row],[KPL]]&amp;"-"&amp;PlanMasine[[#This Row],[RN]])</f>
        <v>0</v>
      </c>
      <c r="R719">
        <f>IFERROR(INDEX(REDOSLIJED!A:A,MATCH(PlanMasine[[#This Row],[KPL]],REDOSLIJED!B:B,0)),MAX(REDOSLIJED!A:A)+1)</f>
        <v>45</v>
      </c>
      <c r="S719" s="9">
        <f>SUM($M$2:M719)</f>
        <v>25.223680555555486</v>
      </c>
      <c r="T719" s="3">
        <f>PlanMasine[[#This Row],[Datum SAS]]-1</f>
        <v>45839</v>
      </c>
      <c r="U719">
        <f>WEEKDAY(PlanMasine[[#This Row],[ZAVRŠETAK MAŠINSKE]],2)</f>
        <v>2</v>
      </c>
      <c r="V719" s="3">
        <f>IF(WEEKDAY(PlanMasine[[#This Row],[Datum SAS]]-1,2)=7,PlanMasine[[#This Row],[Datum SAS]]-3,PlanMasine[[#This Row],[Datum SAS]]-1)</f>
        <v>45839</v>
      </c>
      <c r="W719">
        <f>WEEKNUM(PlanMasine[[#This Row],[Column2]],1)</f>
        <v>27</v>
      </c>
    </row>
    <row r="720" spans="1:23" x14ac:dyDescent="0.35">
      <c r="A720">
        <v>1020944</v>
      </c>
      <c r="B720">
        <v>1</v>
      </c>
      <c r="C720">
        <v>1020960</v>
      </c>
      <c r="D720" t="s">
        <v>977</v>
      </c>
      <c r="E720">
        <v>100</v>
      </c>
      <c r="F720">
        <v>4</v>
      </c>
      <c r="G720">
        <v>0</v>
      </c>
      <c r="H720">
        <v>0</v>
      </c>
      <c r="I720" t="s">
        <v>24</v>
      </c>
      <c r="J720" t="s">
        <v>597</v>
      </c>
      <c r="K720" t="s">
        <v>2037</v>
      </c>
      <c r="L720" s="3">
        <v>45898</v>
      </c>
      <c r="M720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1.7361111111111112E-2</v>
      </c>
      <c r="N720" s="3">
        <v>45840</v>
      </c>
      <c r="O720" s="5">
        <f>IFERROR((PlanMasine[[#This Row],[Norma]]/PlanMasine[[#This Row],[Q]])*(PlanMasine[[#This Row],[Q]]/SUMIF(C:C,PlanMasine[[#This Row],[RN]],B:B)*PlanMasine[[#This Row],[KPLQ]]),0)</f>
        <v>25</v>
      </c>
      <c r="P720">
        <v>139618</v>
      </c>
      <c r="Q720">
        <f>COUNTIF(PROMJENA!A:A,PlanMasine[[#This Row],[KPL]]&amp;"-"&amp;PlanMasine[[#This Row],[RN]])</f>
        <v>0</v>
      </c>
      <c r="R720">
        <f>IFERROR(INDEX(REDOSLIJED!A:A,MATCH(PlanMasine[[#This Row],[KPL]],REDOSLIJED!B:B,0)),MAX(REDOSLIJED!A:A)+1)</f>
        <v>45</v>
      </c>
      <c r="S720" s="9">
        <f>SUM($M$2:M720)</f>
        <v>25.241041666666597</v>
      </c>
      <c r="T720" s="3">
        <f>PlanMasine[[#This Row],[Datum SAS]]-1</f>
        <v>45839</v>
      </c>
      <c r="U720">
        <f>WEEKDAY(PlanMasine[[#This Row],[ZAVRŠETAK MAŠINSKE]],2)</f>
        <v>2</v>
      </c>
      <c r="V720" s="3">
        <f>IF(WEEKDAY(PlanMasine[[#This Row],[Datum SAS]]-1,2)=7,PlanMasine[[#This Row],[Datum SAS]]-3,PlanMasine[[#This Row],[Datum SAS]]-1)</f>
        <v>45839</v>
      </c>
      <c r="W720">
        <f>WEEKNUM(PlanMasine[[#This Row],[Column2]],1)</f>
        <v>27</v>
      </c>
    </row>
    <row r="721" spans="1:23" x14ac:dyDescent="0.35">
      <c r="A721">
        <v>1020944</v>
      </c>
      <c r="B721">
        <v>1</v>
      </c>
      <c r="C721">
        <v>1020948</v>
      </c>
      <c r="D721" t="s">
        <v>994</v>
      </c>
      <c r="E721">
        <v>50</v>
      </c>
      <c r="F721">
        <v>4</v>
      </c>
      <c r="G721">
        <v>0</v>
      </c>
      <c r="H721">
        <v>0</v>
      </c>
      <c r="I721" t="s">
        <v>24</v>
      </c>
      <c r="J721" t="s">
        <v>597</v>
      </c>
      <c r="K721" t="s">
        <v>2037</v>
      </c>
      <c r="L721" s="3">
        <v>45898</v>
      </c>
      <c r="M721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8.6805555555555559E-3</v>
      </c>
      <c r="N721" s="3">
        <v>45840</v>
      </c>
      <c r="O721" s="5">
        <f>IFERROR((PlanMasine[[#This Row],[Norma]]/PlanMasine[[#This Row],[Q]])*(PlanMasine[[#This Row],[Q]]/SUMIF(C:C,PlanMasine[[#This Row],[RN]],B:B)*PlanMasine[[#This Row],[KPLQ]]),0)</f>
        <v>12.5</v>
      </c>
      <c r="P721">
        <v>139606</v>
      </c>
      <c r="Q721">
        <f>COUNTIF(PROMJENA!A:A,PlanMasine[[#This Row],[KPL]]&amp;"-"&amp;PlanMasine[[#This Row],[RN]])</f>
        <v>0</v>
      </c>
      <c r="R721">
        <f>IFERROR(INDEX(REDOSLIJED!A:A,MATCH(PlanMasine[[#This Row],[KPL]],REDOSLIJED!B:B,0)),MAX(REDOSLIJED!A:A)+1)</f>
        <v>45</v>
      </c>
      <c r="S721" s="9">
        <f>SUM($M$2:M721)</f>
        <v>25.249722222222154</v>
      </c>
      <c r="T721" s="3">
        <f>PlanMasine[[#This Row],[Datum SAS]]-1</f>
        <v>45839</v>
      </c>
      <c r="U721">
        <f>WEEKDAY(PlanMasine[[#This Row],[ZAVRŠETAK MAŠINSKE]],2)</f>
        <v>2</v>
      </c>
      <c r="V721" s="3">
        <f>IF(WEEKDAY(PlanMasine[[#This Row],[Datum SAS]]-1,2)=7,PlanMasine[[#This Row],[Datum SAS]]-3,PlanMasine[[#This Row],[Datum SAS]]-1)</f>
        <v>45839</v>
      </c>
      <c r="W721">
        <f>WEEKNUM(PlanMasine[[#This Row],[Column2]],1)</f>
        <v>27</v>
      </c>
    </row>
    <row r="722" spans="1:23" x14ac:dyDescent="0.35">
      <c r="A722">
        <v>1020944</v>
      </c>
      <c r="B722">
        <v>1</v>
      </c>
      <c r="C722">
        <v>1020950</v>
      </c>
      <c r="D722" t="s">
        <v>1772</v>
      </c>
      <c r="E722">
        <v>80</v>
      </c>
      <c r="F722">
        <v>4</v>
      </c>
      <c r="G722">
        <v>0</v>
      </c>
      <c r="H722">
        <v>0</v>
      </c>
      <c r="I722" t="s">
        <v>24</v>
      </c>
      <c r="J722" t="s">
        <v>597</v>
      </c>
      <c r="K722" t="s">
        <v>2037</v>
      </c>
      <c r="L722" s="3">
        <v>45898</v>
      </c>
      <c r="M722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1.3888888888888888E-2</v>
      </c>
      <c r="N722" s="3">
        <v>45840</v>
      </c>
      <c r="O722" s="5">
        <f>IFERROR((PlanMasine[[#This Row],[Norma]]/PlanMasine[[#This Row],[Q]])*(PlanMasine[[#This Row],[Q]]/SUMIF(C:C,PlanMasine[[#This Row],[RN]],B:B)*PlanMasine[[#This Row],[KPLQ]]),0)</f>
        <v>20</v>
      </c>
      <c r="P722">
        <v>139608</v>
      </c>
      <c r="Q722">
        <f>COUNTIF(PROMJENA!A:A,PlanMasine[[#This Row],[KPL]]&amp;"-"&amp;PlanMasine[[#This Row],[RN]])</f>
        <v>0</v>
      </c>
      <c r="R722">
        <f>IFERROR(INDEX(REDOSLIJED!A:A,MATCH(PlanMasine[[#This Row],[KPL]],REDOSLIJED!B:B,0)),MAX(REDOSLIJED!A:A)+1)</f>
        <v>45</v>
      </c>
      <c r="S722" s="9">
        <f>SUM($M$2:M722)</f>
        <v>25.263611111111043</v>
      </c>
      <c r="T722" s="3">
        <f>PlanMasine[[#This Row],[Datum SAS]]-1</f>
        <v>45839</v>
      </c>
      <c r="U722">
        <f>WEEKDAY(PlanMasine[[#This Row],[ZAVRŠETAK MAŠINSKE]],2)</f>
        <v>2</v>
      </c>
      <c r="V722" s="3">
        <f>IF(WEEKDAY(PlanMasine[[#This Row],[Datum SAS]]-1,2)=7,PlanMasine[[#This Row],[Datum SAS]]-3,PlanMasine[[#This Row],[Datum SAS]]-1)</f>
        <v>45839</v>
      </c>
      <c r="W722">
        <f>WEEKNUM(PlanMasine[[#This Row],[Column2]],1)</f>
        <v>27</v>
      </c>
    </row>
    <row r="723" spans="1:23" x14ac:dyDescent="0.35">
      <c r="A723">
        <v>1020944</v>
      </c>
      <c r="B723">
        <v>1</v>
      </c>
      <c r="C723">
        <v>1020961</v>
      </c>
      <c r="D723" t="s">
        <v>1770</v>
      </c>
      <c r="E723">
        <v>120</v>
      </c>
      <c r="F723">
        <v>4</v>
      </c>
      <c r="G723">
        <v>0</v>
      </c>
      <c r="H723">
        <v>0</v>
      </c>
      <c r="I723" t="s">
        <v>24</v>
      </c>
      <c r="J723" t="s">
        <v>597</v>
      </c>
      <c r="K723" t="s">
        <v>2037</v>
      </c>
      <c r="L723" s="3">
        <v>45898</v>
      </c>
      <c r="M723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2.0833333333333332E-2</v>
      </c>
      <c r="N723" s="3">
        <v>45840</v>
      </c>
      <c r="O723" s="5">
        <f>IFERROR((PlanMasine[[#This Row],[Norma]]/PlanMasine[[#This Row],[Q]])*(PlanMasine[[#This Row],[Q]]/SUMIF(C:C,PlanMasine[[#This Row],[RN]],B:B)*PlanMasine[[#This Row],[KPLQ]]),0)</f>
        <v>30</v>
      </c>
      <c r="P723">
        <v>139619</v>
      </c>
      <c r="Q723">
        <f>COUNTIF(PROMJENA!A:A,PlanMasine[[#This Row],[KPL]]&amp;"-"&amp;PlanMasine[[#This Row],[RN]])</f>
        <v>0</v>
      </c>
      <c r="R723">
        <f>IFERROR(INDEX(REDOSLIJED!A:A,MATCH(PlanMasine[[#This Row],[KPL]],REDOSLIJED!B:B,0)),MAX(REDOSLIJED!A:A)+1)</f>
        <v>45</v>
      </c>
      <c r="S723" s="9">
        <f>SUM($M$2:M723)</f>
        <v>25.284444444444375</v>
      </c>
      <c r="T723" s="3">
        <f>PlanMasine[[#This Row],[Datum SAS]]-1</f>
        <v>45839</v>
      </c>
      <c r="U723">
        <f>WEEKDAY(PlanMasine[[#This Row],[ZAVRŠETAK MAŠINSKE]],2)</f>
        <v>2</v>
      </c>
      <c r="V723" s="3">
        <f>IF(WEEKDAY(PlanMasine[[#This Row],[Datum SAS]]-1,2)=7,PlanMasine[[#This Row],[Datum SAS]]-3,PlanMasine[[#This Row],[Datum SAS]]-1)</f>
        <v>45839</v>
      </c>
      <c r="W723">
        <f>WEEKNUM(PlanMasine[[#This Row],[Column2]],1)</f>
        <v>27</v>
      </c>
    </row>
    <row r="724" spans="1:23" x14ac:dyDescent="0.35">
      <c r="A724">
        <v>1020944</v>
      </c>
      <c r="B724">
        <v>1</v>
      </c>
      <c r="C724">
        <v>1020966</v>
      </c>
      <c r="D724" t="s">
        <v>1855</v>
      </c>
      <c r="E724">
        <v>80</v>
      </c>
      <c r="F724">
        <v>8</v>
      </c>
      <c r="G724">
        <v>0</v>
      </c>
      <c r="H724">
        <v>0</v>
      </c>
      <c r="I724" t="s">
        <v>24</v>
      </c>
      <c r="J724" t="s">
        <v>597</v>
      </c>
      <c r="K724" t="s">
        <v>2037</v>
      </c>
      <c r="L724" s="3">
        <v>45898</v>
      </c>
      <c r="M724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1.3888888888888888E-2</v>
      </c>
      <c r="N724" s="3">
        <v>45840</v>
      </c>
      <c r="O724" s="5">
        <f>IFERROR((PlanMasine[[#This Row],[Norma]]/PlanMasine[[#This Row],[Q]])*(PlanMasine[[#This Row],[Q]]/SUMIF(C:C,PlanMasine[[#This Row],[RN]],B:B)*PlanMasine[[#This Row],[KPLQ]]),0)</f>
        <v>20</v>
      </c>
      <c r="P724">
        <v>139624</v>
      </c>
      <c r="Q724">
        <f>COUNTIF(PROMJENA!A:A,PlanMasine[[#This Row],[KPL]]&amp;"-"&amp;PlanMasine[[#This Row],[RN]])</f>
        <v>0</v>
      </c>
      <c r="R724">
        <f>IFERROR(INDEX(REDOSLIJED!A:A,MATCH(PlanMasine[[#This Row],[KPL]],REDOSLIJED!B:B,0)),MAX(REDOSLIJED!A:A)+1)</f>
        <v>45</v>
      </c>
      <c r="S724" s="9">
        <f>SUM($M$2:M724)</f>
        <v>25.298333333333265</v>
      </c>
      <c r="T724" s="3">
        <f>PlanMasine[[#This Row],[Datum SAS]]-1</f>
        <v>45839</v>
      </c>
      <c r="U724">
        <f>WEEKDAY(PlanMasine[[#This Row],[ZAVRŠETAK MAŠINSKE]],2)</f>
        <v>2</v>
      </c>
      <c r="V724" s="3">
        <f>IF(WEEKDAY(PlanMasine[[#This Row],[Datum SAS]]-1,2)=7,PlanMasine[[#This Row],[Datum SAS]]-3,PlanMasine[[#This Row],[Datum SAS]]-1)</f>
        <v>45839</v>
      </c>
      <c r="W724">
        <f>WEEKNUM(PlanMasine[[#This Row],[Column2]],1)</f>
        <v>27</v>
      </c>
    </row>
    <row r="725" spans="1:23" x14ac:dyDescent="0.35">
      <c r="A725">
        <v>1020944</v>
      </c>
      <c r="B725">
        <v>1</v>
      </c>
      <c r="C725">
        <v>1020957</v>
      </c>
      <c r="D725" t="s">
        <v>1771</v>
      </c>
      <c r="E725">
        <v>60</v>
      </c>
      <c r="F725">
        <v>4</v>
      </c>
      <c r="G725">
        <v>0</v>
      </c>
      <c r="H725">
        <v>0</v>
      </c>
      <c r="I725" t="s">
        <v>24</v>
      </c>
      <c r="J725" t="s">
        <v>597</v>
      </c>
      <c r="K725" t="s">
        <v>2037</v>
      </c>
      <c r="L725" s="3">
        <v>45898</v>
      </c>
      <c r="M725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1.0416666666666666E-2</v>
      </c>
      <c r="N725" s="3">
        <v>45840</v>
      </c>
      <c r="O725" s="5">
        <f>IFERROR((PlanMasine[[#This Row],[Norma]]/PlanMasine[[#This Row],[Q]])*(PlanMasine[[#This Row],[Q]]/SUMIF(C:C,PlanMasine[[#This Row],[RN]],B:B)*PlanMasine[[#This Row],[KPLQ]]),0)</f>
        <v>15</v>
      </c>
      <c r="P725">
        <v>139615</v>
      </c>
      <c r="Q725">
        <f>COUNTIF(PROMJENA!A:A,PlanMasine[[#This Row],[KPL]]&amp;"-"&amp;PlanMasine[[#This Row],[RN]])</f>
        <v>0</v>
      </c>
      <c r="R725">
        <f>IFERROR(INDEX(REDOSLIJED!A:A,MATCH(PlanMasine[[#This Row],[KPL]],REDOSLIJED!B:B,0)),MAX(REDOSLIJED!A:A)+1)</f>
        <v>45</v>
      </c>
      <c r="S725" s="9">
        <f>SUM($M$2:M725)</f>
        <v>25.308749999999932</v>
      </c>
      <c r="T725" s="3">
        <f>PlanMasine[[#This Row],[Datum SAS]]-1</f>
        <v>45839</v>
      </c>
      <c r="U725">
        <f>WEEKDAY(PlanMasine[[#This Row],[ZAVRŠETAK MAŠINSKE]],2)</f>
        <v>2</v>
      </c>
      <c r="V725" s="3">
        <f>IF(WEEKDAY(PlanMasine[[#This Row],[Datum SAS]]-1,2)=7,PlanMasine[[#This Row],[Datum SAS]]-3,PlanMasine[[#This Row],[Datum SAS]]-1)</f>
        <v>45839</v>
      </c>
      <c r="W725">
        <f>WEEKNUM(PlanMasine[[#This Row],[Column2]],1)</f>
        <v>27</v>
      </c>
    </row>
    <row r="726" spans="1:23" x14ac:dyDescent="0.35">
      <c r="A726">
        <v>1020944</v>
      </c>
      <c r="B726">
        <v>1</v>
      </c>
      <c r="C726">
        <v>1020947</v>
      </c>
      <c r="D726" t="s">
        <v>993</v>
      </c>
      <c r="E726">
        <v>50</v>
      </c>
      <c r="F726">
        <v>4</v>
      </c>
      <c r="G726">
        <v>0</v>
      </c>
      <c r="H726">
        <v>0</v>
      </c>
      <c r="I726" t="s">
        <v>24</v>
      </c>
      <c r="J726" t="s">
        <v>597</v>
      </c>
      <c r="K726" t="s">
        <v>2037</v>
      </c>
      <c r="L726" s="3">
        <v>45898</v>
      </c>
      <c r="M726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8.6805555555555559E-3</v>
      </c>
      <c r="N726" s="3">
        <v>45840</v>
      </c>
      <c r="O726" s="5">
        <f>IFERROR((PlanMasine[[#This Row],[Norma]]/PlanMasine[[#This Row],[Q]])*(PlanMasine[[#This Row],[Q]]/SUMIF(C:C,PlanMasine[[#This Row],[RN]],B:B)*PlanMasine[[#This Row],[KPLQ]]),0)</f>
        <v>12.5</v>
      </c>
      <c r="P726">
        <v>139605</v>
      </c>
      <c r="Q726">
        <f>COUNTIF(PROMJENA!A:A,PlanMasine[[#This Row],[KPL]]&amp;"-"&amp;PlanMasine[[#This Row],[RN]])</f>
        <v>0</v>
      </c>
      <c r="R726">
        <f>IFERROR(INDEX(REDOSLIJED!A:A,MATCH(PlanMasine[[#This Row],[KPL]],REDOSLIJED!B:B,0)),MAX(REDOSLIJED!A:A)+1)</f>
        <v>45</v>
      </c>
      <c r="S726" s="9">
        <f>SUM($M$2:M726)</f>
        <v>25.317430555555489</v>
      </c>
      <c r="T726" s="3">
        <f>PlanMasine[[#This Row],[Datum SAS]]-1</f>
        <v>45839</v>
      </c>
      <c r="U726">
        <f>WEEKDAY(PlanMasine[[#This Row],[ZAVRŠETAK MAŠINSKE]],2)</f>
        <v>2</v>
      </c>
      <c r="V726" s="3">
        <f>IF(WEEKDAY(PlanMasine[[#This Row],[Datum SAS]]-1,2)=7,PlanMasine[[#This Row],[Datum SAS]]-3,PlanMasine[[#This Row],[Datum SAS]]-1)</f>
        <v>45839</v>
      </c>
      <c r="W726">
        <f>WEEKNUM(PlanMasine[[#This Row],[Column2]],1)</f>
        <v>27</v>
      </c>
    </row>
    <row r="727" spans="1:23" x14ac:dyDescent="0.35">
      <c r="A727">
        <v>1020945</v>
      </c>
      <c r="B727">
        <v>1</v>
      </c>
      <c r="C727">
        <v>1020950</v>
      </c>
      <c r="D727" t="s">
        <v>1772</v>
      </c>
      <c r="E727">
        <v>80</v>
      </c>
      <c r="F727">
        <v>4</v>
      </c>
      <c r="G727">
        <v>0</v>
      </c>
      <c r="H727">
        <v>0</v>
      </c>
      <c r="I727" t="s">
        <v>24</v>
      </c>
      <c r="J727" t="s">
        <v>597</v>
      </c>
      <c r="K727" t="s">
        <v>2037</v>
      </c>
      <c r="L727" s="3">
        <v>45898</v>
      </c>
      <c r="M727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1.3888888888888888E-2</v>
      </c>
      <c r="N727" s="3">
        <v>45840</v>
      </c>
      <c r="O727" s="5">
        <f>IFERROR((PlanMasine[[#This Row],[Norma]]/PlanMasine[[#This Row],[Q]])*(PlanMasine[[#This Row],[Q]]/SUMIF(C:C,PlanMasine[[#This Row],[RN]],B:B)*PlanMasine[[#This Row],[KPLQ]]),0)</f>
        <v>20</v>
      </c>
      <c r="P727">
        <v>139608</v>
      </c>
      <c r="Q727">
        <f>COUNTIF(PROMJENA!A:A,PlanMasine[[#This Row],[KPL]]&amp;"-"&amp;PlanMasine[[#This Row],[RN]])</f>
        <v>0</v>
      </c>
      <c r="R727">
        <f>IFERROR(INDEX(REDOSLIJED!A:A,MATCH(PlanMasine[[#This Row],[KPL]],REDOSLIJED!B:B,0)),MAX(REDOSLIJED!A:A)+1)</f>
        <v>45</v>
      </c>
      <c r="S727" s="9">
        <f>SUM($M$2:M727)</f>
        <v>25.331319444444379</v>
      </c>
      <c r="T727" s="3">
        <f>PlanMasine[[#This Row],[Datum SAS]]-1</f>
        <v>45839</v>
      </c>
      <c r="U727">
        <f>WEEKDAY(PlanMasine[[#This Row],[ZAVRŠETAK MAŠINSKE]],2)</f>
        <v>2</v>
      </c>
      <c r="V727" s="3">
        <f>IF(WEEKDAY(PlanMasine[[#This Row],[Datum SAS]]-1,2)=7,PlanMasine[[#This Row],[Datum SAS]]-3,PlanMasine[[#This Row],[Datum SAS]]-1)</f>
        <v>45839</v>
      </c>
      <c r="W727">
        <f>WEEKNUM(PlanMasine[[#This Row],[Column2]],1)</f>
        <v>27</v>
      </c>
    </row>
    <row r="728" spans="1:23" x14ac:dyDescent="0.35">
      <c r="A728">
        <v>1020945</v>
      </c>
      <c r="B728">
        <v>1</v>
      </c>
      <c r="C728">
        <v>1020948</v>
      </c>
      <c r="D728" t="s">
        <v>994</v>
      </c>
      <c r="E728">
        <v>50</v>
      </c>
      <c r="F728">
        <v>4</v>
      </c>
      <c r="G728">
        <v>0</v>
      </c>
      <c r="H728">
        <v>0</v>
      </c>
      <c r="I728" t="s">
        <v>24</v>
      </c>
      <c r="J728" t="s">
        <v>597</v>
      </c>
      <c r="K728" t="s">
        <v>2037</v>
      </c>
      <c r="L728" s="3">
        <v>45898</v>
      </c>
      <c r="M728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8.6805555555555559E-3</v>
      </c>
      <c r="N728" s="3">
        <v>45840</v>
      </c>
      <c r="O728" s="5">
        <f>IFERROR((PlanMasine[[#This Row],[Norma]]/PlanMasine[[#This Row],[Q]])*(PlanMasine[[#This Row],[Q]]/SUMIF(C:C,PlanMasine[[#This Row],[RN]],B:B)*PlanMasine[[#This Row],[KPLQ]]),0)</f>
        <v>12.5</v>
      </c>
      <c r="P728">
        <v>139606</v>
      </c>
      <c r="Q728">
        <f>COUNTIF(PROMJENA!A:A,PlanMasine[[#This Row],[KPL]]&amp;"-"&amp;PlanMasine[[#This Row],[RN]])</f>
        <v>0</v>
      </c>
      <c r="R728">
        <f>IFERROR(INDEX(REDOSLIJED!A:A,MATCH(PlanMasine[[#This Row],[KPL]],REDOSLIJED!B:B,0)),MAX(REDOSLIJED!A:A)+1)</f>
        <v>45</v>
      </c>
      <c r="S728" s="9">
        <f>SUM($M$2:M728)</f>
        <v>25.339999999999936</v>
      </c>
      <c r="T728" s="3">
        <f>PlanMasine[[#This Row],[Datum SAS]]-1</f>
        <v>45839</v>
      </c>
      <c r="U728">
        <f>WEEKDAY(PlanMasine[[#This Row],[ZAVRŠETAK MAŠINSKE]],2)</f>
        <v>2</v>
      </c>
      <c r="V728" s="3">
        <f>IF(WEEKDAY(PlanMasine[[#This Row],[Datum SAS]]-1,2)=7,PlanMasine[[#This Row],[Datum SAS]]-3,PlanMasine[[#This Row],[Datum SAS]]-1)</f>
        <v>45839</v>
      </c>
      <c r="W728">
        <f>WEEKNUM(PlanMasine[[#This Row],[Column2]],1)</f>
        <v>27</v>
      </c>
    </row>
    <row r="729" spans="1:23" x14ac:dyDescent="0.35">
      <c r="A729">
        <v>1020945</v>
      </c>
      <c r="B729">
        <v>1</v>
      </c>
      <c r="C729">
        <v>1020947</v>
      </c>
      <c r="D729" t="s">
        <v>993</v>
      </c>
      <c r="E729">
        <v>50</v>
      </c>
      <c r="F729">
        <v>4</v>
      </c>
      <c r="G729">
        <v>0</v>
      </c>
      <c r="H729">
        <v>0</v>
      </c>
      <c r="I729" t="s">
        <v>24</v>
      </c>
      <c r="J729" t="s">
        <v>597</v>
      </c>
      <c r="K729" t="s">
        <v>2037</v>
      </c>
      <c r="L729" s="3">
        <v>45898</v>
      </c>
      <c r="M729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8.6805555555555559E-3</v>
      </c>
      <c r="N729" s="3">
        <v>45840</v>
      </c>
      <c r="O729" s="5">
        <f>IFERROR((PlanMasine[[#This Row],[Norma]]/PlanMasine[[#This Row],[Q]])*(PlanMasine[[#This Row],[Q]]/SUMIF(C:C,PlanMasine[[#This Row],[RN]],B:B)*PlanMasine[[#This Row],[KPLQ]]),0)</f>
        <v>12.5</v>
      </c>
      <c r="P729">
        <v>139605</v>
      </c>
      <c r="Q729">
        <f>COUNTIF(PROMJENA!A:A,PlanMasine[[#This Row],[KPL]]&amp;"-"&amp;PlanMasine[[#This Row],[RN]])</f>
        <v>0</v>
      </c>
      <c r="R729">
        <f>IFERROR(INDEX(REDOSLIJED!A:A,MATCH(PlanMasine[[#This Row],[KPL]],REDOSLIJED!B:B,0)),MAX(REDOSLIJED!A:A)+1)</f>
        <v>45</v>
      </c>
      <c r="S729" s="9">
        <f>SUM($M$2:M729)</f>
        <v>25.348680555555493</v>
      </c>
      <c r="T729" s="3">
        <f>PlanMasine[[#This Row],[Datum SAS]]-1</f>
        <v>45839</v>
      </c>
      <c r="U729">
        <f>WEEKDAY(PlanMasine[[#This Row],[ZAVRŠETAK MAŠINSKE]],2)</f>
        <v>2</v>
      </c>
      <c r="V729" s="3">
        <f>IF(WEEKDAY(PlanMasine[[#This Row],[Datum SAS]]-1,2)=7,PlanMasine[[#This Row],[Datum SAS]]-3,PlanMasine[[#This Row],[Datum SAS]]-1)</f>
        <v>45839</v>
      </c>
      <c r="W729">
        <f>WEEKNUM(PlanMasine[[#This Row],[Column2]],1)</f>
        <v>27</v>
      </c>
    </row>
    <row r="730" spans="1:23" x14ac:dyDescent="0.35">
      <c r="A730">
        <v>1020945</v>
      </c>
      <c r="B730">
        <v>1</v>
      </c>
      <c r="C730">
        <v>1020961</v>
      </c>
      <c r="D730" t="s">
        <v>1770</v>
      </c>
      <c r="E730">
        <v>120</v>
      </c>
      <c r="F730">
        <v>4</v>
      </c>
      <c r="G730">
        <v>0</v>
      </c>
      <c r="H730">
        <v>0</v>
      </c>
      <c r="I730" t="s">
        <v>24</v>
      </c>
      <c r="J730" t="s">
        <v>597</v>
      </c>
      <c r="K730" t="s">
        <v>2037</v>
      </c>
      <c r="L730" s="3">
        <v>45898</v>
      </c>
      <c r="M730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2.0833333333333332E-2</v>
      </c>
      <c r="N730" s="3">
        <v>45840</v>
      </c>
      <c r="O730" s="5">
        <f>IFERROR((PlanMasine[[#This Row],[Norma]]/PlanMasine[[#This Row],[Q]])*(PlanMasine[[#This Row],[Q]]/SUMIF(C:C,PlanMasine[[#This Row],[RN]],B:B)*PlanMasine[[#This Row],[KPLQ]]),0)</f>
        <v>30</v>
      </c>
      <c r="P730">
        <v>139619</v>
      </c>
      <c r="Q730">
        <f>COUNTIF(PROMJENA!A:A,PlanMasine[[#This Row],[KPL]]&amp;"-"&amp;PlanMasine[[#This Row],[RN]])</f>
        <v>0</v>
      </c>
      <c r="R730">
        <f>IFERROR(INDEX(REDOSLIJED!A:A,MATCH(PlanMasine[[#This Row],[KPL]],REDOSLIJED!B:B,0)),MAX(REDOSLIJED!A:A)+1)</f>
        <v>45</v>
      </c>
      <c r="S730" s="9">
        <f>SUM($M$2:M730)</f>
        <v>25.369513888888825</v>
      </c>
      <c r="T730" s="3">
        <f>PlanMasine[[#This Row],[Datum SAS]]-1</f>
        <v>45839</v>
      </c>
      <c r="U730">
        <f>WEEKDAY(PlanMasine[[#This Row],[ZAVRŠETAK MAŠINSKE]],2)</f>
        <v>2</v>
      </c>
      <c r="V730" s="3">
        <f>IF(WEEKDAY(PlanMasine[[#This Row],[Datum SAS]]-1,2)=7,PlanMasine[[#This Row],[Datum SAS]]-3,PlanMasine[[#This Row],[Datum SAS]]-1)</f>
        <v>45839</v>
      </c>
      <c r="W730">
        <f>WEEKNUM(PlanMasine[[#This Row],[Column2]],1)</f>
        <v>27</v>
      </c>
    </row>
    <row r="731" spans="1:23" x14ac:dyDescent="0.35">
      <c r="A731">
        <v>1020945</v>
      </c>
      <c r="B731">
        <v>1</v>
      </c>
      <c r="C731">
        <v>1020966</v>
      </c>
      <c r="D731" t="s">
        <v>1855</v>
      </c>
      <c r="E731">
        <v>80</v>
      </c>
      <c r="F731">
        <v>8</v>
      </c>
      <c r="G731">
        <v>0</v>
      </c>
      <c r="H731">
        <v>0</v>
      </c>
      <c r="I731" t="s">
        <v>24</v>
      </c>
      <c r="J731" t="s">
        <v>597</v>
      </c>
      <c r="K731" t="s">
        <v>2037</v>
      </c>
      <c r="L731" s="3">
        <v>45898</v>
      </c>
      <c r="M731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1.3888888888888888E-2</v>
      </c>
      <c r="N731" s="3">
        <v>45840</v>
      </c>
      <c r="O731" s="5">
        <f>IFERROR((PlanMasine[[#This Row],[Norma]]/PlanMasine[[#This Row],[Q]])*(PlanMasine[[#This Row],[Q]]/SUMIF(C:C,PlanMasine[[#This Row],[RN]],B:B)*PlanMasine[[#This Row],[KPLQ]]),0)</f>
        <v>20</v>
      </c>
      <c r="P731">
        <v>139624</v>
      </c>
      <c r="Q731">
        <f>COUNTIF(PROMJENA!A:A,PlanMasine[[#This Row],[KPL]]&amp;"-"&amp;PlanMasine[[#This Row],[RN]])</f>
        <v>0</v>
      </c>
      <c r="R731">
        <f>IFERROR(INDEX(REDOSLIJED!A:A,MATCH(PlanMasine[[#This Row],[KPL]],REDOSLIJED!B:B,0)),MAX(REDOSLIJED!A:A)+1)</f>
        <v>45</v>
      </c>
      <c r="S731" s="9">
        <f>SUM($M$2:M731)</f>
        <v>25.383402777777714</v>
      </c>
      <c r="T731" s="3">
        <f>PlanMasine[[#This Row],[Datum SAS]]-1</f>
        <v>45839</v>
      </c>
      <c r="U731">
        <f>WEEKDAY(PlanMasine[[#This Row],[ZAVRŠETAK MAŠINSKE]],2)</f>
        <v>2</v>
      </c>
      <c r="V731" s="3">
        <f>IF(WEEKDAY(PlanMasine[[#This Row],[Datum SAS]]-1,2)=7,PlanMasine[[#This Row],[Datum SAS]]-3,PlanMasine[[#This Row],[Datum SAS]]-1)</f>
        <v>45839</v>
      </c>
      <c r="W731">
        <f>WEEKNUM(PlanMasine[[#This Row],[Column2]],1)</f>
        <v>27</v>
      </c>
    </row>
    <row r="732" spans="1:23" x14ac:dyDescent="0.35">
      <c r="A732">
        <v>1020945</v>
      </c>
      <c r="B732">
        <v>1</v>
      </c>
      <c r="C732">
        <v>1020973</v>
      </c>
      <c r="D732" t="s">
        <v>1457</v>
      </c>
      <c r="E732">
        <v>300</v>
      </c>
      <c r="F732">
        <v>4</v>
      </c>
      <c r="G732">
        <v>0</v>
      </c>
      <c r="H732">
        <v>0</v>
      </c>
      <c r="I732" t="s">
        <v>24</v>
      </c>
      <c r="J732" t="s">
        <v>597</v>
      </c>
      <c r="K732" t="s">
        <v>2037</v>
      </c>
      <c r="L732" s="3">
        <v>45898</v>
      </c>
      <c r="M732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5.2083333333333336E-2</v>
      </c>
      <c r="N732" s="3">
        <v>45840</v>
      </c>
      <c r="O732" s="5">
        <f>IFERROR((PlanMasine[[#This Row],[Norma]]/PlanMasine[[#This Row],[Q]])*(PlanMasine[[#This Row],[Q]]/SUMIF(C:C,PlanMasine[[#This Row],[RN]],B:B)*PlanMasine[[#This Row],[KPLQ]]),0)</f>
        <v>75</v>
      </c>
      <c r="P732">
        <v>139631</v>
      </c>
      <c r="Q732">
        <f>COUNTIF(PROMJENA!A:A,PlanMasine[[#This Row],[KPL]]&amp;"-"&amp;PlanMasine[[#This Row],[RN]])</f>
        <v>0</v>
      </c>
      <c r="R732">
        <f>IFERROR(INDEX(REDOSLIJED!A:A,MATCH(PlanMasine[[#This Row],[KPL]],REDOSLIJED!B:B,0)),MAX(REDOSLIJED!A:A)+1)</f>
        <v>45</v>
      </c>
      <c r="S732" s="9">
        <f>SUM($M$2:M732)</f>
        <v>25.435486111111047</v>
      </c>
      <c r="T732" s="3">
        <f>PlanMasine[[#This Row],[Datum SAS]]-1</f>
        <v>45839</v>
      </c>
      <c r="U732">
        <f>WEEKDAY(PlanMasine[[#This Row],[ZAVRŠETAK MAŠINSKE]],2)</f>
        <v>2</v>
      </c>
      <c r="V732" s="3">
        <f>IF(WEEKDAY(PlanMasine[[#This Row],[Datum SAS]]-1,2)=7,PlanMasine[[#This Row],[Datum SAS]]-3,PlanMasine[[#This Row],[Datum SAS]]-1)</f>
        <v>45839</v>
      </c>
      <c r="W732">
        <f>WEEKNUM(PlanMasine[[#This Row],[Column2]],1)</f>
        <v>27</v>
      </c>
    </row>
    <row r="733" spans="1:23" x14ac:dyDescent="0.35">
      <c r="A733">
        <v>1020945</v>
      </c>
      <c r="B733">
        <v>1</v>
      </c>
      <c r="C733">
        <v>1020957</v>
      </c>
      <c r="D733" t="s">
        <v>1771</v>
      </c>
      <c r="E733">
        <v>60</v>
      </c>
      <c r="F733">
        <v>4</v>
      </c>
      <c r="G733">
        <v>0</v>
      </c>
      <c r="H733">
        <v>0</v>
      </c>
      <c r="I733" t="s">
        <v>24</v>
      </c>
      <c r="J733" t="s">
        <v>597</v>
      </c>
      <c r="K733" t="s">
        <v>2037</v>
      </c>
      <c r="L733" s="3">
        <v>45898</v>
      </c>
      <c r="M733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1.0416666666666666E-2</v>
      </c>
      <c r="N733" s="3">
        <v>45840</v>
      </c>
      <c r="O733" s="5">
        <f>IFERROR((PlanMasine[[#This Row],[Norma]]/PlanMasine[[#This Row],[Q]])*(PlanMasine[[#This Row],[Q]]/SUMIF(C:C,PlanMasine[[#This Row],[RN]],B:B)*PlanMasine[[#This Row],[KPLQ]]),0)</f>
        <v>15</v>
      </c>
      <c r="P733">
        <v>139615</v>
      </c>
      <c r="Q733">
        <f>COUNTIF(PROMJENA!A:A,PlanMasine[[#This Row],[KPL]]&amp;"-"&amp;PlanMasine[[#This Row],[RN]])</f>
        <v>0</v>
      </c>
      <c r="R733">
        <f>IFERROR(INDEX(REDOSLIJED!A:A,MATCH(PlanMasine[[#This Row],[KPL]],REDOSLIJED!B:B,0)),MAX(REDOSLIJED!A:A)+1)</f>
        <v>45</v>
      </c>
      <c r="S733" s="9">
        <f>SUM($M$2:M733)</f>
        <v>25.445902777777714</v>
      </c>
      <c r="T733" s="3">
        <f>PlanMasine[[#This Row],[Datum SAS]]-1</f>
        <v>45839</v>
      </c>
      <c r="U733">
        <f>WEEKDAY(PlanMasine[[#This Row],[ZAVRŠETAK MAŠINSKE]],2)</f>
        <v>2</v>
      </c>
      <c r="V733" s="3">
        <f>IF(WEEKDAY(PlanMasine[[#This Row],[Datum SAS]]-1,2)=7,PlanMasine[[#This Row],[Datum SAS]]-3,PlanMasine[[#This Row],[Datum SAS]]-1)</f>
        <v>45839</v>
      </c>
      <c r="W733">
        <f>WEEKNUM(PlanMasine[[#This Row],[Column2]],1)</f>
        <v>27</v>
      </c>
    </row>
    <row r="734" spans="1:23" x14ac:dyDescent="0.35">
      <c r="A734">
        <v>1020945</v>
      </c>
      <c r="B734">
        <v>1</v>
      </c>
      <c r="C734">
        <v>1020960</v>
      </c>
      <c r="D734" t="s">
        <v>977</v>
      </c>
      <c r="E734">
        <v>100</v>
      </c>
      <c r="F734">
        <v>4</v>
      </c>
      <c r="G734">
        <v>0</v>
      </c>
      <c r="H734">
        <v>0</v>
      </c>
      <c r="I734" t="s">
        <v>24</v>
      </c>
      <c r="J734" t="s">
        <v>597</v>
      </c>
      <c r="K734" t="s">
        <v>2037</v>
      </c>
      <c r="L734" s="3">
        <v>45898</v>
      </c>
      <c r="M734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1.7361111111111112E-2</v>
      </c>
      <c r="N734" s="3">
        <v>45840</v>
      </c>
      <c r="O734" s="5">
        <f>IFERROR((PlanMasine[[#This Row],[Norma]]/PlanMasine[[#This Row],[Q]])*(PlanMasine[[#This Row],[Q]]/SUMIF(C:C,PlanMasine[[#This Row],[RN]],B:B)*PlanMasine[[#This Row],[KPLQ]]),0)</f>
        <v>25</v>
      </c>
      <c r="P734">
        <v>139618</v>
      </c>
      <c r="Q734">
        <f>COUNTIF(PROMJENA!A:A,PlanMasine[[#This Row],[KPL]]&amp;"-"&amp;PlanMasine[[#This Row],[RN]])</f>
        <v>0</v>
      </c>
      <c r="R734">
        <f>IFERROR(INDEX(REDOSLIJED!A:A,MATCH(PlanMasine[[#This Row],[KPL]],REDOSLIJED!B:B,0)),MAX(REDOSLIJED!A:A)+1)</f>
        <v>45</v>
      </c>
      <c r="S734" s="9">
        <f>SUM($M$2:M734)</f>
        <v>25.463263888888825</v>
      </c>
      <c r="T734" s="3">
        <f>PlanMasine[[#This Row],[Datum SAS]]-1</f>
        <v>45839</v>
      </c>
      <c r="U734">
        <f>WEEKDAY(PlanMasine[[#This Row],[ZAVRŠETAK MAŠINSKE]],2)</f>
        <v>2</v>
      </c>
      <c r="V734" s="3">
        <f>IF(WEEKDAY(PlanMasine[[#This Row],[Datum SAS]]-1,2)=7,PlanMasine[[#This Row],[Datum SAS]]-3,PlanMasine[[#This Row],[Datum SAS]]-1)</f>
        <v>45839</v>
      </c>
      <c r="W734">
        <f>WEEKNUM(PlanMasine[[#This Row],[Column2]],1)</f>
        <v>27</v>
      </c>
    </row>
    <row r="735" spans="1:23" x14ac:dyDescent="0.35">
      <c r="A735">
        <v>1020946</v>
      </c>
      <c r="B735">
        <v>1</v>
      </c>
      <c r="C735">
        <v>1020961</v>
      </c>
      <c r="D735" t="s">
        <v>1770</v>
      </c>
      <c r="E735">
        <v>120</v>
      </c>
      <c r="F735">
        <v>4</v>
      </c>
      <c r="G735">
        <v>0</v>
      </c>
      <c r="H735">
        <v>0</v>
      </c>
      <c r="I735" t="s">
        <v>24</v>
      </c>
      <c r="J735" t="s">
        <v>597</v>
      </c>
      <c r="K735" t="s">
        <v>2037</v>
      </c>
      <c r="L735" s="3">
        <v>45898</v>
      </c>
      <c r="M735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2.0833333333333332E-2</v>
      </c>
      <c r="N735" s="3">
        <v>45840</v>
      </c>
      <c r="O735" s="5">
        <f>IFERROR((PlanMasine[[#This Row],[Norma]]/PlanMasine[[#This Row],[Q]])*(PlanMasine[[#This Row],[Q]]/SUMIF(C:C,PlanMasine[[#This Row],[RN]],B:B)*PlanMasine[[#This Row],[KPLQ]]),0)</f>
        <v>30</v>
      </c>
      <c r="P735">
        <v>139619</v>
      </c>
      <c r="Q735">
        <f>COUNTIF(PROMJENA!A:A,PlanMasine[[#This Row],[KPL]]&amp;"-"&amp;PlanMasine[[#This Row],[RN]])</f>
        <v>0</v>
      </c>
      <c r="R735">
        <f>IFERROR(INDEX(REDOSLIJED!A:A,MATCH(PlanMasine[[#This Row],[KPL]],REDOSLIJED!B:B,0)),MAX(REDOSLIJED!A:A)+1)</f>
        <v>45</v>
      </c>
      <c r="S735" s="9">
        <f>SUM($M$2:M735)</f>
        <v>25.484097222222157</v>
      </c>
      <c r="T735" s="3">
        <f>PlanMasine[[#This Row],[Datum SAS]]-1</f>
        <v>45839</v>
      </c>
      <c r="U735">
        <f>WEEKDAY(PlanMasine[[#This Row],[ZAVRŠETAK MAŠINSKE]],2)</f>
        <v>2</v>
      </c>
      <c r="V735" s="3">
        <f>IF(WEEKDAY(PlanMasine[[#This Row],[Datum SAS]]-1,2)=7,PlanMasine[[#This Row],[Datum SAS]]-3,PlanMasine[[#This Row],[Datum SAS]]-1)</f>
        <v>45839</v>
      </c>
      <c r="W735">
        <f>WEEKNUM(PlanMasine[[#This Row],[Column2]],1)</f>
        <v>27</v>
      </c>
    </row>
    <row r="736" spans="1:23" x14ac:dyDescent="0.35">
      <c r="A736">
        <v>1020946</v>
      </c>
      <c r="B736">
        <v>1</v>
      </c>
      <c r="C736">
        <v>1020950</v>
      </c>
      <c r="D736" t="s">
        <v>1772</v>
      </c>
      <c r="E736">
        <v>80</v>
      </c>
      <c r="F736">
        <v>4</v>
      </c>
      <c r="G736">
        <v>0</v>
      </c>
      <c r="H736">
        <v>0</v>
      </c>
      <c r="I736" t="s">
        <v>24</v>
      </c>
      <c r="J736" t="s">
        <v>597</v>
      </c>
      <c r="K736" t="s">
        <v>2037</v>
      </c>
      <c r="L736" s="3">
        <v>45898</v>
      </c>
      <c r="M736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1.3888888888888888E-2</v>
      </c>
      <c r="N736" s="3">
        <v>45840</v>
      </c>
      <c r="O736" s="5">
        <f>IFERROR((PlanMasine[[#This Row],[Norma]]/PlanMasine[[#This Row],[Q]])*(PlanMasine[[#This Row],[Q]]/SUMIF(C:C,PlanMasine[[#This Row],[RN]],B:B)*PlanMasine[[#This Row],[KPLQ]]),0)</f>
        <v>20</v>
      </c>
      <c r="P736">
        <v>139608</v>
      </c>
      <c r="Q736">
        <f>COUNTIF(PROMJENA!A:A,PlanMasine[[#This Row],[KPL]]&amp;"-"&amp;PlanMasine[[#This Row],[RN]])</f>
        <v>0</v>
      </c>
      <c r="R736">
        <f>IFERROR(INDEX(REDOSLIJED!A:A,MATCH(PlanMasine[[#This Row],[KPL]],REDOSLIJED!B:B,0)),MAX(REDOSLIJED!A:A)+1)</f>
        <v>45</v>
      </c>
      <c r="S736" s="9">
        <f>SUM($M$2:M736)</f>
        <v>25.497986111111047</v>
      </c>
      <c r="T736" s="3">
        <f>PlanMasine[[#This Row],[Datum SAS]]-1</f>
        <v>45839</v>
      </c>
      <c r="U736">
        <f>WEEKDAY(PlanMasine[[#This Row],[ZAVRŠETAK MAŠINSKE]],2)</f>
        <v>2</v>
      </c>
      <c r="V736" s="3">
        <f>IF(WEEKDAY(PlanMasine[[#This Row],[Datum SAS]]-1,2)=7,PlanMasine[[#This Row],[Datum SAS]]-3,PlanMasine[[#This Row],[Datum SAS]]-1)</f>
        <v>45839</v>
      </c>
      <c r="W736">
        <f>WEEKNUM(PlanMasine[[#This Row],[Column2]],1)</f>
        <v>27</v>
      </c>
    </row>
    <row r="737" spans="1:23" x14ac:dyDescent="0.35">
      <c r="A737">
        <v>1020946</v>
      </c>
      <c r="B737">
        <v>1</v>
      </c>
      <c r="C737">
        <v>1020966</v>
      </c>
      <c r="D737" t="s">
        <v>1855</v>
      </c>
      <c r="E737">
        <v>80</v>
      </c>
      <c r="F737">
        <v>8</v>
      </c>
      <c r="G737">
        <v>0</v>
      </c>
      <c r="H737">
        <v>0</v>
      </c>
      <c r="I737" t="s">
        <v>24</v>
      </c>
      <c r="J737" t="s">
        <v>597</v>
      </c>
      <c r="K737" t="s">
        <v>2037</v>
      </c>
      <c r="L737" s="3">
        <v>45898</v>
      </c>
      <c r="M737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1.3888888888888888E-2</v>
      </c>
      <c r="N737" s="3">
        <v>45840</v>
      </c>
      <c r="O737" s="5">
        <f>IFERROR((PlanMasine[[#This Row],[Norma]]/PlanMasine[[#This Row],[Q]])*(PlanMasine[[#This Row],[Q]]/SUMIF(C:C,PlanMasine[[#This Row],[RN]],B:B)*PlanMasine[[#This Row],[KPLQ]]),0)</f>
        <v>20</v>
      </c>
      <c r="P737">
        <v>139624</v>
      </c>
      <c r="Q737">
        <f>COUNTIF(PROMJENA!A:A,PlanMasine[[#This Row],[KPL]]&amp;"-"&amp;PlanMasine[[#This Row],[RN]])</f>
        <v>0</v>
      </c>
      <c r="R737">
        <f>IFERROR(INDEX(REDOSLIJED!A:A,MATCH(PlanMasine[[#This Row],[KPL]],REDOSLIJED!B:B,0)),MAX(REDOSLIJED!A:A)+1)</f>
        <v>45</v>
      </c>
      <c r="S737" s="9">
        <f>SUM($M$2:M737)</f>
        <v>25.511874999999936</v>
      </c>
      <c r="T737" s="3">
        <f>PlanMasine[[#This Row],[Datum SAS]]-1</f>
        <v>45839</v>
      </c>
      <c r="U737">
        <f>WEEKDAY(PlanMasine[[#This Row],[ZAVRŠETAK MAŠINSKE]],2)</f>
        <v>2</v>
      </c>
      <c r="V737" s="3">
        <f>IF(WEEKDAY(PlanMasine[[#This Row],[Datum SAS]]-1,2)=7,PlanMasine[[#This Row],[Datum SAS]]-3,PlanMasine[[#This Row],[Datum SAS]]-1)</f>
        <v>45839</v>
      </c>
      <c r="W737">
        <f>WEEKNUM(PlanMasine[[#This Row],[Column2]],1)</f>
        <v>27</v>
      </c>
    </row>
    <row r="738" spans="1:23" x14ac:dyDescent="0.35">
      <c r="A738">
        <v>1020946</v>
      </c>
      <c r="B738">
        <v>1</v>
      </c>
      <c r="C738">
        <v>1020973</v>
      </c>
      <c r="D738" t="s">
        <v>1457</v>
      </c>
      <c r="E738">
        <v>300</v>
      </c>
      <c r="F738">
        <v>4</v>
      </c>
      <c r="G738">
        <v>0</v>
      </c>
      <c r="H738">
        <v>0</v>
      </c>
      <c r="I738" t="s">
        <v>24</v>
      </c>
      <c r="J738" t="s">
        <v>597</v>
      </c>
      <c r="K738" t="s">
        <v>2037</v>
      </c>
      <c r="L738" s="3">
        <v>45898</v>
      </c>
      <c r="M738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5.2083333333333336E-2</v>
      </c>
      <c r="N738" s="3">
        <v>45840</v>
      </c>
      <c r="O738" s="5">
        <f>IFERROR((PlanMasine[[#This Row],[Norma]]/PlanMasine[[#This Row],[Q]])*(PlanMasine[[#This Row],[Q]]/SUMIF(C:C,PlanMasine[[#This Row],[RN]],B:B)*PlanMasine[[#This Row],[KPLQ]]),0)</f>
        <v>75</v>
      </c>
      <c r="P738">
        <v>139631</v>
      </c>
      <c r="Q738">
        <f>COUNTIF(PROMJENA!A:A,PlanMasine[[#This Row],[KPL]]&amp;"-"&amp;PlanMasine[[#This Row],[RN]])</f>
        <v>0</v>
      </c>
      <c r="R738">
        <f>IFERROR(INDEX(REDOSLIJED!A:A,MATCH(PlanMasine[[#This Row],[KPL]],REDOSLIJED!B:B,0)),MAX(REDOSLIJED!A:A)+1)</f>
        <v>45</v>
      </c>
      <c r="S738" s="9">
        <f>SUM($M$2:M738)</f>
        <v>25.563958333333268</v>
      </c>
      <c r="T738" s="3">
        <f>PlanMasine[[#This Row],[Datum SAS]]-1</f>
        <v>45839</v>
      </c>
      <c r="U738">
        <f>WEEKDAY(PlanMasine[[#This Row],[ZAVRŠETAK MAŠINSKE]],2)</f>
        <v>2</v>
      </c>
      <c r="V738" s="3">
        <f>IF(WEEKDAY(PlanMasine[[#This Row],[Datum SAS]]-1,2)=7,PlanMasine[[#This Row],[Datum SAS]]-3,PlanMasine[[#This Row],[Datum SAS]]-1)</f>
        <v>45839</v>
      </c>
      <c r="W738">
        <f>WEEKNUM(PlanMasine[[#This Row],[Column2]],1)</f>
        <v>27</v>
      </c>
    </row>
    <row r="739" spans="1:23" x14ac:dyDescent="0.35">
      <c r="A739">
        <v>1020946</v>
      </c>
      <c r="B739">
        <v>1</v>
      </c>
      <c r="C739">
        <v>1020960</v>
      </c>
      <c r="D739" t="s">
        <v>977</v>
      </c>
      <c r="E739">
        <v>100</v>
      </c>
      <c r="F739">
        <v>4</v>
      </c>
      <c r="G739">
        <v>0</v>
      </c>
      <c r="H739">
        <v>0</v>
      </c>
      <c r="I739" t="s">
        <v>24</v>
      </c>
      <c r="J739" t="s">
        <v>597</v>
      </c>
      <c r="K739" t="s">
        <v>2037</v>
      </c>
      <c r="L739" s="3">
        <v>45898</v>
      </c>
      <c r="M739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1.7361111111111112E-2</v>
      </c>
      <c r="N739" s="3">
        <v>45840</v>
      </c>
      <c r="O739" s="5">
        <f>IFERROR((PlanMasine[[#This Row],[Norma]]/PlanMasine[[#This Row],[Q]])*(PlanMasine[[#This Row],[Q]]/SUMIF(C:C,PlanMasine[[#This Row],[RN]],B:B)*PlanMasine[[#This Row],[KPLQ]]),0)</f>
        <v>25</v>
      </c>
      <c r="P739">
        <v>139618</v>
      </c>
      <c r="Q739">
        <f>COUNTIF(PROMJENA!A:A,PlanMasine[[#This Row],[KPL]]&amp;"-"&amp;PlanMasine[[#This Row],[RN]])</f>
        <v>0</v>
      </c>
      <c r="R739">
        <f>IFERROR(INDEX(REDOSLIJED!A:A,MATCH(PlanMasine[[#This Row],[KPL]],REDOSLIJED!B:B,0)),MAX(REDOSLIJED!A:A)+1)</f>
        <v>45</v>
      </c>
      <c r="S739" s="9">
        <f>SUM($M$2:M739)</f>
        <v>25.581319444444379</v>
      </c>
      <c r="T739" s="3">
        <f>PlanMasine[[#This Row],[Datum SAS]]-1</f>
        <v>45839</v>
      </c>
      <c r="U739">
        <f>WEEKDAY(PlanMasine[[#This Row],[ZAVRŠETAK MAŠINSKE]],2)</f>
        <v>2</v>
      </c>
      <c r="V739" s="3">
        <f>IF(WEEKDAY(PlanMasine[[#This Row],[Datum SAS]]-1,2)=7,PlanMasine[[#This Row],[Datum SAS]]-3,PlanMasine[[#This Row],[Datum SAS]]-1)</f>
        <v>45839</v>
      </c>
      <c r="W739">
        <f>WEEKNUM(PlanMasine[[#This Row],[Column2]],1)</f>
        <v>27</v>
      </c>
    </row>
    <row r="740" spans="1:23" x14ac:dyDescent="0.35">
      <c r="A740">
        <v>1020946</v>
      </c>
      <c r="B740">
        <v>1</v>
      </c>
      <c r="C740">
        <v>1020947</v>
      </c>
      <c r="D740" t="s">
        <v>993</v>
      </c>
      <c r="E740">
        <v>50</v>
      </c>
      <c r="F740">
        <v>4</v>
      </c>
      <c r="G740">
        <v>0</v>
      </c>
      <c r="H740">
        <v>0</v>
      </c>
      <c r="I740" t="s">
        <v>24</v>
      </c>
      <c r="J740" t="s">
        <v>597</v>
      </c>
      <c r="K740" t="s">
        <v>2037</v>
      </c>
      <c r="L740" s="3">
        <v>45898</v>
      </c>
      <c r="M740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8.6805555555555559E-3</v>
      </c>
      <c r="N740" s="3">
        <v>45840</v>
      </c>
      <c r="O740" s="5">
        <f>IFERROR((PlanMasine[[#This Row],[Norma]]/PlanMasine[[#This Row],[Q]])*(PlanMasine[[#This Row],[Q]]/SUMIF(C:C,PlanMasine[[#This Row],[RN]],B:B)*PlanMasine[[#This Row],[KPLQ]]),0)</f>
        <v>12.5</v>
      </c>
      <c r="P740">
        <v>139605</v>
      </c>
      <c r="Q740">
        <f>COUNTIF(PROMJENA!A:A,PlanMasine[[#This Row],[KPL]]&amp;"-"&amp;PlanMasine[[#This Row],[RN]])</f>
        <v>0</v>
      </c>
      <c r="R740">
        <f>IFERROR(INDEX(REDOSLIJED!A:A,MATCH(PlanMasine[[#This Row],[KPL]],REDOSLIJED!B:B,0)),MAX(REDOSLIJED!A:A)+1)</f>
        <v>45</v>
      </c>
      <c r="S740" s="9">
        <f>SUM($M$2:M740)</f>
        <v>25.589999999999936</v>
      </c>
      <c r="T740" s="3">
        <f>PlanMasine[[#This Row],[Datum SAS]]-1</f>
        <v>45839</v>
      </c>
      <c r="U740">
        <f>WEEKDAY(PlanMasine[[#This Row],[ZAVRŠETAK MAŠINSKE]],2)</f>
        <v>2</v>
      </c>
      <c r="V740" s="3">
        <f>IF(WEEKDAY(PlanMasine[[#This Row],[Datum SAS]]-1,2)=7,PlanMasine[[#This Row],[Datum SAS]]-3,PlanMasine[[#This Row],[Datum SAS]]-1)</f>
        <v>45839</v>
      </c>
      <c r="W740">
        <f>WEEKNUM(PlanMasine[[#This Row],[Column2]],1)</f>
        <v>27</v>
      </c>
    </row>
    <row r="741" spans="1:23" x14ac:dyDescent="0.35">
      <c r="A741">
        <v>1020946</v>
      </c>
      <c r="B741">
        <v>1</v>
      </c>
      <c r="C741">
        <v>1020948</v>
      </c>
      <c r="D741" t="s">
        <v>994</v>
      </c>
      <c r="E741">
        <v>50</v>
      </c>
      <c r="F741">
        <v>4</v>
      </c>
      <c r="G741">
        <v>0</v>
      </c>
      <c r="H741">
        <v>0</v>
      </c>
      <c r="I741" t="s">
        <v>24</v>
      </c>
      <c r="J741" t="s">
        <v>597</v>
      </c>
      <c r="K741" t="s">
        <v>2037</v>
      </c>
      <c r="L741" s="3">
        <v>45898</v>
      </c>
      <c r="M741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8.6805555555555559E-3</v>
      </c>
      <c r="N741" s="3">
        <v>45840</v>
      </c>
      <c r="O741" s="5">
        <f>IFERROR((PlanMasine[[#This Row],[Norma]]/PlanMasine[[#This Row],[Q]])*(PlanMasine[[#This Row],[Q]]/SUMIF(C:C,PlanMasine[[#This Row],[RN]],B:B)*PlanMasine[[#This Row],[KPLQ]]),0)</f>
        <v>12.5</v>
      </c>
      <c r="P741">
        <v>139606</v>
      </c>
      <c r="Q741">
        <f>COUNTIF(PROMJENA!A:A,PlanMasine[[#This Row],[KPL]]&amp;"-"&amp;PlanMasine[[#This Row],[RN]])</f>
        <v>0</v>
      </c>
      <c r="R741">
        <f>IFERROR(INDEX(REDOSLIJED!A:A,MATCH(PlanMasine[[#This Row],[KPL]],REDOSLIJED!B:B,0)),MAX(REDOSLIJED!A:A)+1)</f>
        <v>45</v>
      </c>
      <c r="S741" s="9">
        <f>SUM($M$2:M741)</f>
        <v>25.598680555555493</v>
      </c>
      <c r="T741" s="3">
        <f>PlanMasine[[#This Row],[Datum SAS]]-1</f>
        <v>45839</v>
      </c>
      <c r="U741">
        <f>WEEKDAY(PlanMasine[[#This Row],[ZAVRŠETAK MAŠINSKE]],2)</f>
        <v>2</v>
      </c>
      <c r="V741" s="3">
        <f>IF(WEEKDAY(PlanMasine[[#This Row],[Datum SAS]]-1,2)=7,PlanMasine[[#This Row],[Datum SAS]]-3,PlanMasine[[#This Row],[Datum SAS]]-1)</f>
        <v>45839</v>
      </c>
      <c r="W741">
        <f>WEEKNUM(PlanMasine[[#This Row],[Column2]],1)</f>
        <v>27</v>
      </c>
    </row>
    <row r="742" spans="1:23" x14ac:dyDescent="0.35">
      <c r="A742">
        <v>1020946</v>
      </c>
      <c r="B742">
        <v>1</v>
      </c>
      <c r="C742">
        <v>1020957</v>
      </c>
      <c r="D742" t="s">
        <v>1771</v>
      </c>
      <c r="E742">
        <v>60</v>
      </c>
      <c r="F742">
        <v>4</v>
      </c>
      <c r="G742">
        <v>0</v>
      </c>
      <c r="H742">
        <v>0</v>
      </c>
      <c r="I742" t="s">
        <v>24</v>
      </c>
      <c r="J742" t="s">
        <v>597</v>
      </c>
      <c r="K742" t="s">
        <v>2037</v>
      </c>
      <c r="L742" s="3">
        <v>45898</v>
      </c>
      <c r="M742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1.0416666666666666E-2</v>
      </c>
      <c r="N742" s="3">
        <v>45840</v>
      </c>
      <c r="O742" s="5">
        <f>IFERROR((PlanMasine[[#This Row],[Norma]]/PlanMasine[[#This Row],[Q]])*(PlanMasine[[#This Row],[Q]]/SUMIF(C:C,PlanMasine[[#This Row],[RN]],B:B)*PlanMasine[[#This Row],[KPLQ]]),0)</f>
        <v>15</v>
      </c>
      <c r="P742">
        <v>139615</v>
      </c>
      <c r="Q742">
        <f>COUNTIF(PROMJENA!A:A,PlanMasine[[#This Row],[KPL]]&amp;"-"&amp;PlanMasine[[#This Row],[RN]])</f>
        <v>0</v>
      </c>
      <c r="R742">
        <f>IFERROR(INDEX(REDOSLIJED!A:A,MATCH(PlanMasine[[#This Row],[KPL]],REDOSLIJED!B:B,0)),MAX(REDOSLIJED!A:A)+1)</f>
        <v>45</v>
      </c>
      <c r="S742" s="9">
        <f>SUM($M$2:M742)</f>
        <v>25.609097222222161</v>
      </c>
      <c r="T742" s="3">
        <f>PlanMasine[[#This Row],[Datum SAS]]-1</f>
        <v>45839</v>
      </c>
      <c r="U742">
        <f>WEEKDAY(PlanMasine[[#This Row],[ZAVRŠETAK MAŠINSKE]],2)</f>
        <v>2</v>
      </c>
      <c r="V742" s="3">
        <f>IF(WEEKDAY(PlanMasine[[#This Row],[Datum SAS]]-1,2)=7,PlanMasine[[#This Row],[Datum SAS]]-3,PlanMasine[[#This Row],[Datum SAS]]-1)</f>
        <v>45839</v>
      </c>
      <c r="W742">
        <f>WEEKNUM(PlanMasine[[#This Row],[Column2]],1)</f>
        <v>27</v>
      </c>
    </row>
    <row r="743" spans="1:23" x14ac:dyDescent="0.35">
      <c r="A743">
        <v>1020891</v>
      </c>
      <c r="B743">
        <v>1</v>
      </c>
      <c r="C743">
        <v>1020904</v>
      </c>
      <c r="D743" t="s">
        <v>1653</v>
      </c>
      <c r="E743">
        <v>320</v>
      </c>
      <c r="F743">
        <v>4</v>
      </c>
      <c r="G743">
        <v>0</v>
      </c>
      <c r="H743">
        <v>0</v>
      </c>
      <c r="I743" t="s">
        <v>24</v>
      </c>
      <c r="J743" t="s">
        <v>597</v>
      </c>
      <c r="K743" t="s">
        <v>2036</v>
      </c>
      <c r="L743" s="3">
        <v>45869</v>
      </c>
      <c r="M743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5.5555555555555552E-2</v>
      </c>
      <c r="N743" s="3">
        <v>45841</v>
      </c>
      <c r="O743" s="5">
        <f>IFERROR((PlanMasine[[#This Row],[Norma]]/PlanMasine[[#This Row],[Q]])*(PlanMasine[[#This Row],[Q]]/SUMIF(C:C,PlanMasine[[#This Row],[RN]],B:B)*PlanMasine[[#This Row],[KPLQ]]),0)</f>
        <v>80</v>
      </c>
      <c r="P743">
        <v>140041</v>
      </c>
      <c r="Q743">
        <f>COUNTIF(PROMJENA!A:A,PlanMasine[[#This Row],[KPL]]&amp;"-"&amp;PlanMasine[[#This Row],[RN]])</f>
        <v>0</v>
      </c>
      <c r="R743">
        <f>IFERROR(INDEX(REDOSLIJED!A:A,MATCH(PlanMasine[[#This Row],[KPL]],REDOSLIJED!B:B,0)),MAX(REDOSLIJED!A:A)+1)</f>
        <v>45</v>
      </c>
      <c r="S743" s="9">
        <f>SUM($M$2:M743)</f>
        <v>25.664652777777718</v>
      </c>
      <c r="T743" s="3">
        <f>PlanMasine[[#This Row],[Datum SAS]]-1</f>
        <v>45840</v>
      </c>
      <c r="U743">
        <f>WEEKDAY(PlanMasine[[#This Row],[ZAVRŠETAK MAŠINSKE]],2)</f>
        <v>3</v>
      </c>
      <c r="V743" s="3">
        <f>IF(WEEKDAY(PlanMasine[[#This Row],[Datum SAS]]-1,2)=7,PlanMasine[[#This Row],[Datum SAS]]-3,PlanMasine[[#This Row],[Datum SAS]]-1)</f>
        <v>45840</v>
      </c>
      <c r="W743">
        <f>WEEKNUM(PlanMasine[[#This Row],[Column2]],1)</f>
        <v>27</v>
      </c>
    </row>
    <row r="744" spans="1:23" x14ac:dyDescent="0.35">
      <c r="A744">
        <v>1020891</v>
      </c>
      <c r="B744">
        <v>1</v>
      </c>
      <c r="C744">
        <v>1020919</v>
      </c>
      <c r="D744" t="s">
        <v>444</v>
      </c>
      <c r="E744">
        <v>120</v>
      </c>
      <c r="F744">
        <v>4</v>
      </c>
      <c r="G744">
        <v>0</v>
      </c>
      <c r="H744">
        <v>0</v>
      </c>
      <c r="I744" t="s">
        <v>24</v>
      </c>
      <c r="J744" t="s">
        <v>597</v>
      </c>
      <c r="K744" t="s">
        <v>2036</v>
      </c>
      <c r="L744" s="3">
        <v>45869</v>
      </c>
      <c r="M744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2.0833333333333332E-2</v>
      </c>
      <c r="N744" s="3">
        <v>45841</v>
      </c>
      <c r="O744" s="5">
        <f>IFERROR((PlanMasine[[#This Row],[Norma]]/PlanMasine[[#This Row],[Q]])*(PlanMasine[[#This Row],[Q]]/SUMIF(C:C,PlanMasine[[#This Row],[RN]],B:B)*PlanMasine[[#This Row],[KPLQ]]),0)</f>
        <v>30</v>
      </c>
      <c r="P744">
        <v>140056</v>
      </c>
      <c r="Q744">
        <f>COUNTIF(PROMJENA!A:A,PlanMasine[[#This Row],[KPL]]&amp;"-"&amp;PlanMasine[[#This Row],[RN]])</f>
        <v>0</v>
      </c>
      <c r="R744">
        <f>IFERROR(INDEX(REDOSLIJED!A:A,MATCH(PlanMasine[[#This Row],[KPL]],REDOSLIJED!B:B,0)),MAX(REDOSLIJED!A:A)+1)</f>
        <v>45</v>
      </c>
      <c r="S744" s="9">
        <f>SUM($M$2:M744)</f>
        <v>25.68548611111105</v>
      </c>
      <c r="T744" s="3">
        <f>PlanMasine[[#This Row],[Datum SAS]]-1</f>
        <v>45840</v>
      </c>
      <c r="U744">
        <f>WEEKDAY(PlanMasine[[#This Row],[ZAVRŠETAK MAŠINSKE]],2)</f>
        <v>3</v>
      </c>
      <c r="V744" s="3">
        <f>IF(WEEKDAY(PlanMasine[[#This Row],[Datum SAS]]-1,2)=7,PlanMasine[[#This Row],[Datum SAS]]-3,PlanMasine[[#This Row],[Datum SAS]]-1)</f>
        <v>45840</v>
      </c>
      <c r="W744">
        <f>WEEKNUM(PlanMasine[[#This Row],[Column2]],1)</f>
        <v>27</v>
      </c>
    </row>
    <row r="745" spans="1:23" x14ac:dyDescent="0.35">
      <c r="A745">
        <v>1020891</v>
      </c>
      <c r="B745">
        <v>1</v>
      </c>
      <c r="C745">
        <v>1020918</v>
      </c>
      <c r="D745" t="s">
        <v>443</v>
      </c>
      <c r="E745">
        <v>80</v>
      </c>
      <c r="F745">
        <v>4</v>
      </c>
      <c r="G745">
        <v>0</v>
      </c>
      <c r="H745">
        <v>0</v>
      </c>
      <c r="I745" t="s">
        <v>24</v>
      </c>
      <c r="J745" t="s">
        <v>597</v>
      </c>
      <c r="K745" t="s">
        <v>2036</v>
      </c>
      <c r="L745" s="3">
        <v>45869</v>
      </c>
      <c r="M745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1.3888888888888888E-2</v>
      </c>
      <c r="N745" s="3">
        <v>45841</v>
      </c>
      <c r="O745" s="5">
        <f>IFERROR((PlanMasine[[#This Row],[Norma]]/PlanMasine[[#This Row],[Q]])*(PlanMasine[[#This Row],[Q]]/SUMIF(C:C,PlanMasine[[#This Row],[RN]],B:B)*PlanMasine[[#This Row],[KPLQ]]),0)</f>
        <v>20</v>
      </c>
      <c r="P745">
        <v>140055</v>
      </c>
      <c r="Q745">
        <f>COUNTIF(PROMJENA!A:A,PlanMasine[[#This Row],[KPL]]&amp;"-"&amp;PlanMasine[[#This Row],[RN]])</f>
        <v>0</v>
      </c>
      <c r="R745">
        <f>IFERROR(INDEX(REDOSLIJED!A:A,MATCH(PlanMasine[[#This Row],[KPL]],REDOSLIJED!B:B,0)),MAX(REDOSLIJED!A:A)+1)</f>
        <v>45</v>
      </c>
      <c r="S745" s="9">
        <f>SUM($M$2:M745)</f>
        <v>25.699374999999939</v>
      </c>
      <c r="T745" s="3">
        <f>PlanMasine[[#This Row],[Datum SAS]]-1</f>
        <v>45840</v>
      </c>
      <c r="U745">
        <f>WEEKDAY(PlanMasine[[#This Row],[ZAVRŠETAK MAŠINSKE]],2)</f>
        <v>3</v>
      </c>
      <c r="V745" s="3">
        <f>IF(WEEKDAY(PlanMasine[[#This Row],[Datum SAS]]-1,2)=7,PlanMasine[[#This Row],[Datum SAS]]-3,PlanMasine[[#This Row],[Datum SAS]]-1)</f>
        <v>45840</v>
      </c>
      <c r="W745">
        <f>WEEKNUM(PlanMasine[[#This Row],[Column2]],1)</f>
        <v>27</v>
      </c>
    </row>
    <row r="746" spans="1:23" x14ac:dyDescent="0.35">
      <c r="A746">
        <v>1020891</v>
      </c>
      <c r="B746">
        <v>1</v>
      </c>
      <c r="C746">
        <v>1020924</v>
      </c>
      <c r="D746" t="s">
        <v>179</v>
      </c>
      <c r="E746">
        <v>400</v>
      </c>
      <c r="F746">
        <v>4</v>
      </c>
      <c r="G746">
        <v>0</v>
      </c>
      <c r="H746">
        <v>0</v>
      </c>
      <c r="I746" t="s">
        <v>24</v>
      </c>
      <c r="J746" t="s">
        <v>597</v>
      </c>
      <c r="K746" t="s">
        <v>2036</v>
      </c>
      <c r="L746" s="3">
        <v>45869</v>
      </c>
      <c r="M746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6.9444444444444448E-2</v>
      </c>
      <c r="N746" s="3">
        <v>45841</v>
      </c>
      <c r="O746" s="5">
        <f>IFERROR((PlanMasine[[#This Row],[Norma]]/PlanMasine[[#This Row],[Q]])*(PlanMasine[[#This Row],[Q]]/SUMIF(C:C,PlanMasine[[#This Row],[RN]],B:B)*PlanMasine[[#This Row],[KPLQ]]),0)</f>
        <v>100</v>
      </c>
      <c r="P746">
        <v>140061</v>
      </c>
      <c r="Q746">
        <f>COUNTIF(PROMJENA!A:A,PlanMasine[[#This Row],[KPL]]&amp;"-"&amp;PlanMasine[[#This Row],[RN]])</f>
        <v>0</v>
      </c>
      <c r="R746">
        <f>IFERROR(INDEX(REDOSLIJED!A:A,MATCH(PlanMasine[[#This Row],[KPL]],REDOSLIJED!B:B,0)),MAX(REDOSLIJED!A:A)+1)</f>
        <v>45</v>
      </c>
      <c r="S746" s="9">
        <f>SUM($M$2:M746)</f>
        <v>25.768819444444382</v>
      </c>
      <c r="T746" s="3">
        <f>PlanMasine[[#This Row],[Datum SAS]]-1</f>
        <v>45840</v>
      </c>
      <c r="U746">
        <f>WEEKDAY(PlanMasine[[#This Row],[ZAVRŠETAK MAŠINSKE]],2)</f>
        <v>3</v>
      </c>
      <c r="V746" s="3">
        <f>IF(WEEKDAY(PlanMasine[[#This Row],[Datum SAS]]-1,2)=7,PlanMasine[[#This Row],[Datum SAS]]-3,PlanMasine[[#This Row],[Datum SAS]]-1)</f>
        <v>45840</v>
      </c>
      <c r="W746">
        <f>WEEKNUM(PlanMasine[[#This Row],[Column2]],1)</f>
        <v>27</v>
      </c>
    </row>
    <row r="747" spans="1:23" x14ac:dyDescent="0.35">
      <c r="A747">
        <v>1020891</v>
      </c>
      <c r="B747">
        <v>1</v>
      </c>
      <c r="C747">
        <v>1020929</v>
      </c>
      <c r="D747" t="s">
        <v>1654</v>
      </c>
      <c r="E747">
        <v>200</v>
      </c>
      <c r="F747">
        <v>8</v>
      </c>
      <c r="G747">
        <v>0</v>
      </c>
      <c r="H747">
        <v>0</v>
      </c>
      <c r="I747" t="s">
        <v>24</v>
      </c>
      <c r="J747" t="s">
        <v>597</v>
      </c>
      <c r="K747" t="s">
        <v>2036</v>
      </c>
      <c r="L747" s="3">
        <v>45869</v>
      </c>
      <c r="M747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3.4722222222222224E-2</v>
      </c>
      <c r="N747" s="3">
        <v>45841</v>
      </c>
      <c r="O747" s="5">
        <f>IFERROR((PlanMasine[[#This Row],[Norma]]/PlanMasine[[#This Row],[Q]])*(PlanMasine[[#This Row],[Q]]/SUMIF(C:C,PlanMasine[[#This Row],[RN]],B:B)*PlanMasine[[#This Row],[KPLQ]]),0)</f>
        <v>50</v>
      </c>
      <c r="P747">
        <v>140066</v>
      </c>
      <c r="Q747">
        <f>COUNTIF(PROMJENA!A:A,PlanMasine[[#This Row],[KPL]]&amp;"-"&amp;PlanMasine[[#This Row],[RN]])</f>
        <v>0</v>
      </c>
      <c r="R747">
        <f>IFERROR(INDEX(REDOSLIJED!A:A,MATCH(PlanMasine[[#This Row],[KPL]],REDOSLIJED!B:B,0)),MAX(REDOSLIJED!A:A)+1)</f>
        <v>45</v>
      </c>
      <c r="S747" s="9">
        <f>SUM($M$2:M747)</f>
        <v>25.803541666666604</v>
      </c>
      <c r="T747" s="3">
        <f>PlanMasine[[#This Row],[Datum SAS]]-1</f>
        <v>45840</v>
      </c>
      <c r="U747">
        <f>WEEKDAY(PlanMasine[[#This Row],[ZAVRŠETAK MAŠINSKE]],2)</f>
        <v>3</v>
      </c>
      <c r="V747" s="3">
        <f>IF(WEEKDAY(PlanMasine[[#This Row],[Datum SAS]]-1,2)=7,PlanMasine[[#This Row],[Datum SAS]]-3,PlanMasine[[#This Row],[Datum SAS]]-1)</f>
        <v>45840</v>
      </c>
      <c r="W747">
        <f>WEEKNUM(PlanMasine[[#This Row],[Column2]],1)</f>
        <v>27</v>
      </c>
    </row>
    <row r="748" spans="1:23" x14ac:dyDescent="0.35">
      <c r="A748">
        <v>1020891</v>
      </c>
      <c r="B748">
        <v>1</v>
      </c>
      <c r="C748">
        <v>1020930</v>
      </c>
      <c r="D748" t="s">
        <v>1655</v>
      </c>
      <c r="E748">
        <v>840</v>
      </c>
      <c r="F748">
        <v>4</v>
      </c>
      <c r="G748">
        <v>0</v>
      </c>
      <c r="H748">
        <v>0</v>
      </c>
      <c r="I748" t="s">
        <v>24</v>
      </c>
      <c r="J748" t="s">
        <v>597</v>
      </c>
      <c r="K748" t="s">
        <v>2036</v>
      </c>
      <c r="L748" s="3">
        <v>45869</v>
      </c>
      <c r="M748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0.14583333333333334</v>
      </c>
      <c r="N748" s="3">
        <v>45841</v>
      </c>
      <c r="O748" s="5">
        <f>IFERROR((PlanMasine[[#This Row],[Norma]]/PlanMasine[[#This Row],[Q]])*(PlanMasine[[#This Row],[Q]]/SUMIF(C:C,PlanMasine[[#This Row],[RN]],B:B)*PlanMasine[[#This Row],[KPLQ]]),0)</f>
        <v>210</v>
      </c>
      <c r="P748">
        <v>140067</v>
      </c>
      <c r="Q748">
        <f>COUNTIF(PROMJENA!A:A,PlanMasine[[#This Row],[KPL]]&amp;"-"&amp;PlanMasine[[#This Row],[RN]])</f>
        <v>0</v>
      </c>
      <c r="R748">
        <f>IFERROR(INDEX(REDOSLIJED!A:A,MATCH(PlanMasine[[#This Row],[KPL]],REDOSLIJED!B:B,0)),MAX(REDOSLIJED!A:A)+1)</f>
        <v>45</v>
      </c>
      <c r="S748" s="9">
        <f>SUM($M$2:M748)</f>
        <v>25.949374999999936</v>
      </c>
      <c r="T748" s="3">
        <f>PlanMasine[[#This Row],[Datum SAS]]-1</f>
        <v>45840</v>
      </c>
      <c r="U748">
        <f>WEEKDAY(PlanMasine[[#This Row],[ZAVRŠETAK MAŠINSKE]],2)</f>
        <v>3</v>
      </c>
      <c r="V748" s="3">
        <f>IF(WEEKDAY(PlanMasine[[#This Row],[Datum SAS]]-1,2)=7,PlanMasine[[#This Row],[Datum SAS]]-3,PlanMasine[[#This Row],[Datum SAS]]-1)</f>
        <v>45840</v>
      </c>
      <c r="W748">
        <f>WEEKNUM(PlanMasine[[#This Row],[Column2]],1)</f>
        <v>27</v>
      </c>
    </row>
    <row r="749" spans="1:23" x14ac:dyDescent="0.35">
      <c r="A749">
        <v>1020892</v>
      </c>
      <c r="B749">
        <v>1</v>
      </c>
      <c r="C749">
        <v>1020904</v>
      </c>
      <c r="D749" t="s">
        <v>1653</v>
      </c>
      <c r="E749">
        <v>320</v>
      </c>
      <c r="F749">
        <v>4</v>
      </c>
      <c r="G749">
        <v>0</v>
      </c>
      <c r="H749">
        <v>0</v>
      </c>
      <c r="I749" t="s">
        <v>24</v>
      </c>
      <c r="J749" t="s">
        <v>597</v>
      </c>
      <c r="K749" t="s">
        <v>2036</v>
      </c>
      <c r="L749" s="3">
        <v>45869</v>
      </c>
      <c r="M749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5.5555555555555552E-2</v>
      </c>
      <c r="N749" s="3">
        <v>45841</v>
      </c>
      <c r="O749" s="5">
        <f>IFERROR((PlanMasine[[#This Row],[Norma]]/PlanMasine[[#This Row],[Q]])*(PlanMasine[[#This Row],[Q]]/SUMIF(C:C,PlanMasine[[#This Row],[RN]],B:B)*PlanMasine[[#This Row],[KPLQ]]),0)</f>
        <v>80</v>
      </c>
      <c r="P749">
        <v>140041</v>
      </c>
      <c r="Q749">
        <f>COUNTIF(PROMJENA!A:A,PlanMasine[[#This Row],[KPL]]&amp;"-"&amp;PlanMasine[[#This Row],[RN]])</f>
        <v>0</v>
      </c>
      <c r="R749">
        <f>IFERROR(INDEX(REDOSLIJED!A:A,MATCH(PlanMasine[[#This Row],[KPL]],REDOSLIJED!B:B,0)),MAX(REDOSLIJED!A:A)+1)</f>
        <v>45</v>
      </c>
      <c r="S749" s="9">
        <f>SUM($M$2:M749)</f>
        <v>26.004930555555493</v>
      </c>
      <c r="T749" s="3">
        <f>PlanMasine[[#This Row],[Datum SAS]]-1</f>
        <v>45840</v>
      </c>
      <c r="U749">
        <f>WEEKDAY(PlanMasine[[#This Row],[ZAVRŠETAK MAŠINSKE]],2)</f>
        <v>3</v>
      </c>
      <c r="V749" s="3">
        <f>IF(WEEKDAY(PlanMasine[[#This Row],[Datum SAS]]-1,2)=7,PlanMasine[[#This Row],[Datum SAS]]-3,PlanMasine[[#This Row],[Datum SAS]]-1)</f>
        <v>45840</v>
      </c>
      <c r="W749">
        <f>WEEKNUM(PlanMasine[[#This Row],[Column2]],1)</f>
        <v>27</v>
      </c>
    </row>
    <row r="750" spans="1:23" x14ac:dyDescent="0.35">
      <c r="A750">
        <v>1020892</v>
      </c>
      <c r="B750">
        <v>1</v>
      </c>
      <c r="C750">
        <v>1020919</v>
      </c>
      <c r="D750" t="s">
        <v>444</v>
      </c>
      <c r="E750">
        <v>120</v>
      </c>
      <c r="F750">
        <v>4</v>
      </c>
      <c r="G750">
        <v>0</v>
      </c>
      <c r="H750">
        <v>0</v>
      </c>
      <c r="I750" t="s">
        <v>24</v>
      </c>
      <c r="J750" t="s">
        <v>597</v>
      </c>
      <c r="K750" t="s">
        <v>2036</v>
      </c>
      <c r="L750" s="3">
        <v>45869</v>
      </c>
      <c r="M750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2.0833333333333332E-2</v>
      </c>
      <c r="N750" s="3">
        <v>45841</v>
      </c>
      <c r="O750" s="5">
        <f>IFERROR((PlanMasine[[#This Row],[Norma]]/PlanMasine[[#This Row],[Q]])*(PlanMasine[[#This Row],[Q]]/SUMIF(C:C,PlanMasine[[#This Row],[RN]],B:B)*PlanMasine[[#This Row],[KPLQ]]),0)</f>
        <v>30</v>
      </c>
      <c r="P750">
        <v>140056</v>
      </c>
      <c r="Q750">
        <f>COUNTIF(PROMJENA!A:A,PlanMasine[[#This Row],[KPL]]&amp;"-"&amp;PlanMasine[[#This Row],[RN]])</f>
        <v>0</v>
      </c>
      <c r="R750">
        <f>IFERROR(INDEX(REDOSLIJED!A:A,MATCH(PlanMasine[[#This Row],[KPL]],REDOSLIJED!B:B,0)),MAX(REDOSLIJED!A:A)+1)</f>
        <v>45</v>
      </c>
      <c r="S750" s="9">
        <f>SUM($M$2:M750)</f>
        <v>26.025763888888825</v>
      </c>
      <c r="T750" s="3">
        <f>PlanMasine[[#This Row],[Datum SAS]]-1</f>
        <v>45840</v>
      </c>
      <c r="U750">
        <f>WEEKDAY(PlanMasine[[#This Row],[ZAVRŠETAK MAŠINSKE]],2)</f>
        <v>3</v>
      </c>
      <c r="V750" s="3">
        <f>IF(WEEKDAY(PlanMasine[[#This Row],[Datum SAS]]-1,2)=7,PlanMasine[[#This Row],[Datum SAS]]-3,PlanMasine[[#This Row],[Datum SAS]]-1)</f>
        <v>45840</v>
      </c>
      <c r="W750">
        <f>WEEKNUM(PlanMasine[[#This Row],[Column2]],1)</f>
        <v>27</v>
      </c>
    </row>
    <row r="751" spans="1:23" x14ac:dyDescent="0.35">
      <c r="A751">
        <v>1020892</v>
      </c>
      <c r="B751">
        <v>1</v>
      </c>
      <c r="C751">
        <v>1020918</v>
      </c>
      <c r="D751" t="s">
        <v>443</v>
      </c>
      <c r="E751">
        <v>80</v>
      </c>
      <c r="F751">
        <v>4</v>
      </c>
      <c r="G751">
        <v>0</v>
      </c>
      <c r="H751">
        <v>0</v>
      </c>
      <c r="I751" t="s">
        <v>24</v>
      </c>
      <c r="J751" t="s">
        <v>597</v>
      </c>
      <c r="K751" t="s">
        <v>2036</v>
      </c>
      <c r="L751" s="3">
        <v>45869</v>
      </c>
      <c r="M751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1.3888888888888888E-2</v>
      </c>
      <c r="N751" s="3">
        <v>45841</v>
      </c>
      <c r="O751" s="5">
        <f>IFERROR((PlanMasine[[#This Row],[Norma]]/PlanMasine[[#This Row],[Q]])*(PlanMasine[[#This Row],[Q]]/SUMIF(C:C,PlanMasine[[#This Row],[RN]],B:B)*PlanMasine[[#This Row],[KPLQ]]),0)</f>
        <v>20</v>
      </c>
      <c r="P751">
        <v>140055</v>
      </c>
      <c r="Q751">
        <f>COUNTIF(PROMJENA!A:A,PlanMasine[[#This Row],[KPL]]&amp;"-"&amp;PlanMasine[[#This Row],[RN]])</f>
        <v>0</v>
      </c>
      <c r="R751">
        <f>IFERROR(INDEX(REDOSLIJED!A:A,MATCH(PlanMasine[[#This Row],[KPL]],REDOSLIJED!B:B,0)),MAX(REDOSLIJED!A:A)+1)</f>
        <v>45</v>
      </c>
      <c r="S751" s="9">
        <f>SUM($M$2:M751)</f>
        <v>26.039652777777714</v>
      </c>
      <c r="T751" s="3">
        <f>PlanMasine[[#This Row],[Datum SAS]]-1</f>
        <v>45840</v>
      </c>
      <c r="U751">
        <f>WEEKDAY(PlanMasine[[#This Row],[ZAVRŠETAK MAŠINSKE]],2)</f>
        <v>3</v>
      </c>
      <c r="V751" s="3">
        <f>IF(WEEKDAY(PlanMasine[[#This Row],[Datum SAS]]-1,2)=7,PlanMasine[[#This Row],[Datum SAS]]-3,PlanMasine[[#This Row],[Datum SAS]]-1)</f>
        <v>45840</v>
      </c>
      <c r="W751">
        <f>WEEKNUM(PlanMasine[[#This Row],[Column2]],1)</f>
        <v>27</v>
      </c>
    </row>
    <row r="752" spans="1:23" x14ac:dyDescent="0.35">
      <c r="A752">
        <v>1020892</v>
      </c>
      <c r="B752">
        <v>1</v>
      </c>
      <c r="C752">
        <v>1020930</v>
      </c>
      <c r="D752" t="s">
        <v>1655</v>
      </c>
      <c r="E752">
        <v>840</v>
      </c>
      <c r="F752">
        <v>4</v>
      </c>
      <c r="G752">
        <v>0</v>
      </c>
      <c r="H752">
        <v>0</v>
      </c>
      <c r="I752" t="s">
        <v>24</v>
      </c>
      <c r="J752" t="s">
        <v>597</v>
      </c>
      <c r="K752" t="s">
        <v>2036</v>
      </c>
      <c r="L752" s="3">
        <v>45869</v>
      </c>
      <c r="M752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0.14583333333333334</v>
      </c>
      <c r="N752" s="3">
        <v>45841</v>
      </c>
      <c r="O752" s="5">
        <f>IFERROR((PlanMasine[[#This Row],[Norma]]/PlanMasine[[#This Row],[Q]])*(PlanMasine[[#This Row],[Q]]/SUMIF(C:C,PlanMasine[[#This Row],[RN]],B:B)*PlanMasine[[#This Row],[KPLQ]]),0)</f>
        <v>210</v>
      </c>
      <c r="P752">
        <v>140067</v>
      </c>
      <c r="Q752">
        <f>COUNTIF(PROMJENA!A:A,PlanMasine[[#This Row],[KPL]]&amp;"-"&amp;PlanMasine[[#This Row],[RN]])</f>
        <v>0</v>
      </c>
      <c r="R752">
        <f>IFERROR(INDEX(REDOSLIJED!A:A,MATCH(PlanMasine[[#This Row],[KPL]],REDOSLIJED!B:B,0)),MAX(REDOSLIJED!A:A)+1)</f>
        <v>45</v>
      </c>
      <c r="S752" s="9">
        <f>SUM($M$2:M752)</f>
        <v>26.185486111111047</v>
      </c>
      <c r="T752" s="3">
        <f>PlanMasine[[#This Row],[Datum SAS]]-1</f>
        <v>45840</v>
      </c>
      <c r="U752">
        <f>WEEKDAY(PlanMasine[[#This Row],[ZAVRŠETAK MAŠINSKE]],2)</f>
        <v>3</v>
      </c>
      <c r="V752" s="3">
        <f>IF(WEEKDAY(PlanMasine[[#This Row],[Datum SAS]]-1,2)=7,PlanMasine[[#This Row],[Datum SAS]]-3,PlanMasine[[#This Row],[Datum SAS]]-1)</f>
        <v>45840</v>
      </c>
      <c r="W752">
        <f>WEEKNUM(PlanMasine[[#This Row],[Column2]],1)</f>
        <v>27</v>
      </c>
    </row>
    <row r="753" spans="1:23" x14ac:dyDescent="0.35">
      <c r="A753">
        <v>1020892</v>
      </c>
      <c r="B753">
        <v>1</v>
      </c>
      <c r="C753">
        <v>1020929</v>
      </c>
      <c r="D753" t="s">
        <v>1654</v>
      </c>
      <c r="E753">
        <v>200</v>
      </c>
      <c r="F753">
        <v>8</v>
      </c>
      <c r="G753">
        <v>0</v>
      </c>
      <c r="H753">
        <v>0</v>
      </c>
      <c r="I753" t="s">
        <v>24</v>
      </c>
      <c r="J753" t="s">
        <v>597</v>
      </c>
      <c r="K753" t="s">
        <v>2036</v>
      </c>
      <c r="L753" s="3">
        <v>45869</v>
      </c>
      <c r="M753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3.4722222222222224E-2</v>
      </c>
      <c r="N753" s="3">
        <v>45841</v>
      </c>
      <c r="O753" s="5">
        <f>IFERROR((PlanMasine[[#This Row],[Norma]]/PlanMasine[[#This Row],[Q]])*(PlanMasine[[#This Row],[Q]]/SUMIF(C:C,PlanMasine[[#This Row],[RN]],B:B)*PlanMasine[[#This Row],[KPLQ]]),0)</f>
        <v>50</v>
      </c>
      <c r="P753">
        <v>140066</v>
      </c>
      <c r="Q753">
        <f>COUNTIF(PROMJENA!A:A,PlanMasine[[#This Row],[KPL]]&amp;"-"&amp;PlanMasine[[#This Row],[RN]])</f>
        <v>0</v>
      </c>
      <c r="R753">
        <f>IFERROR(INDEX(REDOSLIJED!A:A,MATCH(PlanMasine[[#This Row],[KPL]],REDOSLIJED!B:B,0)),MAX(REDOSLIJED!A:A)+1)</f>
        <v>45</v>
      </c>
      <c r="S753" s="9">
        <f>SUM($M$2:M753)</f>
        <v>26.220208333333268</v>
      </c>
      <c r="T753" s="3">
        <f>PlanMasine[[#This Row],[Datum SAS]]-1</f>
        <v>45840</v>
      </c>
      <c r="U753">
        <f>WEEKDAY(PlanMasine[[#This Row],[ZAVRŠETAK MAŠINSKE]],2)</f>
        <v>3</v>
      </c>
      <c r="V753" s="3">
        <f>IF(WEEKDAY(PlanMasine[[#This Row],[Datum SAS]]-1,2)=7,PlanMasine[[#This Row],[Datum SAS]]-3,PlanMasine[[#This Row],[Datum SAS]]-1)</f>
        <v>45840</v>
      </c>
      <c r="W753">
        <f>WEEKNUM(PlanMasine[[#This Row],[Column2]],1)</f>
        <v>27</v>
      </c>
    </row>
    <row r="754" spans="1:23" x14ac:dyDescent="0.35">
      <c r="A754">
        <v>1020892</v>
      </c>
      <c r="B754">
        <v>1</v>
      </c>
      <c r="C754">
        <v>1020924</v>
      </c>
      <c r="D754" t="s">
        <v>179</v>
      </c>
      <c r="E754">
        <v>400</v>
      </c>
      <c r="F754">
        <v>4</v>
      </c>
      <c r="G754">
        <v>0</v>
      </c>
      <c r="H754">
        <v>0</v>
      </c>
      <c r="I754" t="s">
        <v>24</v>
      </c>
      <c r="J754" t="s">
        <v>597</v>
      </c>
      <c r="K754" t="s">
        <v>2036</v>
      </c>
      <c r="L754" s="3">
        <v>45869</v>
      </c>
      <c r="M754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6.9444444444444448E-2</v>
      </c>
      <c r="N754" s="3">
        <v>45841</v>
      </c>
      <c r="O754" s="5">
        <f>IFERROR((PlanMasine[[#This Row],[Norma]]/PlanMasine[[#This Row],[Q]])*(PlanMasine[[#This Row],[Q]]/SUMIF(C:C,PlanMasine[[#This Row],[RN]],B:B)*PlanMasine[[#This Row],[KPLQ]]),0)</f>
        <v>100</v>
      </c>
      <c r="P754">
        <v>140061</v>
      </c>
      <c r="Q754">
        <f>COUNTIF(PROMJENA!A:A,PlanMasine[[#This Row],[KPL]]&amp;"-"&amp;PlanMasine[[#This Row],[RN]])</f>
        <v>0</v>
      </c>
      <c r="R754">
        <f>IFERROR(INDEX(REDOSLIJED!A:A,MATCH(PlanMasine[[#This Row],[KPL]],REDOSLIJED!B:B,0)),MAX(REDOSLIJED!A:A)+1)</f>
        <v>45</v>
      </c>
      <c r="S754" s="9">
        <f>SUM($M$2:M754)</f>
        <v>26.289652777777711</v>
      </c>
      <c r="T754" s="3">
        <f>PlanMasine[[#This Row],[Datum SAS]]-1</f>
        <v>45840</v>
      </c>
      <c r="U754">
        <f>WEEKDAY(PlanMasine[[#This Row],[ZAVRŠETAK MAŠINSKE]],2)</f>
        <v>3</v>
      </c>
      <c r="V754" s="3">
        <f>IF(WEEKDAY(PlanMasine[[#This Row],[Datum SAS]]-1,2)=7,PlanMasine[[#This Row],[Datum SAS]]-3,PlanMasine[[#This Row],[Datum SAS]]-1)</f>
        <v>45840</v>
      </c>
      <c r="W754">
        <f>WEEKNUM(PlanMasine[[#This Row],[Column2]],1)</f>
        <v>27</v>
      </c>
    </row>
    <row r="755" spans="1:23" x14ac:dyDescent="0.35">
      <c r="A755">
        <v>1020791</v>
      </c>
      <c r="B755">
        <v>1</v>
      </c>
      <c r="C755">
        <v>1020794</v>
      </c>
      <c r="D755" t="s">
        <v>2038</v>
      </c>
      <c r="E755">
        <v>180</v>
      </c>
      <c r="F755">
        <v>3</v>
      </c>
      <c r="G755">
        <v>0</v>
      </c>
      <c r="H755">
        <v>0</v>
      </c>
      <c r="I755" t="s">
        <v>24</v>
      </c>
      <c r="J755" t="s">
        <v>597</v>
      </c>
      <c r="K755" t="s">
        <v>2039</v>
      </c>
      <c r="L755" s="3">
        <v>45869</v>
      </c>
      <c r="M755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4.1666666666666664E-2</v>
      </c>
      <c r="N755" s="3">
        <v>45842</v>
      </c>
      <c r="O755" s="5">
        <f>IFERROR((PlanMasine[[#This Row],[Norma]]/PlanMasine[[#This Row],[Q]])*(PlanMasine[[#This Row],[Q]]/SUMIF(C:C,PlanMasine[[#This Row],[RN]],B:B)*PlanMasine[[#This Row],[KPLQ]]),0)</f>
        <v>60</v>
      </c>
      <c r="P755">
        <v>211234</v>
      </c>
      <c r="Q755">
        <f>COUNTIF(PROMJENA!A:A,PlanMasine[[#This Row],[KPL]]&amp;"-"&amp;PlanMasine[[#This Row],[RN]])</f>
        <v>0</v>
      </c>
      <c r="R755">
        <f>IFERROR(INDEX(REDOSLIJED!A:A,MATCH(PlanMasine[[#This Row],[KPL]],REDOSLIJED!B:B,0)),MAX(REDOSLIJED!A:A)+1)</f>
        <v>45</v>
      </c>
      <c r="S755" s="9">
        <f>SUM($M$2:M755)</f>
        <v>26.331319444444379</v>
      </c>
      <c r="T755" s="3">
        <f>PlanMasine[[#This Row],[Datum SAS]]-1</f>
        <v>45841</v>
      </c>
      <c r="U755">
        <f>WEEKDAY(PlanMasine[[#This Row],[ZAVRŠETAK MAŠINSKE]],2)</f>
        <v>4</v>
      </c>
      <c r="V755" s="3">
        <f>IF(WEEKDAY(PlanMasine[[#This Row],[Datum SAS]]-1,2)=7,PlanMasine[[#This Row],[Datum SAS]]-3,PlanMasine[[#This Row],[Datum SAS]]-1)</f>
        <v>45841</v>
      </c>
      <c r="W755">
        <f>WEEKNUM(PlanMasine[[#This Row],[Column2]],1)</f>
        <v>27</v>
      </c>
    </row>
    <row r="756" spans="1:23" x14ac:dyDescent="0.35">
      <c r="A756">
        <v>1020791</v>
      </c>
      <c r="B756">
        <v>1</v>
      </c>
      <c r="C756">
        <v>1020812</v>
      </c>
      <c r="D756" t="s">
        <v>1777</v>
      </c>
      <c r="E756">
        <v>75</v>
      </c>
      <c r="F756">
        <v>3</v>
      </c>
      <c r="G756">
        <v>0</v>
      </c>
      <c r="H756">
        <v>0</v>
      </c>
      <c r="I756" t="s">
        <v>24</v>
      </c>
      <c r="J756" t="s">
        <v>597</v>
      </c>
      <c r="K756" t="s">
        <v>2039</v>
      </c>
      <c r="L756" s="3">
        <v>45869</v>
      </c>
      <c r="M756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1.7361111111111112E-2</v>
      </c>
      <c r="N756" s="3">
        <v>45842</v>
      </c>
      <c r="O756" s="5">
        <f>IFERROR((PlanMasine[[#This Row],[Norma]]/PlanMasine[[#This Row],[Q]])*(PlanMasine[[#This Row],[Q]]/SUMIF(C:C,PlanMasine[[#This Row],[RN]],B:B)*PlanMasine[[#This Row],[KPLQ]]),0)</f>
        <v>25</v>
      </c>
      <c r="P756">
        <v>211252</v>
      </c>
      <c r="Q756">
        <f>COUNTIF(PROMJENA!A:A,PlanMasine[[#This Row],[KPL]]&amp;"-"&amp;PlanMasine[[#This Row],[RN]])</f>
        <v>0</v>
      </c>
      <c r="R756">
        <f>IFERROR(INDEX(REDOSLIJED!A:A,MATCH(PlanMasine[[#This Row],[KPL]],REDOSLIJED!B:B,0)),MAX(REDOSLIJED!A:A)+1)</f>
        <v>45</v>
      </c>
      <c r="S756" s="9">
        <f>SUM($M$2:M756)</f>
        <v>26.348680555555489</v>
      </c>
      <c r="T756" s="3">
        <f>PlanMasine[[#This Row],[Datum SAS]]-1</f>
        <v>45841</v>
      </c>
      <c r="U756">
        <f>WEEKDAY(PlanMasine[[#This Row],[ZAVRŠETAK MAŠINSKE]],2)</f>
        <v>4</v>
      </c>
      <c r="V756" s="3">
        <f>IF(WEEKDAY(PlanMasine[[#This Row],[Datum SAS]]-1,2)=7,PlanMasine[[#This Row],[Datum SAS]]-3,PlanMasine[[#This Row],[Datum SAS]]-1)</f>
        <v>45841</v>
      </c>
      <c r="W756">
        <f>WEEKNUM(PlanMasine[[#This Row],[Column2]],1)</f>
        <v>27</v>
      </c>
    </row>
    <row r="757" spans="1:23" x14ac:dyDescent="0.35">
      <c r="A757">
        <v>1020791</v>
      </c>
      <c r="B757">
        <v>1</v>
      </c>
      <c r="C757">
        <v>1020813</v>
      </c>
      <c r="D757" t="s">
        <v>1778</v>
      </c>
      <c r="E757">
        <v>105</v>
      </c>
      <c r="F757">
        <v>3</v>
      </c>
      <c r="G757">
        <v>0</v>
      </c>
      <c r="H757">
        <v>0</v>
      </c>
      <c r="I757" t="s">
        <v>24</v>
      </c>
      <c r="J757" t="s">
        <v>597</v>
      </c>
      <c r="K757" t="s">
        <v>2039</v>
      </c>
      <c r="L757" s="3">
        <v>45869</v>
      </c>
      <c r="M757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2.4305555555555556E-2</v>
      </c>
      <c r="N757" s="3">
        <v>45842</v>
      </c>
      <c r="O757" s="5">
        <f>IFERROR((PlanMasine[[#This Row],[Norma]]/PlanMasine[[#This Row],[Q]])*(PlanMasine[[#This Row],[Q]]/SUMIF(C:C,PlanMasine[[#This Row],[RN]],B:B)*PlanMasine[[#This Row],[KPLQ]]),0)</f>
        <v>35</v>
      </c>
      <c r="P757">
        <v>211253</v>
      </c>
      <c r="Q757">
        <f>COUNTIF(PROMJENA!A:A,PlanMasine[[#This Row],[KPL]]&amp;"-"&amp;PlanMasine[[#This Row],[RN]])</f>
        <v>0</v>
      </c>
      <c r="R757">
        <f>IFERROR(INDEX(REDOSLIJED!A:A,MATCH(PlanMasine[[#This Row],[KPL]],REDOSLIJED!B:B,0)),MAX(REDOSLIJED!A:A)+1)</f>
        <v>45</v>
      </c>
      <c r="S757" s="9">
        <f>SUM($M$2:M757)</f>
        <v>26.372986111111047</v>
      </c>
      <c r="T757" s="3">
        <f>PlanMasine[[#This Row],[Datum SAS]]-1</f>
        <v>45841</v>
      </c>
      <c r="U757">
        <f>WEEKDAY(PlanMasine[[#This Row],[ZAVRŠETAK MAŠINSKE]],2)</f>
        <v>4</v>
      </c>
      <c r="V757" s="3">
        <f>IF(WEEKDAY(PlanMasine[[#This Row],[Datum SAS]]-1,2)=7,PlanMasine[[#This Row],[Datum SAS]]-3,PlanMasine[[#This Row],[Datum SAS]]-1)</f>
        <v>45841</v>
      </c>
      <c r="W757">
        <f>WEEKNUM(PlanMasine[[#This Row],[Column2]],1)</f>
        <v>27</v>
      </c>
    </row>
    <row r="758" spans="1:23" x14ac:dyDescent="0.35">
      <c r="A758">
        <v>1020792</v>
      </c>
      <c r="B758">
        <v>1</v>
      </c>
      <c r="C758">
        <v>1020794</v>
      </c>
      <c r="D758" t="s">
        <v>2038</v>
      </c>
      <c r="E758">
        <v>180</v>
      </c>
      <c r="F758">
        <v>3</v>
      </c>
      <c r="G758">
        <v>0</v>
      </c>
      <c r="H758">
        <v>0</v>
      </c>
      <c r="I758" t="s">
        <v>24</v>
      </c>
      <c r="J758" t="s">
        <v>597</v>
      </c>
      <c r="K758" t="s">
        <v>2039</v>
      </c>
      <c r="L758" s="3">
        <v>45869</v>
      </c>
      <c r="M758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4.1666666666666664E-2</v>
      </c>
      <c r="N758" s="3">
        <v>45842</v>
      </c>
      <c r="O758" s="5">
        <f>IFERROR((PlanMasine[[#This Row],[Norma]]/PlanMasine[[#This Row],[Q]])*(PlanMasine[[#This Row],[Q]]/SUMIF(C:C,PlanMasine[[#This Row],[RN]],B:B)*PlanMasine[[#This Row],[KPLQ]]),0)</f>
        <v>60</v>
      </c>
      <c r="P758">
        <v>211234</v>
      </c>
      <c r="Q758">
        <f>COUNTIF(PROMJENA!A:A,PlanMasine[[#This Row],[KPL]]&amp;"-"&amp;PlanMasine[[#This Row],[RN]])</f>
        <v>0</v>
      </c>
      <c r="R758">
        <f>IFERROR(INDEX(REDOSLIJED!A:A,MATCH(PlanMasine[[#This Row],[KPL]],REDOSLIJED!B:B,0)),MAX(REDOSLIJED!A:A)+1)</f>
        <v>45</v>
      </c>
      <c r="S758" s="9">
        <f>SUM($M$2:M758)</f>
        <v>26.414652777777714</v>
      </c>
      <c r="T758" s="3">
        <f>PlanMasine[[#This Row],[Datum SAS]]-1</f>
        <v>45841</v>
      </c>
      <c r="U758">
        <f>WEEKDAY(PlanMasine[[#This Row],[ZAVRŠETAK MAŠINSKE]],2)</f>
        <v>4</v>
      </c>
      <c r="V758" s="3">
        <f>IF(WEEKDAY(PlanMasine[[#This Row],[Datum SAS]]-1,2)=7,PlanMasine[[#This Row],[Datum SAS]]-3,PlanMasine[[#This Row],[Datum SAS]]-1)</f>
        <v>45841</v>
      </c>
      <c r="W758">
        <f>WEEKNUM(PlanMasine[[#This Row],[Column2]],1)</f>
        <v>27</v>
      </c>
    </row>
    <row r="759" spans="1:23" x14ac:dyDescent="0.35">
      <c r="A759">
        <v>1020792</v>
      </c>
      <c r="B759">
        <v>1</v>
      </c>
      <c r="C759">
        <v>1020813</v>
      </c>
      <c r="D759" t="s">
        <v>1778</v>
      </c>
      <c r="E759">
        <v>105</v>
      </c>
      <c r="F759">
        <v>3</v>
      </c>
      <c r="G759">
        <v>0</v>
      </c>
      <c r="H759">
        <v>0</v>
      </c>
      <c r="I759" t="s">
        <v>24</v>
      </c>
      <c r="J759" t="s">
        <v>597</v>
      </c>
      <c r="K759" t="s">
        <v>2039</v>
      </c>
      <c r="L759" s="3">
        <v>45869</v>
      </c>
      <c r="M759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2.4305555555555556E-2</v>
      </c>
      <c r="N759" s="3">
        <v>45842</v>
      </c>
      <c r="O759" s="5">
        <f>IFERROR((PlanMasine[[#This Row],[Norma]]/PlanMasine[[#This Row],[Q]])*(PlanMasine[[#This Row],[Q]]/SUMIF(C:C,PlanMasine[[#This Row],[RN]],B:B)*PlanMasine[[#This Row],[KPLQ]]),0)</f>
        <v>35</v>
      </c>
      <c r="P759">
        <v>211253</v>
      </c>
      <c r="Q759">
        <f>COUNTIF(PROMJENA!A:A,PlanMasine[[#This Row],[KPL]]&amp;"-"&amp;PlanMasine[[#This Row],[RN]])</f>
        <v>0</v>
      </c>
      <c r="R759">
        <f>IFERROR(INDEX(REDOSLIJED!A:A,MATCH(PlanMasine[[#This Row],[KPL]],REDOSLIJED!B:B,0)),MAX(REDOSLIJED!A:A)+1)</f>
        <v>45</v>
      </c>
      <c r="S759" s="9">
        <f>SUM($M$2:M759)</f>
        <v>26.438958333333272</v>
      </c>
      <c r="T759" s="3">
        <f>PlanMasine[[#This Row],[Datum SAS]]-1</f>
        <v>45841</v>
      </c>
      <c r="U759">
        <f>WEEKDAY(PlanMasine[[#This Row],[ZAVRŠETAK MAŠINSKE]],2)</f>
        <v>4</v>
      </c>
      <c r="V759" s="3">
        <f>IF(WEEKDAY(PlanMasine[[#This Row],[Datum SAS]]-1,2)=7,PlanMasine[[#This Row],[Datum SAS]]-3,PlanMasine[[#This Row],[Datum SAS]]-1)</f>
        <v>45841</v>
      </c>
      <c r="W759">
        <f>WEEKNUM(PlanMasine[[#This Row],[Column2]],1)</f>
        <v>27</v>
      </c>
    </row>
    <row r="760" spans="1:23" x14ac:dyDescent="0.35">
      <c r="A760">
        <v>1020792</v>
      </c>
      <c r="B760">
        <v>1</v>
      </c>
      <c r="C760">
        <v>1020812</v>
      </c>
      <c r="D760" t="s">
        <v>1777</v>
      </c>
      <c r="E760">
        <v>75</v>
      </c>
      <c r="F760">
        <v>3</v>
      </c>
      <c r="G760">
        <v>0</v>
      </c>
      <c r="H760">
        <v>0</v>
      </c>
      <c r="I760" t="s">
        <v>24</v>
      </c>
      <c r="J760" t="s">
        <v>597</v>
      </c>
      <c r="K760" t="s">
        <v>2039</v>
      </c>
      <c r="L760" s="3">
        <v>45869</v>
      </c>
      <c r="M760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1.7361111111111112E-2</v>
      </c>
      <c r="N760" s="3">
        <v>45842</v>
      </c>
      <c r="O760" s="5">
        <f>IFERROR((PlanMasine[[#This Row],[Norma]]/PlanMasine[[#This Row],[Q]])*(PlanMasine[[#This Row],[Q]]/SUMIF(C:C,PlanMasine[[#This Row],[RN]],B:B)*PlanMasine[[#This Row],[KPLQ]]),0)</f>
        <v>25</v>
      </c>
      <c r="P760">
        <v>211252</v>
      </c>
      <c r="Q760">
        <f>COUNTIF(PROMJENA!A:A,PlanMasine[[#This Row],[KPL]]&amp;"-"&amp;PlanMasine[[#This Row],[RN]])</f>
        <v>0</v>
      </c>
      <c r="R760">
        <f>IFERROR(INDEX(REDOSLIJED!A:A,MATCH(PlanMasine[[#This Row],[KPL]],REDOSLIJED!B:B,0)),MAX(REDOSLIJED!A:A)+1)</f>
        <v>45</v>
      </c>
      <c r="S760" s="9">
        <f>SUM($M$2:M760)</f>
        <v>26.456319444444382</v>
      </c>
      <c r="T760" s="3">
        <f>PlanMasine[[#This Row],[Datum SAS]]-1</f>
        <v>45841</v>
      </c>
      <c r="U760">
        <f>WEEKDAY(PlanMasine[[#This Row],[ZAVRŠETAK MAŠINSKE]],2)</f>
        <v>4</v>
      </c>
      <c r="V760" s="3">
        <f>IF(WEEKDAY(PlanMasine[[#This Row],[Datum SAS]]-1,2)=7,PlanMasine[[#This Row],[Datum SAS]]-3,PlanMasine[[#This Row],[Datum SAS]]-1)</f>
        <v>45841</v>
      </c>
      <c r="W760">
        <f>WEEKNUM(PlanMasine[[#This Row],[Column2]],1)</f>
        <v>27</v>
      </c>
    </row>
    <row r="761" spans="1:23" x14ac:dyDescent="0.35">
      <c r="A761">
        <v>1020793</v>
      </c>
      <c r="B761">
        <v>1</v>
      </c>
      <c r="C761">
        <v>1020813</v>
      </c>
      <c r="D761" t="s">
        <v>1778</v>
      </c>
      <c r="E761">
        <v>105</v>
      </c>
      <c r="F761">
        <v>3</v>
      </c>
      <c r="G761">
        <v>0</v>
      </c>
      <c r="H761">
        <v>0</v>
      </c>
      <c r="I761" t="s">
        <v>24</v>
      </c>
      <c r="J761" t="s">
        <v>597</v>
      </c>
      <c r="K761" t="s">
        <v>2039</v>
      </c>
      <c r="L761" s="3">
        <v>45869</v>
      </c>
      <c r="M761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2.4305555555555556E-2</v>
      </c>
      <c r="N761" s="3">
        <v>45842</v>
      </c>
      <c r="O761" s="5">
        <f>IFERROR((PlanMasine[[#This Row],[Norma]]/PlanMasine[[#This Row],[Q]])*(PlanMasine[[#This Row],[Q]]/SUMIF(C:C,PlanMasine[[#This Row],[RN]],B:B)*PlanMasine[[#This Row],[KPLQ]]),0)</f>
        <v>35</v>
      </c>
      <c r="P761">
        <v>211253</v>
      </c>
      <c r="Q761">
        <f>COUNTIF(PROMJENA!A:A,PlanMasine[[#This Row],[KPL]]&amp;"-"&amp;PlanMasine[[#This Row],[RN]])</f>
        <v>0</v>
      </c>
      <c r="R761">
        <f>IFERROR(INDEX(REDOSLIJED!A:A,MATCH(PlanMasine[[#This Row],[KPL]],REDOSLIJED!B:B,0)),MAX(REDOSLIJED!A:A)+1)</f>
        <v>45</v>
      </c>
      <c r="S761" s="9">
        <f>SUM($M$2:M761)</f>
        <v>26.480624999999939</v>
      </c>
      <c r="T761" s="3">
        <f>PlanMasine[[#This Row],[Datum SAS]]-1</f>
        <v>45841</v>
      </c>
      <c r="U761">
        <f>WEEKDAY(PlanMasine[[#This Row],[ZAVRŠETAK MAŠINSKE]],2)</f>
        <v>4</v>
      </c>
      <c r="V761" s="3">
        <f>IF(WEEKDAY(PlanMasine[[#This Row],[Datum SAS]]-1,2)=7,PlanMasine[[#This Row],[Datum SAS]]-3,PlanMasine[[#This Row],[Datum SAS]]-1)</f>
        <v>45841</v>
      </c>
      <c r="W761">
        <f>WEEKNUM(PlanMasine[[#This Row],[Column2]],1)</f>
        <v>27</v>
      </c>
    </row>
    <row r="762" spans="1:23" x14ac:dyDescent="0.35">
      <c r="A762">
        <v>1020793</v>
      </c>
      <c r="B762">
        <v>1</v>
      </c>
      <c r="C762">
        <v>1020794</v>
      </c>
      <c r="D762" t="s">
        <v>2038</v>
      </c>
      <c r="E762">
        <v>180</v>
      </c>
      <c r="F762">
        <v>3</v>
      </c>
      <c r="G762">
        <v>0</v>
      </c>
      <c r="H762">
        <v>0</v>
      </c>
      <c r="I762" t="s">
        <v>24</v>
      </c>
      <c r="J762" t="s">
        <v>597</v>
      </c>
      <c r="K762" t="s">
        <v>2039</v>
      </c>
      <c r="L762" s="3">
        <v>45869</v>
      </c>
      <c r="M762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4.1666666666666664E-2</v>
      </c>
      <c r="N762" s="3">
        <v>45842</v>
      </c>
      <c r="O762" s="5">
        <f>IFERROR((PlanMasine[[#This Row],[Norma]]/PlanMasine[[#This Row],[Q]])*(PlanMasine[[#This Row],[Q]]/SUMIF(C:C,PlanMasine[[#This Row],[RN]],B:B)*PlanMasine[[#This Row],[KPLQ]]),0)</f>
        <v>60</v>
      </c>
      <c r="P762">
        <v>211234</v>
      </c>
      <c r="Q762">
        <f>COUNTIF(PROMJENA!A:A,PlanMasine[[#This Row],[KPL]]&amp;"-"&amp;PlanMasine[[#This Row],[RN]])</f>
        <v>0</v>
      </c>
      <c r="R762">
        <f>IFERROR(INDEX(REDOSLIJED!A:A,MATCH(PlanMasine[[#This Row],[KPL]],REDOSLIJED!B:B,0)),MAX(REDOSLIJED!A:A)+1)</f>
        <v>45</v>
      </c>
      <c r="S762" s="9">
        <f>SUM($M$2:M762)</f>
        <v>26.522291666666607</v>
      </c>
      <c r="T762" s="3">
        <f>PlanMasine[[#This Row],[Datum SAS]]-1</f>
        <v>45841</v>
      </c>
      <c r="U762">
        <f>WEEKDAY(PlanMasine[[#This Row],[ZAVRŠETAK MAŠINSKE]],2)</f>
        <v>4</v>
      </c>
      <c r="V762" s="3">
        <f>IF(WEEKDAY(PlanMasine[[#This Row],[Datum SAS]]-1,2)=7,PlanMasine[[#This Row],[Datum SAS]]-3,PlanMasine[[#This Row],[Datum SAS]]-1)</f>
        <v>45841</v>
      </c>
      <c r="W762">
        <f>WEEKNUM(PlanMasine[[#This Row],[Column2]],1)</f>
        <v>27</v>
      </c>
    </row>
    <row r="763" spans="1:23" x14ac:dyDescent="0.35">
      <c r="A763">
        <v>1020793</v>
      </c>
      <c r="B763">
        <v>1</v>
      </c>
      <c r="C763">
        <v>1020812</v>
      </c>
      <c r="D763" t="s">
        <v>1777</v>
      </c>
      <c r="E763">
        <v>75</v>
      </c>
      <c r="F763">
        <v>3</v>
      </c>
      <c r="G763">
        <v>0</v>
      </c>
      <c r="H763">
        <v>0</v>
      </c>
      <c r="I763" t="s">
        <v>24</v>
      </c>
      <c r="J763" t="s">
        <v>597</v>
      </c>
      <c r="K763" t="s">
        <v>2039</v>
      </c>
      <c r="L763" s="3">
        <v>45869</v>
      </c>
      <c r="M763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1.7361111111111112E-2</v>
      </c>
      <c r="N763" s="3">
        <v>45842</v>
      </c>
      <c r="O763" s="5">
        <f>IFERROR((PlanMasine[[#This Row],[Norma]]/PlanMasine[[#This Row],[Q]])*(PlanMasine[[#This Row],[Q]]/SUMIF(C:C,PlanMasine[[#This Row],[RN]],B:B)*PlanMasine[[#This Row],[KPLQ]]),0)</f>
        <v>25</v>
      </c>
      <c r="P763">
        <v>211252</v>
      </c>
      <c r="Q763">
        <f>COUNTIF(PROMJENA!A:A,PlanMasine[[#This Row],[KPL]]&amp;"-"&amp;PlanMasine[[#This Row],[RN]])</f>
        <v>0</v>
      </c>
      <c r="R763">
        <f>IFERROR(INDEX(REDOSLIJED!A:A,MATCH(PlanMasine[[#This Row],[KPL]],REDOSLIJED!B:B,0)),MAX(REDOSLIJED!A:A)+1)</f>
        <v>45</v>
      </c>
      <c r="S763" s="9">
        <f>SUM($M$2:M763)</f>
        <v>26.539652777777718</v>
      </c>
      <c r="T763" s="3">
        <f>PlanMasine[[#This Row],[Datum SAS]]-1</f>
        <v>45841</v>
      </c>
      <c r="U763">
        <f>WEEKDAY(PlanMasine[[#This Row],[ZAVRŠETAK MAŠINSKE]],2)</f>
        <v>4</v>
      </c>
      <c r="V763" s="3">
        <f>IF(WEEKDAY(PlanMasine[[#This Row],[Datum SAS]]-1,2)=7,PlanMasine[[#This Row],[Datum SAS]]-3,PlanMasine[[#This Row],[Datum SAS]]-1)</f>
        <v>45841</v>
      </c>
      <c r="W763">
        <f>WEEKNUM(PlanMasine[[#This Row],[Column2]],1)</f>
        <v>27</v>
      </c>
    </row>
    <row r="764" spans="1:23" x14ac:dyDescent="0.35">
      <c r="A764">
        <v>998927</v>
      </c>
      <c r="B764">
        <v>1</v>
      </c>
      <c r="C764">
        <v>998944</v>
      </c>
      <c r="D764" t="s">
        <v>1612</v>
      </c>
      <c r="E764">
        <v>240</v>
      </c>
      <c r="F764">
        <v>12</v>
      </c>
      <c r="G764">
        <v>0</v>
      </c>
      <c r="H764">
        <v>0</v>
      </c>
      <c r="I764" t="s">
        <v>24</v>
      </c>
      <c r="J764" t="s">
        <v>597</v>
      </c>
      <c r="K764" t="s">
        <v>1803</v>
      </c>
      <c r="L764" s="3">
        <v>45870</v>
      </c>
      <c r="M764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1.3888888888888888E-2</v>
      </c>
      <c r="N764" s="3">
        <v>45845</v>
      </c>
      <c r="O764" s="5">
        <f>IFERROR((PlanMasine[[#This Row],[Norma]]/PlanMasine[[#This Row],[Q]])*(PlanMasine[[#This Row],[Q]]/SUMIF(C:C,PlanMasine[[#This Row],[RN]],B:B)*PlanMasine[[#This Row],[KPLQ]]),0)</f>
        <v>20</v>
      </c>
      <c r="P764">
        <v>215459</v>
      </c>
      <c r="Q764">
        <f>COUNTIF(PROMJENA!A:A,PlanMasine[[#This Row],[KPL]]&amp;"-"&amp;PlanMasine[[#This Row],[RN]])</f>
        <v>0</v>
      </c>
      <c r="R764">
        <f>IFERROR(INDEX(REDOSLIJED!A:A,MATCH(PlanMasine[[#This Row],[KPL]],REDOSLIJED!B:B,0)),MAX(REDOSLIJED!A:A)+1)</f>
        <v>45</v>
      </c>
      <c r="S764" s="9">
        <f>SUM($M$2:M764)</f>
        <v>26.553541666666607</v>
      </c>
      <c r="T764" s="3">
        <f>PlanMasine[[#This Row],[Datum SAS]]-1</f>
        <v>45844</v>
      </c>
      <c r="U764">
        <f>WEEKDAY(PlanMasine[[#This Row],[ZAVRŠETAK MAŠINSKE]],2)</f>
        <v>7</v>
      </c>
      <c r="V764" s="3">
        <f>IF(WEEKDAY(PlanMasine[[#This Row],[Datum SAS]]-1,2)=7,PlanMasine[[#This Row],[Datum SAS]]-3,PlanMasine[[#This Row],[Datum SAS]]-1)</f>
        <v>45842</v>
      </c>
      <c r="W764">
        <f>WEEKNUM(PlanMasine[[#This Row],[Column2]],1)</f>
        <v>27</v>
      </c>
    </row>
    <row r="765" spans="1:23" x14ac:dyDescent="0.35">
      <c r="A765">
        <v>998927</v>
      </c>
      <c r="B765">
        <v>1</v>
      </c>
      <c r="C765">
        <v>998945</v>
      </c>
      <c r="D765" t="s">
        <v>1623</v>
      </c>
      <c r="E765">
        <v>360</v>
      </c>
      <c r="F765">
        <v>12</v>
      </c>
      <c r="G765">
        <v>0</v>
      </c>
      <c r="H765">
        <v>0</v>
      </c>
      <c r="I765" t="s">
        <v>24</v>
      </c>
      <c r="J765" t="s">
        <v>597</v>
      </c>
      <c r="K765" t="s">
        <v>1803</v>
      </c>
      <c r="L765" s="3">
        <v>45870</v>
      </c>
      <c r="M765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2.0833333333333332E-2</v>
      </c>
      <c r="N765" s="3">
        <v>45845</v>
      </c>
      <c r="O765" s="5">
        <f>IFERROR((PlanMasine[[#This Row],[Norma]]/PlanMasine[[#This Row],[Q]])*(PlanMasine[[#This Row],[Q]]/SUMIF(C:C,PlanMasine[[#This Row],[RN]],B:B)*PlanMasine[[#This Row],[KPLQ]]),0)</f>
        <v>30</v>
      </c>
      <c r="P765">
        <v>215460</v>
      </c>
      <c r="Q765">
        <f>COUNTIF(PROMJENA!A:A,PlanMasine[[#This Row],[KPL]]&amp;"-"&amp;PlanMasine[[#This Row],[RN]])</f>
        <v>0</v>
      </c>
      <c r="R765">
        <f>IFERROR(INDEX(REDOSLIJED!A:A,MATCH(PlanMasine[[#This Row],[KPL]],REDOSLIJED!B:B,0)),MAX(REDOSLIJED!A:A)+1)</f>
        <v>45</v>
      </c>
      <c r="S765" s="9">
        <f>SUM($M$2:M765)</f>
        <v>26.574374999999939</v>
      </c>
      <c r="T765" s="3">
        <f>PlanMasine[[#This Row],[Datum SAS]]-1</f>
        <v>45844</v>
      </c>
      <c r="U765">
        <f>WEEKDAY(PlanMasine[[#This Row],[ZAVRŠETAK MAŠINSKE]],2)</f>
        <v>7</v>
      </c>
      <c r="V765" s="3">
        <f>IF(WEEKDAY(PlanMasine[[#This Row],[Datum SAS]]-1,2)=7,PlanMasine[[#This Row],[Datum SAS]]-3,PlanMasine[[#This Row],[Datum SAS]]-1)</f>
        <v>45842</v>
      </c>
      <c r="W765">
        <f>WEEKNUM(PlanMasine[[#This Row],[Column2]],1)</f>
        <v>27</v>
      </c>
    </row>
    <row r="766" spans="1:23" x14ac:dyDescent="0.35">
      <c r="A766">
        <v>998928</v>
      </c>
      <c r="B766">
        <v>1</v>
      </c>
      <c r="C766">
        <v>998945</v>
      </c>
      <c r="D766" t="s">
        <v>1623</v>
      </c>
      <c r="E766">
        <v>360</v>
      </c>
      <c r="F766">
        <v>12</v>
      </c>
      <c r="G766">
        <v>0</v>
      </c>
      <c r="H766">
        <v>0</v>
      </c>
      <c r="I766" t="s">
        <v>24</v>
      </c>
      <c r="J766" t="s">
        <v>597</v>
      </c>
      <c r="K766" t="s">
        <v>1803</v>
      </c>
      <c r="L766" s="3">
        <v>45870</v>
      </c>
      <c r="M766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2.0833333333333332E-2</v>
      </c>
      <c r="N766" s="3">
        <v>45845</v>
      </c>
      <c r="O766" s="5">
        <f>IFERROR((PlanMasine[[#This Row],[Norma]]/PlanMasine[[#This Row],[Q]])*(PlanMasine[[#This Row],[Q]]/SUMIF(C:C,PlanMasine[[#This Row],[RN]],B:B)*PlanMasine[[#This Row],[KPLQ]]),0)</f>
        <v>30</v>
      </c>
      <c r="P766">
        <v>215460</v>
      </c>
      <c r="Q766">
        <f>COUNTIF(PROMJENA!A:A,PlanMasine[[#This Row],[KPL]]&amp;"-"&amp;PlanMasine[[#This Row],[RN]])</f>
        <v>0</v>
      </c>
      <c r="R766">
        <f>IFERROR(INDEX(REDOSLIJED!A:A,MATCH(PlanMasine[[#This Row],[KPL]],REDOSLIJED!B:B,0)),MAX(REDOSLIJED!A:A)+1)</f>
        <v>45</v>
      </c>
      <c r="S766" s="9">
        <f>SUM($M$2:M766)</f>
        <v>26.595208333333272</v>
      </c>
      <c r="T766" s="3">
        <f>PlanMasine[[#This Row],[Datum SAS]]-1</f>
        <v>45844</v>
      </c>
      <c r="U766">
        <f>WEEKDAY(PlanMasine[[#This Row],[ZAVRŠETAK MAŠINSKE]],2)</f>
        <v>7</v>
      </c>
      <c r="V766" s="3">
        <f>IF(WEEKDAY(PlanMasine[[#This Row],[Datum SAS]]-1,2)=7,PlanMasine[[#This Row],[Datum SAS]]-3,PlanMasine[[#This Row],[Datum SAS]]-1)</f>
        <v>45842</v>
      </c>
      <c r="W766">
        <f>WEEKNUM(PlanMasine[[#This Row],[Column2]],1)</f>
        <v>27</v>
      </c>
    </row>
    <row r="767" spans="1:23" x14ac:dyDescent="0.35">
      <c r="A767">
        <v>998928</v>
      </c>
      <c r="B767">
        <v>1</v>
      </c>
      <c r="C767">
        <v>998944</v>
      </c>
      <c r="D767" t="s">
        <v>1612</v>
      </c>
      <c r="E767">
        <v>240</v>
      </c>
      <c r="F767">
        <v>12</v>
      </c>
      <c r="G767">
        <v>0</v>
      </c>
      <c r="H767">
        <v>0</v>
      </c>
      <c r="I767" t="s">
        <v>24</v>
      </c>
      <c r="J767" t="s">
        <v>597</v>
      </c>
      <c r="K767" t="s">
        <v>1803</v>
      </c>
      <c r="L767" s="3">
        <v>45870</v>
      </c>
      <c r="M767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1.3888888888888888E-2</v>
      </c>
      <c r="N767" s="3">
        <v>45845</v>
      </c>
      <c r="O767" s="5">
        <f>IFERROR((PlanMasine[[#This Row],[Norma]]/PlanMasine[[#This Row],[Q]])*(PlanMasine[[#This Row],[Q]]/SUMIF(C:C,PlanMasine[[#This Row],[RN]],B:B)*PlanMasine[[#This Row],[KPLQ]]),0)</f>
        <v>20</v>
      </c>
      <c r="P767">
        <v>215459</v>
      </c>
      <c r="Q767">
        <f>COUNTIF(PROMJENA!A:A,PlanMasine[[#This Row],[KPL]]&amp;"-"&amp;PlanMasine[[#This Row],[RN]])</f>
        <v>0</v>
      </c>
      <c r="R767">
        <f>IFERROR(INDEX(REDOSLIJED!A:A,MATCH(PlanMasine[[#This Row],[KPL]],REDOSLIJED!B:B,0)),MAX(REDOSLIJED!A:A)+1)</f>
        <v>45</v>
      </c>
      <c r="S767" s="9">
        <f>SUM($M$2:M767)</f>
        <v>26.609097222222161</v>
      </c>
      <c r="T767" s="3">
        <f>PlanMasine[[#This Row],[Datum SAS]]-1</f>
        <v>45844</v>
      </c>
      <c r="U767">
        <f>WEEKDAY(PlanMasine[[#This Row],[ZAVRŠETAK MAŠINSKE]],2)</f>
        <v>7</v>
      </c>
      <c r="V767" s="3">
        <f>IF(WEEKDAY(PlanMasine[[#This Row],[Datum SAS]]-1,2)=7,PlanMasine[[#This Row],[Datum SAS]]-3,PlanMasine[[#This Row],[Datum SAS]]-1)</f>
        <v>45842</v>
      </c>
      <c r="W767">
        <f>WEEKNUM(PlanMasine[[#This Row],[Column2]],1)</f>
        <v>27</v>
      </c>
    </row>
    <row r="768" spans="1:23" x14ac:dyDescent="0.35">
      <c r="A768">
        <v>998929</v>
      </c>
      <c r="B768">
        <v>1</v>
      </c>
      <c r="C768">
        <v>998944</v>
      </c>
      <c r="D768" t="s">
        <v>1612</v>
      </c>
      <c r="E768">
        <v>240</v>
      </c>
      <c r="F768">
        <v>12</v>
      </c>
      <c r="G768">
        <v>0</v>
      </c>
      <c r="H768">
        <v>0</v>
      </c>
      <c r="I768" t="s">
        <v>24</v>
      </c>
      <c r="J768" t="s">
        <v>597</v>
      </c>
      <c r="K768" t="s">
        <v>1803</v>
      </c>
      <c r="L768" s="3">
        <v>45870</v>
      </c>
      <c r="M768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1.3888888888888888E-2</v>
      </c>
      <c r="N768" s="3">
        <v>45845</v>
      </c>
      <c r="O768" s="5">
        <f>IFERROR((PlanMasine[[#This Row],[Norma]]/PlanMasine[[#This Row],[Q]])*(PlanMasine[[#This Row],[Q]]/SUMIF(C:C,PlanMasine[[#This Row],[RN]],B:B)*PlanMasine[[#This Row],[KPLQ]]),0)</f>
        <v>20</v>
      </c>
      <c r="P768">
        <v>215459</v>
      </c>
      <c r="Q768">
        <f>COUNTIF(PROMJENA!A:A,PlanMasine[[#This Row],[KPL]]&amp;"-"&amp;PlanMasine[[#This Row],[RN]])</f>
        <v>0</v>
      </c>
      <c r="R768">
        <f>IFERROR(INDEX(REDOSLIJED!A:A,MATCH(PlanMasine[[#This Row],[KPL]],REDOSLIJED!B:B,0)),MAX(REDOSLIJED!A:A)+1)</f>
        <v>45</v>
      </c>
      <c r="S768" s="9">
        <f>SUM($M$2:M768)</f>
        <v>26.62298611111105</v>
      </c>
      <c r="T768" s="3">
        <f>PlanMasine[[#This Row],[Datum SAS]]-1</f>
        <v>45844</v>
      </c>
      <c r="U768">
        <f>WEEKDAY(PlanMasine[[#This Row],[ZAVRŠETAK MAŠINSKE]],2)</f>
        <v>7</v>
      </c>
      <c r="V768" s="3">
        <f>IF(WEEKDAY(PlanMasine[[#This Row],[Datum SAS]]-1,2)=7,PlanMasine[[#This Row],[Datum SAS]]-3,PlanMasine[[#This Row],[Datum SAS]]-1)</f>
        <v>45842</v>
      </c>
      <c r="W768">
        <f>WEEKNUM(PlanMasine[[#This Row],[Column2]],1)</f>
        <v>27</v>
      </c>
    </row>
    <row r="769" spans="1:23" x14ac:dyDescent="0.35">
      <c r="A769">
        <v>998929</v>
      </c>
      <c r="B769">
        <v>1</v>
      </c>
      <c r="C769">
        <v>998945</v>
      </c>
      <c r="D769" t="s">
        <v>1623</v>
      </c>
      <c r="E769">
        <v>360</v>
      </c>
      <c r="F769">
        <v>12</v>
      </c>
      <c r="G769">
        <v>0</v>
      </c>
      <c r="H769">
        <v>0</v>
      </c>
      <c r="I769" t="s">
        <v>24</v>
      </c>
      <c r="J769" t="s">
        <v>597</v>
      </c>
      <c r="K769" t="s">
        <v>1803</v>
      </c>
      <c r="L769" s="3">
        <v>45870</v>
      </c>
      <c r="M769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2.0833333333333332E-2</v>
      </c>
      <c r="N769" s="3">
        <v>45845</v>
      </c>
      <c r="O769" s="5">
        <f>IFERROR((PlanMasine[[#This Row],[Norma]]/PlanMasine[[#This Row],[Q]])*(PlanMasine[[#This Row],[Q]]/SUMIF(C:C,PlanMasine[[#This Row],[RN]],B:B)*PlanMasine[[#This Row],[KPLQ]]),0)</f>
        <v>30</v>
      </c>
      <c r="P769">
        <v>215460</v>
      </c>
      <c r="Q769">
        <f>COUNTIF(PROMJENA!A:A,PlanMasine[[#This Row],[KPL]]&amp;"-"&amp;PlanMasine[[#This Row],[RN]])</f>
        <v>0</v>
      </c>
      <c r="R769">
        <f>IFERROR(INDEX(REDOSLIJED!A:A,MATCH(PlanMasine[[#This Row],[KPL]],REDOSLIJED!B:B,0)),MAX(REDOSLIJED!A:A)+1)</f>
        <v>45</v>
      </c>
      <c r="S769" s="9">
        <f>SUM($M$2:M769)</f>
        <v>26.643819444444382</v>
      </c>
      <c r="T769" s="3">
        <f>PlanMasine[[#This Row],[Datum SAS]]-1</f>
        <v>45844</v>
      </c>
      <c r="U769">
        <f>WEEKDAY(PlanMasine[[#This Row],[ZAVRŠETAK MAŠINSKE]],2)</f>
        <v>7</v>
      </c>
      <c r="V769" s="3">
        <f>IF(WEEKDAY(PlanMasine[[#This Row],[Datum SAS]]-1,2)=7,PlanMasine[[#This Row],[Datum SAS]]-3,PlanMasine[[#This Row],[Datum SAS]]-1)</f>
        <v>45842</v>
      </c>
      <c r="W769">
        <f>WEEKNUM(PlanMasine[[#This Row],[Column2]],1)</f>
        <v>27</v>
      </c>
    </row>
    <row r="770" spans="1:23" x14ac:dyDescent="0.35">
      <c r="A770">
        <v>998930</v>
      </c>
      <c r="B770">
        <v>1</v>
      </c>
      <c r="C770">
        <v>998945</v>
      </c>
      <c r="D770" t="s">
        <v>1623</v>
      </c>
      <c r="E770">
        <v>360</v>
      </c>
      <c r="F770">
        <v>12</v>
      </c>
      <c r="G770">
        <v>0</v>
      </c>
      <c r="H770">
        <v>0</v>
      </c>
      <c r="I770" t="s">
        <v>24</v>
      </c>
      <c r="J770" t="s">
        <v>597</v>
      </c>
      <c r="K770" t="s">
        <v>1803</v>
      </c>
      <c r="L770" s="3">
        <v>45870</v>
      </c>
      <c r="M770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2.0833333333333332E-2</v>
      </c>
      <c r="N770" s="3">
        <v>45845</v>
      </c>
      <c r="O770" s="5">
        <f>IFERROR((PlanMasine[[#This Row],[Norma]]/PlanMasine[[#This Row],[Q]])*(PlanMasine[[#This Row],[Q]]/SUMIF(C:C,PlanMasine[[#This Row],[RN]],B:B)*PlanMasine[[#This Row],[KPLQ]]),0)</f>
        <v>30</v>
      </c>
      <c r="P770">
        <v>215460</v>
      </c>
      <c r="Q770">
        <f>COUNTIF(PROMJENA!A:A,PlanMasine[[#This Row],[KPL]]&amp;"-"&amp;PlanMasine[[#This Row],[RN]])</f>
        <v>0</v>
      </c>
      <c r="R770">
        <f>IFERROR(INDEX(REDOSLIJED!A:A,MATCH(PlanMasine[[#This Row],[KPL]],REDOSLIJED!B:B,0)),MAX(REDOSLIJED!A:A)+1)</f>
        <v>45</v>
      </c>
      <c r="S770" s="9">
        <f>SUM($M$2:M770)</f>
        <v>26.664652777777714</v>
      </c>
      <c r="T770" s="3">
        <f>PlanMasine[[#This Row],[Datum SAS]]-1</f>
        <v>45844</v>
      </c>
      <c r="U770">
        <f>WEEKDAY(PlanMasine[[#This Row],[ZAVRŠETAK MAŠINSKE]],2)</f>
        <v>7</v>
      </c>
      <c r="V770" s="3">
        <f>IF(WEEKDAY(PlanMasine[[#This Row],[Datum SAS]]-1,2)=7,PlanMasine[[#This Row],[Datum SAS]]-3,PlanMasine[[#This Row],[Datum SAS]]-1)</f>
        <v>45842</v>
      </c>
      <c r="W770">
        <f>WEEKNUM(PlanMasine[[#This Row],[Column2]],1)</f>
        <v>27</v>
      </c>
    </row>
    <row r="771" spans="1:23" x14ac:dyDescent="0.35">
      <c r="A771">
        <v>998930</v>
      </c>
      <c r="B771">
        <v>1</v>
      </c>
      <c r="C771">
        <v>998944</v>
      </c>
      <c r="D771" t="s">
        <v>1612</v>
      </c>
      <c r="E771">
        <v>240</v>
      </c>
      <c r="F771">
        <v>12</v>
      </c>
      <c r="G771">
        <v>0</v>
      </c>
      <c r="H771">
        <v>0</v>
      </c>
      <c r="I771" t="s">
        <v>24</v>
      </c>
      <c r="J771" t="s">
        <v>597</v>
      </c>
      <c r="K771" t="s">
        <v>1803</v>
      </c>
      <c r="L771" s="3">
        <v>45870</v>
      </c>
      <c r="M771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1.3888888888888888E-2</v>
      </c>
      <c r="N771" s="3">
        <v>45845</v>
      </c>
      <c r="O771" s="5">
        <f>IFERROR((PlanMasine[[#This Row],[Norma]]/PlanMasine[[#This Row],[Q]])*(PlanMasine[[#This Row],[Q]]/SUMIF(C:C,PlanMasine[[#This Row],[RN]],B:B)*PlanMasine[[#This Row],[KPLQ]]),0)</f>
        <v>20</v>
      </c>
      <c r="P771">
        <v>215459</v>
      </c>
      <c r="Q771">
        <f>COUNTIF(PROMJENA!A:A,PlanMasine[[#This Row],[KPL]]&amp;"-"&amp;PlanMasine[[#This Row],[RN]])</f>
        <v>0</v>
      </c>
      <c r="R771">
        <f>IFERROR(INDEX(REDOSLIJED!A:A,MATCH(PlanMasine[[#This Row],[KPL]],REDOSLIJED!B:B,0)),MAX(REDOSLIJED!A:A)+1)</f>
        <v>45</v>
      </c>
      <c r="S771" s="9">
        <f>SUM($M$2:M771)</f>
        <v>26.678541666666604</v>
      </c>
      <c r="T771" s="3">
        <f>PlanMasine[[#This Row],[Datum SAS]]-1</f>
        <v>45844</v>
      </c>
      <c r="U771">
        <f>WEEKDAY(PlanMasine[[#This Row],[ZAVRŠETAK MAŠINSKE]],2)</f>
        <v>7</v>
      </c>
      <c r="V771" s="3">
        <f>IF(WEEKDAY(PlanMasine[[#This Row],[Datum SAS]]-1,2)=7,PlanMasine[[#This Row],[Datum SAS]]-3,PlanMasine[[#This Row],[Datum SAS]]-1)</f>
        <v>45842</v>
      </c>
      <c r="W771">
        <f>WEEKNUM(PlanMasine[[#This Row],[Column2]],1)</f>
        <v>27</v>
      </c>
    </row>
    <row r="772" spans="1:23" x14ac:dyDescent="0.35">
      <c r="A772">
        <v>998931</v>
      </c>
      <c r="B772">
        <v>1</v>
      </c>
      <c r="C772">
        <v>998944</v>
      </c>
      <c r="D772" t="s">
        <v>1612</v>
      </c>
      <c r="E772">
        <v>240</v>
      </c>
      <c r="F772">
        <v>12</v>
      </c>
      <c r="G772">
        <v>0</v>
      </c>
      <c r="H772">
        <v>0</v>
      </c>
      <c r="I772" t="s">
        <v>24</v>
      </c>
      <c r="J772" t="s">
        <v>597</v>
      </c>
      <c r="K772" t="s">
        <v>1803</v>
      </c>
      <c r="L772" s="3">
        <v>45870</v>
      </c>
      <c r="M772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1.3888888888888888E-2</v>
      </c>
      <c r="N772" s="3">
        <v>45845</v>
      </c>
      <c r="O772" s="5">
        <f>IFERROR((PlanMasine[[#This Row],[Norma]]/PlanMasine[[#This Row],[Q]])*(PlanMasine[[#This Row],[Q]]/SUMIF(C:C,PlanMasine[[#This Row],[RN]],B:B)*PlanMasine[[#This Row],[KPLQ]]),0)</f>
        <v>20</v>
      </c>
      <c r="P772">
        <v>215459</v>
      </c>
      <c r="Q772">
        <f>COUNTIF(PROMJENA!A:A,PlanMasine[[#This Row],[KPL]]&amp;"-"&amp;PlanMasine[[#This Row],[RN]])</f>
        <v>0</v>
      </c>
      <c r="R772">
        <f>IFERROR(INDEX(REDOSLIJED!A:A,MATCH(PlanMasine[[#This Row],[KPL]],REDOSLIJED!B:B,0)),MAX(REDOSLIJED!A:A)+1)</f>
        <v>45</v>
      </c>
      <c r="S772" s="9">
        <f>SUM($M$2:M772)</f>
        <v>26.692430555555493</v>
      </c>
      <c r="T772" s="3">
        <f>PlanMasine[[#This Row],[Datum SAS]]-1</f>
        <v>45844</v>
      </c>
      <c r="U772">
        <f>WEEKDAY(PlanMasine[[#This Row],[ZAVRŠETAK MAŠINSKE]],2)</f>
        <v>7</v>
      </c>
      <c r="V772" s="3">
        <f>IF(WEEKDAY(PlanMasine[[#This Row],[Datum SAS]]-1,2)=7,PlanMasine[[#This Row],[Datum SAS]]-3,PlanMasine[[#This Row],[Datum SAS]]-1)</f>
        <v>45842</v>
      </c>
      <c r="W772">
        <f>WEEKNUM(PlanMasine[[#This Row],[Column2]],1)</f>
        <v>27</v>
      </c>
    </row>
    <row r="773" spans="1:23" x14ac:dyDescent="0.35">
      <c r="A773">
        <v>998931</v>
      </c>
      <c r="B773">
        <v>1</v>
      </c>
      <c r="C773">
        <v>998945</v>
      </c>
      <c r="D773" t="s">
        <v>1623</v>
      </c>
      <c r="E773">
        <v>360</v>
      </c>
      <c r="F773">
        <v>12</v>
      </c>
      <c r="G773">
        <v>0</v>
      </c>
      <c r="H773">
        <v>0</v>
      </c>
      <c r="I773" t="s">
        <v>24</v>
      </c>
      <c r="J773" t="s">
        <v>597</v>
      </c>
      <c r="K773" t="s">
        <v>1803</v>
      </c>
      <c r="L773" s="3">
        <v>45870</v>
      </c>
      <c r="M773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2.0833333333333332E-2</v>
      </c>
      <c r="N773" s="3">
        <v>45845</v>
      </c>
      <c r="O773" s="5">
        <f>IFERROR((PlanMasine[[#This Row],[Norma]]/PlanMasine[[#This Row],[Q]])*(PlanMasine[[#This Row],[Q]]/SUMIF(C:C,PlanMasine[[#This Row],[RN]],B:B)*PlanMasine[[#This Row],[KPLQ]]),0)</f>
        <v>30</v>
      </c>
      <c r="P773">
        <v>215460</v>
      </c>
      <c r="Q773">
        <f>COUNTIF(PROMJENA!A:A,PlanMasine[[#This Row],[KPL]]&amp;"-"&amp;PlanMasine[[#This Row],[RN]])</f>
        <v>0</v>
      </c>
      <c r="R773">
        <f>IFERROR(INDEX(REDOSLIJED!A:A,MATCH(PlanMasine[[#This Row],[KPL]],REDOSLIJED!B:B,0)),MAX(REDOSLIJED!A:A)+1)</f>
        <v>45</v>
      </c>
      <c r="S773" s="9">
        <f>SUM($M$2:M773)</f>
        <v>26.713263888888825</v>
      </c>
      <c r="T773" s="3">
        <f>PlanMasine[[#This Row],[Datum SAS]]-1</f>
        <v>45844</v>
      </c>
      <c r="U773">
        <f>WEEKDAY(PlanMasine[[#This Row],[ZAVRŠETAK MAŠINSKE]],2)</f>
        <v>7</v>
      </c>
      <c r="V773" s="3">
        <f>IF(WEEKDAY(PlanMasine[[#This Row],[Datum SAS]]-1,2)=7,PlanMasine[[#This Row],[Datum SAS]]-3,PlanMasine[[#This Row],[Datum SAS]]-1)</f>
        <v>45842</v>
      </c>
      <c r="W773">
        <f>WEEKNUM(PlanMasine[[#This Row],[Column2]],1)</f>
        <v>27</v>
      </c>
    </row>
    <row r="774" spans="1:23" x14ac:dyDescent="0.35">
      <c r="A774">
        <v>998932</v>
      </c>
      <c r="B774">
        <v>1</v>
      </c>
      <c r="C774">
        <v>998945</v>
      </c>
      <c r="D774" t="s">
        <v>1623</v>
      </c>
      <c r="E774">
        <v>360</v>
      </c>
      <c r="F774">
        <v>12</v>
      </c>
      <c r="G774">
        <v>0</v>
      </c>
      <c r="H774">
        <v>0</v>
      </c>
      <c r="I774" t="s">
        <v>24</v>
      </c>
      <c r="J774" t="s">
        <v>597</v>
      </c>
      <c r="K774" t="s">
        <v>1803</v>
      </c>
      <c r="L774" s="3">
        <v>45870</v>
      </c>
      <c r="M774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2.0833333333333332E-2</v>
      </c>
      <c r="N774" s="3">
        <v>45845</v>
      </c>
      <c r="O774" s="5">
        <f>IFERROR((PlanMasine[[#This Row],[Norma]]/PlanMasine[[#This Row],[Q]])*(PlanMasine[[#This Row],[Q]]/SUMIF(C:C,PlanMasine[[#This Row],[RN]],B:B)*PlanMasine[[#This Row],[KPLQ]]),0)</f>
        <v>30</v>
      </c>
      <c r="P774">
        <v>215460</v>
      </c>
      <c r="Q774">
        <f>COUNTIF(PROMJENA!A:A,PlanMasine[[#This Row],[KPL]]&amp;"-"&amp;PlanMasine[[#This Row],[RN]])</f>
        <v>0</v>
      </c>
      <c r="R774">
        <f>IFERROR(INDEX(REDOSLIJED!A:A,MATCH(PlanMasine[[#This Row],[KPL]],REDOSLIJED!B:B,0)),MAX(REDOSLIJED!A:A)+1)</f>
        <v>45</v>
      </c>
      <c r="S774" s="9">
        <f>SUM($M$2:M774)</f>
        <v>26.734097222222157</v>
      </c>
      <c r="T774" s="3">
        <f>PlanMasine[[#This Row],[Datum SAS]]-1</f>
        <v>45844</v>
      </c>
      <c r="U774">
        <f>WEEKDAY(PlanMasine[[#This Row],[ZAVRŠETAK MAŠINSKE]],2)</f>
        <v>7</v>
      </c>
      <c r="V774" s="3">
        <f>IF(WEEKDAY(PlanMasine[[#This Row],[Datum SAS]]-1,2)=7,PlanMasine[[#This Row],[Datum SAS]]-3,PlanMasine[[#This Row],[Datum SAS]]-1)</f>
        <v>45842</v>
      </c>
      <c r="W774">
        <f>WEEKNUM(PlanMasine[[#This Row],[Column2]],1)</f>
        <v>27</v>
      </c>
    </row>
    <row r="775" spans="1:23" x14ac:dyDescent="0.35">
      <c r="A775">
        <v>998932</v>
      </c>
      <c r="B775">
        <v>1</v>
      </c>
      <c r="C775">
        <v>998944</v>
      </c>
      <c r="D775" t="s">
        <v>1612</v>
      </c>
      <c r="E775">
        <v>240</v>
      </c>
      <c r="F775">
        <v>12</v>
      </c>
      <c r="G775">
        <v>0</v>
      </c>
      <c r="H775">
        <v>0</v>
      </c>
      <c r="I775" t="s">
        <v>24</v>
      </c>
      <c r="J775" t="s">
        <v>597</v>
      </c>
      <c r="K775" t="s">
        <v>1803</v>
      </c>
      <c r="L775" s="3">
        <v>45870</v>
      </c>
      <c r="M775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1.3888888888888888E-2</v>
      </c>
      <c r="N775" s="3">
        <v>45845</v>
      </c>
      <c r="O775" s="5">
        <f>IFERROR((PlanMasine[[#This Row],[Norma]]/PlanMasine[[#This Row],[Q]])*(PlanMasine[[#This Row],[Q]]/SUMIF(C:C,PlanMasine[[#This Row],[RN]],B:B)*PlanMasine[[#This Row],[KPLQ]]),0)</f>
        <v>20</v>
      </c>
      <c r="P775">
        <v>215459</v>
      </c>
      <c r="Q775">
        <f>COUNTIF(PROMJENA!A:A,PlanMasine[[#This Row],[KPL]]&amp;"-"&amp;PlanMasine[[#This Row],[RN]])</f>
        <v>0</v>
      </c>
      <c r="R775">
        <f>IFERROR(INDEX(REDOSLIJED!A:A,MATCH(PlanMasine[[#This Row],[KPL]],REDOSLIJED!B:B,0)),MAX(REDOSLIJED!A:A)+1)</f>
        <v>45</v>
      </c>
      <c r="S775" s="9">
        <f>SUM($M$2:M775)</f>
        <v>26.747986111111047</v>
      </c>
      <c r="T775" s="3">
        <f>PlanMasine[[#This Row],[Datum SAS]]-1</f>
        <v>45844</v>
      </c>
      <c r="U775">
        <f>WEEKDAY(PlanMasine[[#This Row],[ZAVRŠETAK MAŠINSKE]],2)</f>
        <v>7</v>
      </c>
      <c r="V775" s="3">
        <f>IF(WEEKDAY(PlanMasine[[#This Row],[Datum SAS]]-1,2)=7,PlanMasine[[#This Row],[Datum SAS]]-3,PlanMasine[[#This Row],[Datum SAS]]-1)</f>
        <v>45842</v>
      </c>
      <c r="W775">
        <f>WEEKNUM(PlanMasine[[#This Row],[Column2]],1)</f>
        <v>27</v>
      </c>
    </row>
    <row r="776" spans="1:23" x14ac:dyDescent="0.35">
      <c r="A776">
        <v>998933</v>
      </c>
      <c r="B776">
        <v>1</v>
      </c>
      <c r="C776">
        <v>998944</v>
      </c>
      <c r="D776" t="s">
        <v>1612</v>
      </c>
      <c r="E776">
        <v>240</v>
      </c>
      <c r="F776">
        <v>12</v>
      </c>
      <c r="G776">
        <v>0</v>
      </c>
      <c r="H776">
        <v>0</v>
      </c>
      <c r="I776" t="s">
        <v>24</v>
      </c>
      <c r="J776" t="s">
        <v>597</v>
      </c>
      <c r="K776" t="s">
        <v>1803</v>
      </c>
      <c r="L776" s="3">
        <v>45870</v>
      </c>
      <c r="M776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1.3888888888888888E-2</v>
      </c>
      <c r="N776" s="3">
        <v>45845</v>
      </c>
      <c r="O776" s="5">
        <f>IFERROR((PlanMasine[[#This Row],[Norma]]/PlanMasine[[#This Row],[Q]])*(PlanMasine[[#This Row],[Q]]/SUMIF(C:C,PlanMasine[[#This Row],[RN]],B:B)*PlanMasine[[#This Row],[KPLQ]]),0)</f>
        <v>20</v>
      </c>
      <c r="P776">
        <v>215459</v>
      </c>
      <c r="Q776">
        <f>COUNTIF(PROMJENA!A:A,PlanMasine[[#This Row],[KPL]]&amp;"-"&amp;PlanMasine[[#This Row],[RN]])</f>
        <v>0</v>
      </c>
      <c r="R776">
        <f>IFERROR(INDEX(REDOSLIJED!A:A,MATCH(PlanMasine[[#This Row],[KPL]],REDOSLIJED!B:B,0)),MAX(REDOSLIJED!A:A)+1)</f>
        <v>45</v>
      </c>
      <c r="S776" s="9">
        <f>SUM($M$2:M776)</f>
        <v>26.761874999999936</v>
      </c>
      <c r="T776" s="3">
        <f>PlanMasine[[#This Row],[Datum SAS]]-1</f>
        <v>45844</v>
      </c>
      <c r="U776">
        <f>WEEKDAY(PlanMasine[[#This Row],[ZAVRŠETAK MAŠINSKE]],2)</f>
        <v>7</v>
      </c>
      <c r="V776" s="3">
        <f>IF(WEEKDAY(PlanMasine[[#This Row],[Datum SAS]]-1,2)=7,PlanMasine[[#This Row],[Datum SAS]]-3,PlanMasine[[#This Row],[Datum SAS]]-1)</f>
        <v>45842</v>
      </c>
      <c r="W776">
        <f>WEEKNUM(PlanMasine[[#This Row],[Column2]],1)</f>
        <v>27</v>
      </c>
    </row>
    <row r="777" spans="1:23" x14ac:dyDescent="0.35">
      <c r="A777">
        <v>998933</v>
      </c>
      <c r="B777">
        <v>1</v>
      </c>
      <c r="C777">
        <v>998945</v>
      </c>
      <c r="D777" t="s">
        <v>1623</v>
      </c>
      <c r="E777">
        <v>360</v>
      </c>
      <c r="F777">
        <v>12</v>
      </c>
      <c r="G777">
        <v>0</v>
      </c>
      <c r="H777">
        <v>0</v>
      </c>
      <c r="I777" t="s">
        <v>24</v>
      </c>
      <c r="J777" t="s">
        <v>597</v>
      </c>
      <c r="K777" t="s">
        <v>1803</v>
      </c>
      <c r="L777" s="3">
        <v>45870</v>
      </c>
      <c r="M777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2.0833333333333332E-2</v>
      </c>
      <c r="N777" s="3">
        <v>45845</v>
      </c>
      <c r="O777" s="5">
        <f>IFERROR((PlanMasine[[#This Row],[Norma]]/PlanMasine[[#This Row],[Q]])*(PlanMasine[[#This Row],[Q]]/SUMIF(C:C,PlanMasine[[#This Row],[RN]],B:B)*PlanMasine[[#This Row],[KPLQ]]),0)</f>
        <v>30</v>
      </c>
      <c r="P777">
        <v>215460</v>
      </c>
      <c r="Q777">
        <f>COUNTIF(PROMJENA!A:A,PlanMasine[[#This Row],[KPL]]&amp;"-"&amp;PlanMasine[[#This Row],[RN]])</f>
        <v>0</v>
      </c>
      <c r="R777">
        <f>IFERROR(INDEX(REDOSLIJED!A:A,MATCH(PlanMasine[[#This Row],[KPL]],REDOSLIJED!B:B,0)),MAX(REDOSLIJED!A:A)+1)</f>
        <v>45</v>
      </c>
      <c r="S777" s="9">
        <f>SUM($M$2:M777)</f>
        <v>26.782708333333268</v>
      </c>
      <c r="T777" s="3">
        <f>PlanMasine[[#This Row],[Datum SAS]]-1</f>
        <v>45844</v>
      </c>
      <c r="U777">
        <f>WEEKDAY(PlanMasine[[#This Row],[ZAVRŠETAK MAŠINSKE]],2)</f>
        <v>7</v>
      </c>
      <c r="V777" s="3">
        <f>IF(WEEKDAY(PlanMasine[[#This Row],[Datum SAS]]-1,2)=7,PlanMasine[[#This Row],[Datum SAS]]-3,PlanMasine[[#This Row],[Datum SAS]]-1)</f>
        <v>45842</v>
      </c>
      <c r="W777">
        <f>WEEKNUM(PlanMasine[[#This Row],[Column2]],1)</f>
        <v>27</v>
      </c>
    </row>
    <row r="778" spans="1:23" x14ac:dyDescent="0.35">
      <c r="A778">
        <v>998934</v>
      </c>
      <c r="B778">
        <v>1</v>
      </c>
      <c r="C778">
        <v>998945</v>
      </c>
      <c r="D778" t="s">
        <v>1623</v>
      </c>
      <c r="E778">
        <v>360</v>
      </c>
      <c r="F778">
        <v>12</v>
      </c>
      <c r="G778">
        <v>0</v>
      </c>
      <c r="H778">
        <v>0</v>
      </c>
      <c r="I778" t="s">
        <v>24</v>
      </c>
      <c r="J778" t="s">
        <v>597</v>
      </c>
      <c r="K778" t="s">
        <v>1803</v>
      </c>
      <c r="L778" s="3">
        <v>45870</v>
      </c>
      <c r="M778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2.0833333333333332E-2</v>
      </c>
      <c r="N778" s="3">
        <v>45845</v>
      </c>
      <c r="O778" s="5">
        <f>IFERROR((PlanMasine[[#This Row],[Norma]]/PlanMasine[[#This Row],[Q]])*(PlanMasine[[#This Row],[Q]]/SUMIF(C:C,PlanMasine[[#This Row],[RN]],B:B)*PlanMasine[[#This Row],[KPLQ]]),0)</f>
        <v>30</v>
      </c>
      <c r="P778">
        <v>215460</v>
      </c>
      <c r="Q778">
        <f>COUNTIF(PROMJENA!A:A,PlanMasine[[#This Row],[KPL]]&amp;"-"&amp;PlanMasine[[#This Row],[RN]])</f>
        <v>0</v>
      </c>
      <c r="R778">
        <f>IFERROR(INDEX(REDOSLIJED!A:A,MATCH(PlanMasine[[#This Row],[KPL]],REDOSLIJED!B:B,0)),MAX(REDOSLIJED!A:A)+1)</f>
        <v>45</v>
      </c>
      <c r="S778" s="9">
        <f>SUM($M$2:M778)</f>
        <v>26.8035416666666</v>
      </c>
      <c r="T778" s="3">
        <f>PlanMasine[[#This Row],[Datum SAS]]-1</f>
        <v>45844</v>
      </c>
      <c r="U778">
        <f>WEEKDAY(PlanMasine[[#This Row],[ZAVRŠETAK MAŠINSKE]],2)</f>
        <v>7</v>
      </c>
      <c r="V778" s="3">
        <f>IF(WEEKDAY(PlanMasine[[#This Row],[Datum SAS]]-1,2)=7,PlanMasine[[#This Row],[Datum SAS]]-3,PlanMasine[[#This Row],[Datum SAS]]-1)</f>
        <v>45842</v>
      </c>
      <c r="W778">
        <f>WEEKNUM(PlanMasine[[#This Row],[Column2]],1)</f>
        <v>27</v>
      </c>
    </row>
    <row r="779" spans="1:23" x14ac:dyDescent="0.35">
      <c r="A779">
        <v>998934</v>
      </c>
      <c r="B779">
        <v>1</v>
      </c>
      <c r="C779">
        <v>998944</v>
      </c>
      <c r="D779" t="s">
        <v>1612</v>
      </c>
      <c r="E779">
        <v>240</v>
      </c>
      <c r="F779">
        <v>12</v>
      </c>
      <c r="G779">
        <v>0</v>
      </c>
      <c r="H779">
        <v>0</v>
      </c>
      <c r="I779" t="s">
        <v>24</v>
      </c>
      <c r="J779" t="s">
        <v>597</v>
      </c>
      <c r="K779" t="s">
        <v>1803</v>
      </c>
      <c r="L779" s="3">
        <v>45870</v>
      </c>
      <c r="M779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1.3888888888888888E-2</v>
      </c>
      <c r="N779" s="3">
        <v>45845</v>
      </c>
      <c r="O779" s="5">
        <f>IFERROR((PlanMasine[[#This Row],[Norma]]/PlanMasine[[#This Row],[Q]])*(PlanMasine[[#This Row],[Q]]/SUMIF(C:C,PlanMasine[[#This Row],[RN]],B:B)*PlanMasine[[#This Row],[KPLQ]]),0)</f>
        <v>20</v>
      </c>
      <c r="P779">
        <v>215459</v>
      </c>
      <c r="Q779">
        <f>COUNTIF(PROMJENA!A:A,PlanMasine[[#This Row],[KPL]]&amp;"-"&amp;PlanMasine[[#This Row],[RN]])</f>
        <v>0</v>
      </c>
      <c r="R779">
        <f>IFERROR(INDEX(REDOSLIJED!A:A,MATCH(PlanMasine[[#This Row],[KPL]],REDOSLIJED!B:B,0)),MAX(REDOSLIJED!A:A)+1)</f>
        <v>45</v>
      </c>
      <c r="S779" s="9">
        <f>SUM($M$2:M779)</f>
        <v>26.817430555555489</v>
      </c>
      <c r="T779" s="3">
        <f>PlanMasine[[#This Row],[Datum SAS]]-1</f>
        <v>45844</v>
      </c>
      <c r="U779">
        <f>WEEKDAY(PlanMasine[[#This Row],[ZAVRŠETAK MAŠINSKE]],2)</f>
        <v>7</v>
      </c>
      <c r="V779" s="3">
        <f>IF(WEEKDAY(PlanMasine[[#This Row],[Datum SAS]]-1,2)=7,PlanMasine[[#This Row],[Datum SAS]]-3,PlanMasine[[#This Row],[Datum SAS]]-1)</f>
        <v>45842</v>
      </c>
      <c r="W779">
        <f>WEEKNUM(PlanMasine[[#This Row],[Column2]],1)</f>
        <v>27</v>
      </c>
    </row>
    <row r="780" spans="1:23" x14ac:dyDescent="0.35">
      <c r="A780">
        <v>998935</v>
      </c>
      <c r="B780">
        <v>1</v>
      </c>
      <c r="C780">
        <v>998945</v>
      </c>
      <c r="D780" t="s">
        <v>1623</v>
      </c>
      <c r="E780">
        <v>360</v>
      </c>
      <c r="F780">
        <v>12</v>
      </c>
      <c r="G780">
        <v>0</v>
      </c>
      <c r="H780">
        <v>0</v>
      </c>
      <c r="I780" t="s">
        <v>24</v>
      </c>
      <c r="J780" t="s">
        <v>597</v>
      </c>
      <c r="K780" t="s">
        <v>1803</v>
      </c>
      <c r="L780" s="3">
        <v>45870</v>
      </c>
      <c r="M780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2.0833333333333332E-2</v>
      </c>
      <c r="N780" s="3">
        <v>45845</v>
      </c>
      <c r="O780" s="5">
        <f>IFERROR((PlanMasine[[#This Row],[Norma]]/PlanMasine[[#This Row],[Q]])*(PlanMasine[[#This Row],[Q]]/SUMIF(C:C,PlanMasine[[#This Row],[RN]],B:B)*PlanMasine[[#This Row],[KPLQ]]),0)</f>
        <v>30</v>
      </c>
      <c r="P780">
        <v>215460</v>
      </c>
      <c r="Q780">
        <f>COUNTIF(PROMJENA!A:A,PlanMasine[[#This Row],[KPL]]&amp;"-"&amp;PlanMasine[[#This Row],[RN]])</f>
        <v>0</v>
      </c>
      <c r="R780">
        <f>IFERROR(INDEX(REDOSLIJED!A:A,MATCH(PlanMasine[[#This Row],[KPL]],REDOSLIJED!B:B,0)),MAX(REDOSLIJED!A:A)+1)</f>
        <v>45</v>
      </c>
      <c r="S780" s="9">
        <f>SUM($M$2:M780)</f>
        <v>26.838263888888822</v>
      </c>
      <c r="T780" s="3">
        <f>PlanMasine[[#This Row],[Datum SAS]]-1</f>
        <v>45844</v>
      </c>
      <c r="U780">
        <f>WEEKDAY(PlanMasine[[#This Row],[ZAVRŠETAK MAŠINSKE]],2)</f>
        <v>7</v>
      </c>
      <c r="V780" s="3">
        <f>IF(WEEKDAY(PlanMasine[[#This Row],[Datum SAS]]-1,2)=7,PlanMasine[[#This Row],[Datum SAS]]-3,PlanMasine[[#This Row],[Datum SAS]]-1)</f>
        <v>45842</v>
      </c>
      <c r="W780">
        <f>WEEKNUM(PlanMasine[[#This Row],[Column2]],1)</f>
        <v>27</v>
      </c>
    </row>
    <row r="781" spans="1:23" x14ac:dyDescent="0.35">
      <c r="A781">
        <v>998935</v>
      </c>
      <c r="B781">
        <v>1</v>
      </c>
      <c r="C781">
        <v>998944</v>
      </c>
      <c r="D781" t="s">
        <v>1612</v>
      </c>
      <c r="E781">
        <v>240</v>
      </c>
      <c r="F781">
        <v>12</v>
      </c>
      <c r="G781">
        <v>0</v>
      </c>
      <c r="H781">
        <v>0</v>
      </c>
      <c r="I781" t="s">
        <v>24</v>
      </c>
      <c r="J781" t="s">
        <v>597</v>
      </c>
      <c r="K781" t="s">
        <v>1803</v>
      </c>
      <c r="L781" s="3">
        <v>45870</v>
      </c>
      <c r="M781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1.3888888888888888E-2</v>
      </c>
      <c r="N781" s="3">
        <v>45845</v>
      </c>
      <c r="O781" s="5">
        <f>IFERROR((PlanMasine[[#This Row],[Norma]]/PlanMasine[[#This Row],[Q]])*(PlanMasine[[#This Row],[Q]]/SUMIF(C:C,PlanMasine[[#This Row],[RN]],B:B)*PlanMasine[[#This Row],[KPLQ]]),0)</f>
        <v>20</v>
      </c>
      <c r="P781">
        <v>215459</v>
      </c>
      <c r="Q781">
        <f>COUNTIF(PROMJENA!A:A,PlanMasine[[#This Row],[KPL]]&amp;"-"&amp;PlanMasine[[#This Row],[RN]])</f>
        <v>0</v>
      </c>
      <c r="R781">
        <f>IFERROR(INDEX(REDOSLIJED!A:A,MATCH(PlanMasine[[#This Row],[KPL]],REDOSLIJED!B:B,0)),MAX(REDOSLIJED!A:A)+1)</f>
        <v>45</v>
      </c>
      <c r="S781" s="9">
        <f>SUM($M$2:M781)</f>
        <v>26.852152777777711</v>
      </c>
      <c r="T781" s="3">
        <f>PlanMasine[[#This Row],[Datum SAS]]-1</f>
        <v>45844</v>
      </c>
      <c r="U781">
        <f>WEEKDAY(PlanMasine[[#This Row],[ZAVRŠETAK MAŠINSKE]],2)</f>
        <v>7</v>
      </c>
      <c r="V781" s="3">
        <f>IF(WEEKDAY(PlanMasine[[#This Row],[Datum SAS]]-1,2)=7,PlanMasine[[#This Row],[Datum SAS]]-3,PlanMasine[[#This Row],[Datum SAS]]-1)</f>
        <v>45842</v>
      </c>
      <c r="W781">
        <f>WEEKNUM(PlanMasine[[#This Row],[Column2]],1)</f>
        <v>27</v>
      </c>
    </row>
    <row r="782" spans="1:23" x14ac:dyDescent="0.35">
      <c r="A782">
        <v>998936</v>
      </c>
      <c r="B782">
        <v>1</v>
      </c>
      <c r="C782">
        <v>998944</v>
      </c>
      <c r="D782" t="s">
        <v>1612</v>
      </c>
      <c r="E782">
        <v>240</v>
      </c>
      <c r="F782">
        <v>12</v>
      </c>
      <c r="G782">
        <v>0</v>
      </c>
      <c r="H782">
        <v>0</v>
      </c>
      <c r="I782" t="s">
        <v>24</v>
      </c>
      <c r="J782" t="s">
        <v>597</v>
      </c>
      <c r="K782" t="s">
        <v>1803</v>
      </c>
      <c r="L782" s="3">
        <v>45870</v>
      </c>
      <c r="M782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1.3888888888888888E-2</v>
      </c>
      <c r="N782" s="3">
        <v>45845</v>
      </c>
      <c r="O782" s="5">
        <f>IFERROR((PlanMasine[[#This Row],[Norma]]/PlanMasine[[#This Row],[Q]])*(PlanMasine[[#This Row],[Q]]/SUMIF(C:C,PlanMasine[[#This Row],[RN]],B:B)*PlanMasine[[#This Row],[KPLQ]]),0)</f>
        <v>20</v>
      </c>
      <c r="P782">
        <v>215459</v>
      </c>
      <c r="Q782">
        <f>COUNTIF(PROMJENA!A:A,PlanMasine[[#This Row],[KPL]]&amp;"-"&amp;PlanMasine[[#This Row],[RN]])</f>
        <v>0</v>
      </c>
      <c r="R782">
        <f>IFERROR(INDEX(REDOSLIJED!A:A,MATCH(PlanMasine[[#This Row],[KPL]],REDOSLIJED!B:B,0)),MAX(REDOSLIJED!A:A)+1)</f>
        <v>45</v>
      </c>
      <c r="S782" s="9">
        <f>SUM($M$2:M782)</f>
        <v>26.8660416666666</v>
      </c>
      <c r="T782" s="3">
        <f>PlanMasine[[#This Row],[Datum SAS]]-1</f>
        <v>45844</v>
      </c>
      <c r="U782">
        <f>WEEKDAY(PlanMasine[[#This Row],[ZAVRŠETAK MAŠINSKE]],2)</f>
        <v>7</v>
      </c>
      <c r="V782" s="3">
        <f>IF(WEEKDAY(PlanMasine[[#This Row],[Datum SAS]]-1,2)=7,PlanMasine[[#This Row],[Datum SAS]]-3,PlanMasine[[#This Row],[Datum SAS]]-1)</f>
        <v>45842</v>
      </c>
      <c r="W782">
        <f>WEEKNUM(PlanMasine[[#This Row],[Column2]],1)</f>
        <v>27</v>
      </c>
    </row>
    <row r="783" spans="1:23" x14ac:dyDescent="0.35">
      <c r="A783">
        <v>998936</v>
      </c>
      <c r="B783">
        <v>1</v>
      </c>
      <c r="C783">
        <v>998945</v>
      </c>
      <c r="D783" t="s">
        <v>1623</v>
      </c>
      <c r="E783">
        <v>360</v>
      </c>
      <c r="F783">
        <v>12</v>
      </c>
      <c r="G783">
        <v>0</v>
      </c>
      <c r="H783">
        <v>0</v>
      </c>
      <c r="I783" t="s">
        <v>24</v>
      </c>
      <c r="J783" t="s">
        <v>597</v>
      </c>
      <c r="K783" t="s">
        <v>1803</v>
      </c>
      <c r="L783" s="3">
        <v>45870</v>
      </c>
      <c r="M783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2.0833333333333332E-2</v>
      </c>
      <c r="N783" s="3">
        <v>45845</v>
      </c>
      <c r="O783" s="5">
        <f>IFERROR((PlanMasine[[#This Row],[Norma]]/PlanMasine[[#This Row],[Q]])*(PlanMasine[[#This Row],[Q]]/SUMIF(C:C,PlanMasine[[#This Row],[RN]],B:B)*PlanMasine[[#This Row],[KPLQ]]),0)</f>
        <v>30</v>
      </c>
      <c r="P783">
        <v>215460</v>
      </c>
      <c r="Q783">
        <f>COUNTIF(PROMJENA!A:A,PlanMasine[[#This Row],[KPL]]&amp;"-"&amp;PlanMasine[[#This Row],[RN]])</f>
        <v>0</v>
      </c>
      <c r="R783">
        <f>IFERROR(INDEX(REDOSLIJED!A:A,MATCH(PlanMasine[[#This Row],[KPL]],REDOSLIJED!B:B,0)),MAX(REDOSLIJED!A:A)+1)</f>
        <v>45</v>
      </c>
      <c r="S783" s="9">
        <f>SUM($M$2:M783)</f>
        <v>26.886874999999932</v>
      </c>
      <c r="T783" s="3">
        <f>PlanMasine[[#This Row],[Datum SAS]]-1</f>
        <v>45844</v>
      </c>
      <c r="U783">
        <f>WEEKDAY(PlanMasine[[#This Row],[ZAVRŠETAK MAŠINSKE]],2)</f>
        <v>7</v>
      </c>
      <c r="V783" s="3">
        <f>IF(WEEKDAY(PlanMasine[[#This Row],[Datum SAS]]-1,2)=7,PlanMasine[[#This Row],[Datum SAS]]-3,PlanMasine[[#This Row],[Datum SAS]]-1)</f>
        <v>45842</v>
      </c>
      <c r="W783">
        <f>WEEKNUM(PlanMasine[[#This Row],[Column2]],1)</f>
        <v>27</v>
      </c>
    </row>
    <row r="784" spans="1:23" x14ac:dyDescent="0.35">
      <c r="A784">
        <v>998937</v>
      </c>
      <c r="B784">
        <v>1</v>
      </c>
      <c r="C784">
        <v>998945</v>
      </c>
      <c r="D784" t="s">
        <v>1623</v>
      </c>
      <c r="E784">
        <v>360</v>
      </c>
      <c r="F784">
        <v>12</v>
      </c>
      <c r="G784">
        <v>0</v>
      </c>
      <c r="H784">
        <v>0</v>
      </c>
      <c r="I784" t="s">
        <v>24</v>
      </c>
      <c r="J784" t="s">
        <v>597</v>
      </c>
      <c r="K784" t="s">
        <v>1803</v>
      </c>
      <c r="L784" s="3">
        <v>45870</v>
      </c>
      <c r="M784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2.0833333333333332E-2</v>
      </c>
      <c r="N784" s="3">
        <v>45845</v>
      </c>
      <c r="O784" s="5">
        <f>IFERROR((PlanMasine[[#This Row],[Norma]]/PlanMasine[[#This Row],[Q]])*(PlanMasine[[#This Row],[Q]]/SUMIF(C:C,PlanMasine[[#This Row],[RN]],B:B)*PlanMasine[[#This Row],[KPLQ]]),0)</f>
        <v>30</v>
      </c>
      <c r="P784">
        <v>215460</v>
      </c>
      <c r="Q784">
        <f>COUNTIF(PROMJENA!A:A,PlanMasine[[#This Row],[KPL]]&amp;"-"&amp;PlanMasine[[#This Row],[RN]])</f>
        <v>0</v>
      </c>
      <c r="R784">
        <f>IFERROR(INDEX(REDOSLIJED!A:A,MATCH(PlanMasine[[#This Row],[KPL]],REDOSLIJED!B:B,0)),MAX(REDOSLIJED!A:A)+1)</f>
        <v>45</v>
      </c>
      <c r="S784" s="9">
        <f>SUM($M$2:M784)</f>
        <v>26.907708333333265</v>
      </c>
      <c r="T784" s="3">
        <f>PlanMasine[[#This Row],[Datum SAS]]-1</f>
        <v>45844</v>
      </c>
      <c r="U784">
        <f>WEEKDAY(PlanMasine[[#This Row],[ZAVRŠETAK MAŠINSKE]],2)</f>
        <v>7</v>
      </c>
      <c r="V784" s="3">
        <f>IF(WEEKDAY(PlanMasine[[#This Row],[Datum SAS]]-1,2)=7,PlanMasine[[#This Row],[Datum SAS]]-3,PlanMasine[[#This Row],[Datum SAS]]-1)</f>
        <v>45842</v>
      </c>
      <c r="W784">
        <f>WEEKNUM(PlanMasine[[#This Row],[Column2]],1)</f>
        <v>27</v>
      </c>
    </row>
    <row r="785" spans="1:23" x14ac:dyDescent="0.35">
      <c r="A785">
        <v>998937</v>
      </c>
      <c r="B785">
        <v>1</v>
      </c>
      <c r="C785">
        <v>998944</v>
      </c>
      <c r="D785" t="s">
        <v>1612</v>
      </c>
      <c r="E785">
        <v>240</v>
      </c>
      <c r="F785">
        <v>12</v>
      </c>
      <c r="G785">
        <v>0</v>
      </c>
      <c r="H785">
        <v>0</v>
      </c>
      <c r="I785" t="s">
        <v>24</v>
      </c>
      <c r="J785" t="s">
        <v>597</v>
      </c>
      <c r="K785" t="s">
        <v>1803</v>
      </c>
      <c r="L785" s="3">
        <v>45870</v>
      </c>
      <c r="M785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1.3888888888888888E-2</v>
      </c>
      <c r="N785" s="3">
        <v>45845</v>
      </c>
      <c r="O785" s="5">
        <f>IFERROR((PlanMasine[[#This Row],[Norma]]/PlanMasine[[#This Row],[Q]])*(PlanMasine[[#This Row],[Q]]/SUMIF(C:C,PlanMasine[[#This Row],[RN]],B:B)*PlanMasine[[#This Row],[KPLQ]]),0)</f>
        <v>20</v>
      </c>
      <c r="P785">
        <v>215459</v>
      </c>
      <c r="Q785">
        <f>COUNTIF(PROMJENA!A:A,PlanMasine[[#This Row],[KPL]]&amp;"-"&amp;PlanMasine[[#This Row],[RN]])</f>
        <v>0</v>
      </c>
      <c r="R785">
        <f>IFERROR(INDEX(REDOSLIJED!A:A,MATCH(PlanMasine[[#This Row],[KPL]],REDOSLIJED!B:B,0)),MAX(REDOSLIJED!A:A)+1)</f>
        <v>45</v>
      </c>
      <c r="S785" s="9">
        <f>SUM($M$2:M785)</f>
        <v>26.921597222222154</v>
      </c>
      <c r="T785" s="3">
        <f>PlanMasine[[#This Row],[Datum SAS]]-1</f>
        <v>45844</v>
      </c>
      <c r="U785">
        <f>WEEKDAY(PlanMasine[[#This Row],[ZAVRŠETAK MAŠINSKE]],2)</f>
        <v>7</v>
      </c>
      <c r="V785" s="3">
        <f>IF(WEEKDAY(PlanMasine[[#This Row],[Datum SAS]]-1,2)=7,PlanMasine[[#This Row],[Datum SAS]]-3,PlanMasine[[#This Row],[Datum SAS]]-1)</f>
        <v>45842</v>
      </c>
      <c r="W785">
        <f>WEEKNUM(PlanMasine[[#This Row],[Column2]],1)</f>
        <v>27</v>
      </c>
    </row>
    <row r="786" spans="1:23" x14ac:dyDescent="0.35">
      <c r="A786">
        <v>998938</v>
      </c>
      <c r="B786">
        <v>1</v>
      </c>
      <c r="C786">
        <v>998945</v>
      </c>
      <c r="D786" t="s">
        <v>1623</v>
      </c>
      <c r="E786">
        <v>360</v>
      </c>
      <c r="F786">
        <v>12</v>
      </c>
      <c r="G786">
        <v>0</v>
      </c>
      <c r="H786">
        <v>0</v>
      </c>
      <c r="I786" t="s">
        <v>24</v>
      </c>
      <c r="J786" t="s">
        <v>597</v>
      </c>
      <c r="K786" t="s">
        <v>1803</v>
      </c>
      <c r="L786" s="3">
        <v>45870</v>
      </c>
      <c r="M786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2.0833333333333332E-2</v>
      </c>
      <c r="N786" s="3">
        <v>45845</v>
      </c>
      <c r="O786" s="5">
        <f>IFERROR((PlanMasine[[#This Row],[Norma]]/PlanMasine[[#This Row],[Q]])*(PlanMasine[[#This Row],[Q]]/SUMIF(C:C,PlanMasine[[#This Row],[RN]],B:B)*PlanMasine[[#This Row],[KPLQ]]),0)</f>
        <v>30</v>
      </c>
      <c r="P786">
        <v>215460</v>
      </c>
      <c r="Q786">
        <f>COUNTIF(PROMJENA!A:A,PlanMasine[[#This Row],[KPL]]&amp;"-"&amp;PlanMasine[[#This Row],[RN]])</f>
        <v>0</v>
      </c>
      <c r="R786">
        <f>IFERROR(INDEX(REDOSLIJED!A:A,MATCH(PlanMasine[[#This Row],[KPL]],REDOSLIJED!B:B,0)),MAX(REDOSLIJED!A:A)+1)</f>
        <v>45</v>
      </c>
      <c r="S786" s="9">
        <f>SUM($M$2:M786)</f>
        <v>26.942430555555486</v>
      </c>
      <c r="T786" s="3">
        <f>PlanMasine[[#This Row],[Datum SAS]]-1</f>
        <v>45844</v>
      </c>
      <c r="U786">
        <f>WEEKDAY(PlanMasine[[#This Row],[ZAVRŠETAK MAŠINSKE]],2)</f>
        <v>7</v>
      </c>
      <c r="V786" s="3">
        <f>IF(WEEKDAY(PlanMasine[[#This Row],[Datum SAS]]-1,2)=7,PlanMasine[[#This Row],[Datum SAS]]-3,PlanMasine[[#This Row],[Datum SAS]]-1)</f>
        <v>45842</v>
      </c>
      <c r="W786">
        <f>WEEKNUM(PlanMasine[[#This Row],[Column2]],1)</f>
        <v>27</v>
      </c>
    </row>
    <row r="787" spans="1:23" x14ac:dyDescent="0.35">
      <c r="A787">
        <v>998938</v>
      </c>
      <c r="B787">
        <v>1</v>
      </c>
      <c r="C787">
        <v>998944</v>
      </c>
      <c r="D787" t="s">
        <v>1612</v>
      </c>
      <c r="E787">
        <v>240</v>
      </c>
      <c r="F787">
        <v>12</v>
      </c>
      <c r="G787">
        <v>0</v>
      </c>
      <c r="H787">
        <v>0</v>
      </c>
      <c r="I787" t="s">
        <v>24</v>
      </c>
      <c r="J787" t="s">
        <v>597</v>
      </c>
      <c r="K787" t="s">
        <v>1803</v>
      </c>
      <c r="L787" s="3">
        <v>45870</v>
      </c>
      <c r="M787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1.3888888888888888E-2</v>
      </c>
      <c r="N787" s="3">
        <v>45845</v>
      </c>
      <c r="O787" s="5">
        <f>IFERROR((PlanMasine[[#This Row],[Norma]]/PlanMasine[[#This Row],[Q]])*(PlanMasine[[#This Row],[Q]]/SUMIF(C:C,PlanMasine[[#This Row],[RN]],B:B)*PlanMasine[[#This Row],[KPLQ]]),0)</f>
        <v>20</v>
      </c>
      <c r="P787">
        <v>215459</v>
      </c>
      <c r="Q787">
        <f>COUNTIF(PROMJENA!A:A,PlanMasine[[#This Row],[KPL]]&amp;"-"&amp;PlanMasine[[#This Row],[RN]])</f>
        <v>0</v>
      </c>
      <c r="R787">
        <f>IFERROR(INDEX(REDOSLIJED!A:A,MATCH(PlanMasine[[#This Row],[KPL]],REDOSLIJED!B:B,0)),MAX(REDOSLIJED!A:A)+1)</f>
        <v>45</v>
      </c>
      <c r="S787" s="9">
        <f>SUM($M$2:M787)</f>
        <v>26.956319444444375</v>
      </c>
      <c r="T787" s="3">
        <f>PlanMasine[[#This Row],[Datum SAS]]-1</f>
        <v>45844</v>
      </c>
      <c r="U787">
        <f>WEEKDAY(PlanMasine[[#This Row],[ZAVRŠETAK MAŠINSKE]],2)</f>
        <v>7</v>
      </c>
      <c r="V787" s="3">
        <f>IF(WEEKDAY(PlanMasine[[#This Row],[Datum SAS]]-1,2)=7,PlanMasine[[#This Row],[Datum SAS]]-3,PlanMasine[[#This Row],[Datum SAS]]-1)</f>
        <v>45842</v>
      </c>
      <c r="W787">
        <f>WEEKNUM(PlanMasine[[#This Row],[Column2]],1)</f>
        <v>27</v>
      </c>
    </row>
    <row r="788" spans="1:23" x14ac:dyDescent="0.35">
      <c r="A788">
        <v>1021070</v>
      </c>
      <c r="B788">
        <v>1</v>
      </c>
      <c r="C788">
        <v>1021077</v>
      </c>
      <c r="D788" t="s">
        <v>1982</v>
      </c>
      <c r="E788">
        <v>90</v>
      </c>
      <c r="F788">
        <v>3</v>
      </c>
      <c r="G788">
        <v>0</v>
      </c>
      <c r="H788">
        <v>0</v>
      </c>
      <c r="I788" t="s">
        <v>24</v>
      </c>
      <c r="J788" t="s">
        <v>597</v>
      </c>
      <c r="K788" t="s">
        <v>2040</v>
      </c>
      <c r="L788" s="3">
        <v>45869</v>
      </c>
      <c r="M788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2.0833333333333332E-2</v>
      </c>
      <c r="N788" s="3">
        <v>45845</v>
      </c>
      <c r="O788" s="5">
        <f>IFERROR((PlanMasine[[#This Row],[Norma]]/PlanMasine[[#This Row],[Q]])*(PlanMasine[[#This Row],[Q]]/SUMIF(C:C,PlanMasine[[#This Row],[RN]],B:B)*PlanMasine[[#This Row],[KPLQ]]),0)</f>
        <v>30</v>
      </c>
      <c r="P788">
        <v>150159</v>
      </c>
      <c r="Q788">
        <f>COUNTIF(PROMJENA!A:A,PlanMasine[[#This Row],[KPL]]&amp;"-"&amp;PlanMasine[[#This Row],[RN]])</f>
        <v>0</v>
      </c>
      <c r="R788">
        <f>IFERROR(INDEX(REDOSLIJED!A:A,MATCH(PlanMasine[[#This Row],[KPL]],REDOSLIJED!B:B,0)),MAX(REDOSLIJED!A:A)+1)</f>
        <v>45</v>
      </c>
      <c r="S788" s="9">
        <f>SUM($M$2:M788)</f>
        <v>26.977152777777707</v>
      </c>
      <c r="T788" s="3">
        <f>PlanMasine[[#This Row],[Datum SAS]]-1</f>
        <v>45844</v>
      </c>
      <c r="U788">
        <f>WEEKDAY(PlanMasine[[#This Row],[ZAVRŠETAK MAŠINSKE]],2)</f>
        <v>7</v>
      </c>
      <c r="V788" s="3">
        <f>IF(WEEKDAY(PlanMasine[[#This Row],[Datum SAS]]-1,2)=7,PlanMasine[[#This Row],[Datum SAS]]-3,PlanMasine[[#This Row],[Datum SAS]]-1)</f>
        <v>45842</v>
      </c>
      <c r="W788">
        <f>WEEKNUM(PlanMasine[[#This Row],[Column2]],1)</f>
        <v>27</v>
      </c>
    </row>
    <row r="789" spans="1:23" x14ac:dyDescent="0.35">
      <c r="A789">
        <v>1021070</v>
      </c>
      <c r="B789">
        <v>1</v>
      </c>
      <c r="C789">
        <v>1021076</v>
      </c>
      <c r="D789" t="s">
        <v>1980</v>
      </c>
      <c r="E789">
        <v>90</v>
      </c>
      <c r="F789">
        <v>3</v>
      </c>
      <c r="G789">
        <v>0</v>
      </c>
      <c r="H789">
        <v>0</v>
      </c>
      <c r="I789" t="s">
        <v>24</v>
      </c>
      <c r="J789" t="s">
        <v>597</v>
      </c>
      <c r="K789" t="s">
        <v>2040</v>
      </c>
      <c r="L789" s="3">
        <v>45869</v>
      </c>
      <c r="M789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2.0833333333333332E-2</v>
      </c>
      <c r="N789" s="3">
        <v>45845</v>
      </c>
      <c r="O789" s="5">
        <f>IFERROR((PlanMasine[[#This Row],[Norma]]/PlanMasine[[#This Row],[Q]])*(PlanMasine[[#This Row],[Q]]/SUMIF(C:C,PlanMasine[[#This Row],[RN]],B:B)*PlanMasine[[#This Row],[KPLQ]]),0)</f>
        <v>30</v>
      </c>
      <c r="P789">
        <v>150158</v>
      </c>
      <c r="Q789">
        <f>COUNTIF(PROMJENA!A:A,PlanMasine[[#This Row],[KPL]]&amp;"-"&amp;PlanMasine[[#This Row],[RN]])</f>
        <v>0</v>
      </c>
      <c r="R789">
        <f>IFERROR(INDEX(REDOSLIJED!A:A,MATCH(PlanMasine[[#This Row],[KPL]],REDOSLIJED!B:B,0)),MAX(REDOSLIJED!A:A)+1)</f>
        <v>45</v>
      </c>
      <c r="S789" s="9">
        <f>SUM($M$2:M789)</f>
        <v>26.99798611111104</v>
      </c>
      <c r="T789" s="3">
        <f>PlanMasine[[#This Row],[Datum SAS]]-1</f>
        <v>45844</v>
      </c>
      <c r="U789">
        <f>WEEKDAY(PlanMasine[[#This Row],[ZAVRŠETAK MAŠINSKE]],2)</f>
        <v>7</v>
      </c>
      <c r="V789" s="3">
        <f>IF(WEEKDAY(PlanMasine[[#This Row],[Datum SAS]]-1,2)=7,PlanMasine[[#This Row],[Datum SAS]]-3,PlanMasine[[#This Row],[Datum SAS]]-1)</f>
        <v>45842</v>
      </c>
      <c r="W789">
        <f>WEEKNUM(PlanMasine[[#This Row],[Column2]],1)</f>
        <v>27</v>
      </c>
    </row>
    <row r="790" spans="1:23" x14ac:dyDescent="0.35">
      <c r="A790">
        <v>1021071</v>
      </c>
      <c r="B790">
        <v>1</v>
      </c>
      <c r="C790">
        <v>1021077</v>
      </c>
      <c r="D790" t="s">
        <v>1982</v>
      </c>
      <c r="E790">
        <v>90</v>
      </c>
      <c r="F790">
        <v>3</v>
      </c>
      <c r="G790">
        <v>0</v>
      </c>
      <c r="H790">
        <v>0</v>
      </c>
      <c r="I790" t="s">
        <v>24</v>
      </c>
      <c r="J790" t="s">
        <v>597</v>
      </c>
      <c r="K790" t="s">
        <v>2040</v>
      </c>
      <c r="L790" s="3">
        <v>45869</v>
      </c>
      <c r="M790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2.0833333333333332E-2</v>
      </c>
      <c r="N790" s="3">
        <v>45845</v>
      </c>
      <c r="O790" s="5">
        <f>IFERROR((PlanMasine[[#This Row],[Norma]]/PlanMasine[[#This Row],[Q]])*(PlanMasine[[#This Row],[Q]]/SUMIF(C:C,PlanMasine[[#This Row],[RN]],B:B)*PlanMasine[[#This Row],[KPLQ]]),0)</f>
        <v>30</v>
      </c>
      <c r="P790">
        <v>150159</v>
      </c>
      <c r="Q790">
        <f>COUNTIF(PROMJENA!A:A,PlanMasine[[#This Row],[KPL]]&amp;"-"&amp;PlanMasine[[#This Row],[RN]])</f>
        <v>0</v>
      </c>
      <c r="R790">
        <f>IFERROR(INDEX(REDOSLIJED!A:A,MATCH(PlanMasine[[#This Row],[KPL]],REDOSLIJED!B:B,0)),MAX(REDOSLIJED!A:A)+1)</f>
        <v>45</v>
      </c>
      <c r="S790" s="9">
        <f>SUM($M$2:M790)</f>
        <v>27.018819444444372</v>
      </c>
      <c r="T790" s="3">
        <f>PlanMasine[[#This Row],[Datum SAS]]-1</f>
        <v>45844</v>
      </c>
      <c r="U790">
        <f>WEEKDAY(PlanMasine[[#This Row],[ZAVRŠETAK MAŠINSKE]],2)</f>
        <v>7</v>
      </c>
      <c r="V790" s="3">
        <f>IF(WEEKDAY(PlanMasine[[#This Row],[Datum SAS]]-1,2)=7,PlanMasine[[#This Row],[Datum SAS]]-3,PlanMasine[[#This Row],[Datum SAS]]-1)</f>
        <v>45842</v>
      </c>
      <c r="W790">
        <f>WEEKNUM(PlanMasine[[#This Row],[Column2]],1)</f>
        <v>27</v>
      </c>
    </row>
    <row r="791" spans="1:23" x14ac:dyDescent="0.35">
      <c r="A791">
        <v>1021071</v>
      </c>
      <c r="B791">
        <v>1</v>
      </c>
      <c r="C791">
        <v>1021076</v>
      </c>
      <c r="D791" t="s">
        <v>1980</v>
      </c>
      <c r="E791">
        <v>90</v>
      </c>
      <c r="F791">
        <v>3</v>
      </c>
      <c r="G791">
        <v>0</v>
      </c>
      <c r="H791">
        <v>0</v>
      </c>
      <c r="I791" t="s">
        <v>24</v>
      </c>
      <c r="J791" t="s">
        <v>597</v>
      </c>
      <c r="K791" t="s">
        <v>2040</v>
      </c>
      <c r="L791" s="3">
        <v>45869</v>
      </c>
      <c r="M791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2.0833333333333332E-2</v>
      </c>
      <c r="N791" s="3">
        <v>45845</v>
      </c>
      <c r="O791" s="5">
        <f>IFERROR((PlanMasine[[#This Row],[Norma]]/PlanMasine[[#This Row],[Q]])*(PlanMasine[[#This Row],[Q]]/SUMIF(C:C,PlanMasine[[#This Row],[RN]],B:B)*PlanMasine[[#This Row],[KPLQ]]),0)</f>
        <v>30</v>
      </c>
      <c r="P791">
        <v>150158</v>
      </c>
      <c r="Q791">
        <f>COUNTIF(PROMJENA!A:A,PlanMasine[[#This Row],[KPL]]&amp;"-"&amp;PlanMasine[[#This Row],[RN]])</f>
        <v>0</v>
      </c>
      <c r="R791">
        <f>IFERROR(INDEX(REDOSLIJED!A:A,MATCH(PlanMasine[[#This Row],[KPL]],REDOSLIJED!B:B,0)),MAX(REDOSLIJED!A:A)+1)</f>
        <v>45</v>
      </c>
      <c r="S791" s="9">
        <f>SUM($M$2:M791)</f>
        <v>27.039652777777704</v>
      </c>
      <c r="T791" s="3">
        <f>PlanMasine[[#This Row],[Datum SAS]]-1</f>
        <v>45844</v>
      </c>
      <c r="U791">
        <f>WEEKDAY(PlanMasine[[#This Row],[ZAVRŠETAK MAŠINSKE]],2)</f>
        <v>7</v>
      </c>
      <c r="V791" s="3">
        <f>IF(WEEKDAY(PlanMasine[[#This Row],[Datum SAS]]-1,2)=7,PlanMasine[[#This Row],[Datum SAS]]-3,PlanMasine[[#This Row],[Datum SAS]]-1)</f>
        <v>45842</v>
      </c>
      <c r="W791">
        <f>WEEKNUM(PlanMasine[[#This Row],[Column2]],1)</f>
        <v>27</v>
      </c>
    </row>
    <row r="792" spans="1:23" x14ac:dyDescent="0.35">
      <c r="A792">
        <v>1021072</v>
      </c>
      <c r="B792">
        <v>1</v>
      </c>
      <c r="C792">
        <v>1021076</v>
      </c>
      <c r="D792" t="s">
        <v>1980</v>
      </c>
      <c r="E792">
        <v>90</v>
      </c>
      <c r="F792">
        <v>3</v>
      </c>
      <c r="G792">
        <v>0</v>
      </c>
      <c r="H792">
        <v>0</v>
      </c>
      <c r="I792" t="s">
        <v>24</v>
      </c>
      <c r="J792" t="s">
        <v>597</v>
      </c>
      <c r="K792" t="s">
        <v>2040</v>
      </c>
      <c r="L792" s="3">
        <v>45869</v>
      </c>
      <c r="M792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2.0833333333333332E-2</v>
      </c>
      <c r="N792" s="3">
        <v>45845</v>
      </c>
      <c r="O792" s="5">
        <f>IFERROR((PlanMasine[[#This Row],[Norma]]/PlanMasine[[#This Row],[Q]])*(PlanMasine[[#This Row],[Q]]/SUMIF(C:C,PlanMasine[[#This Row],[RN]],B:B)*PlanMasine[[#This Row],[KPLQ]]),0)</f>
        <v>30</v>
      </c>
      <c r="P792">
        <v>150158</v>
      </c>
      <c r="Q792">
        <f>COUNTIF(PROMJENA!A:A,PlanMasine[[#This Row],[KPL]]&amp;"-"&amp;PlanMasine[[#This Row],[RN]])</f>
        <v>0</v>
      </c>
      <c r="R792">
        <f>IFERROR(INDEX(REDOSLIJED!A:A,MATCH(PlanMasine[[#This Row],[KPL]],REDOSLIJED!B:B,0)),MAX(REDOSLIJED!A:A)+1)</f>
        <v>45</v>
      </c>
      <c r="S792" s="9">
        <f>SUM($M$2:M792)</f>
        <v>27.060486111111036</v>
      </c>
      <c r="T792" s="3">
        <f>PlanMasine[[#This Row],[Datum SAS]]-1</f>
        <v>45844</v>
      </c>
      <c r="U792">
        <f>WEEKDAY(PlanMasine[[#This Row],[ZAVRŠETAK MAŠINSKE]],2)</f>
        <v>7</v>
      </c>
      <c r="V792" s="3">
        <f>IF(WEEKDAY(PlanMasine[[#This Row],[Datum SAS]]-1,2)=7,PlanMasine[[#This Row],[Datum SAS]]-3,PlanMasine[[#This Row],[Datum SAS]]-1)</f>
        <v>45842</v>
      </c>
      <c r="W792">
        <f>WEEKNUM(PlanMasine[[#This Row],[Column2]],1)</f>
        <v>27</v>
      </c>
    </row>
    <row r="793" spans="1:23" x14ac:dyDescent="0.35">
      <c r="A793">
        <v>1021072</v>
      </c>
      <c r="B793">
        <v>1</v>
      </c>
      <c r="C793">
        <v>1021077</v>
      </c>
      <c r="D793" t="s">
        <v>1982</v>
      </c>
      <c r="E793">
        <v>90</v>
      </c>
      <c r="F793">
        <v>3</v>
      </c>
      <c r="G793">
        <v>0</v>
      </c>
      <c r="H793">
        <v>0</v>
      </c>
      <c r="I793" t="s">
        <v>24</v>
      </c>
      <c r="J793" t="s">
        <v>597</v>
      </c>
      <c r="K793" t="s">
        <v>2040</v>
      </c>
      <c r="L793" s="3">
        <v>45869</v>
      </c>
      <c r="M793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2.0833333333333332E-2</v>
      </c>
      <c r="N793" s="3">
        <v>45845</v>
      </c>
      <c r="O793" s="5">
        <f>IFERROR((PlanMasine[[#This Row],[Norma]]/PlanMasine[[#This Row],[Q]])*(PlanMasine[[#This Row],[Q]]/SUMIF(C:C,PlanMasine[[#This Row],[RN]],B:B)*PlanMasine[[#This Row],[KPLQ]]),0)</f>
        <v>30</v>
      </c>
      <c r="P793">
        <v>150159</v>
      </c>
      <c r="Q793">
        <f>COUNTIF(PROMJENA!A:A,PlanMasine[[#This Row],[KPL]]&amp;"-"&amp;PlanMasine[[#This Row],[RN]])</f>
        <v>0</v>
      </c>
      <c r="R793">
        <f>IFERROR(INDEX(REDOSLIJED!A:A,MATCH(PlanMasine[[#This Row],[KPL]],REDOSLIJED!B:B,0)),MAX(REDOSLIJED!A:A)+1)</f>
        <v>45</v>
      </c>
      <c r="S793" s="9">
        <f>SUM($M$2:M793)</f>
        <v>27.081319444444368</v>
      </c>
      <c r="T793" s="3">
        <f>PlanMasine[[#This Row],[Datum SAS]]-1</f>
        <v>45844</v>
      </c>
      <c r="U793">
        <f>WEEKDAY(PlanMasine[[#This Row],[ZAVRŠETAK MAŠINSKE]],2)</f>
        <v>7</v>
      </c>
      <c r="V793" s="3">
        <f>IF(WEEKDAY(PlanMasine[[#This Row],[Datum SAS]]-1,2)=7,PlanMasine[[#This Row],[Datum SAS]]-3,PlanMasine[[#This Row],[Datum SAS]]-1)</f>
        <v>45842</v>
      </c>
      <c r="W793">
        <f>WEEKNUM(PlanMasine[[#This Row],[Column2]],1)</f>
        <v>27</v>
      </c>
    </row>
    <row r="794" spans="1:23" x14ac:dyDescent="0.35">
      <c r="A794">
        <v>1020824</v>
      </c>
      <c r="B794">
        <v>1</v>
      </c>
      <c r="C794">
        <v>1020850</v>
      </c>
      <c r="D794" t="s">
        <v>1761</v>
      </c>
      <c r="E794">
        <v>24</v>
      </c>
      <c r="F794">
        <v>3</v>
      </c>
      <c r="G794">
        <v>0</v>
      </c>
      <c r="H794">
        <v>0</v>
      </c>
      <c r="I794" t="s">
        <v>24</v>
      </c>
      <c r="J794" t="s">
        <v>597</v>
      </c>
      <c r="K794" t="s">
        <v>2041</v>
      </c>
      <c r="L794" s="3">
        <v>45869</v>
      </c>
      <c r="M794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5.5555555555555558E-3</v>
      </c>
      <c r="N794" s="3">
        <v>45846</v>
      </c>
      <c r="O794" s="5">
        <f>IFERROR((PlanMasine[[#This Row],[Norma]]/PlanMasine[[#This Row],[Q]])*(PlanMasine[[#This Row],[Q]]/SUMIF(C:C,PlanMasine[[#This Row],[RN]],B:B)*PlanMasine[[#This Row],[KPLQ]]),0)</f>
        <v>8</v>
      </c>
      <c r="P794">
        <v>183701</v>
      </c>
      <c r="Q794">
        <f>COUNTIF(PROMJENA!A:A,PlanMasine[[#This Row],[KPL]]&amp;"-"&amp;PlanMasine[[#This Row],[RN]])</f>
        <v>0</v>
      </c>
      <c r="R794">
        <f>IFERROR(INDEX(REDOSLIJED!A:A,MATCH(PlanMasine[[#This Row],[KPL]],REDOSLIJED!B:B,0)),MAX(REDOSLIJED!A:A)+1)</f>
        <v>45</v>
      </c>
      <c r="S794" s="9">
        <f>SUM($M$2:M794)</f>
        <v>27.086874999999925</v>
      </c>
      <c r="T794" s="3">
        <f>PlanMasine[[#This Row],[Datum SAS]]-1</f>
        <v>45845</v>
      </c>
      <c r="U794">
        <f>WEEKDAY(PlanMasine[[#This Row],[ZAVRŠETAK MAŠINSKE]],2)</f>
        <v>1</v>
      </c>
      <c r="V794" s="3">
        <f>IF(WEEKDAY(PlanMasine[[#This Row],[Datum SAS]]-1,2)=7,PlanMasine[[#This Row],[Datum SAS]]-3,PlanMasine[[#This Row],[Datum SAS]]-1)</f>
        <v>45845</v>
      </c>
      <c r="W794">
        <f>WEEKNUM(PlanMasine[[#This Row],[Column2]],1)</f>
        <v>28</v>
      </c>
    </row>
    <row r="795" spans="1:23" x14ac:dyDescent="0.35">
      <c r="A795">
        <v>1020824</v>
      </c>
      <c r="B795">
        <v>1</v>
      </c>
      <c r="C795">
        <v>1020833</v>
      </c>
      <c r="D795" t="s">
        <v>1757</v>
      </c>
      <c r="E795">
        <v>67.5</v>
      </c>
      <c r="F795">
        <v>3</v>
      </c>
      <c r="G795">
        <v>0</v>
      </c>
      <c r="H795">
        <v>0</v>
      </c>
      <c r="I795" t="s">
        <v>24</v>
      </c>
      <c r="J795" t="s">
        <v>597</v>
      </c>
      <c r="K795" t="s">
        <v>2041</v>
      </c>
      <c r="L795" s="3">
        <v>45869</v>
      </c>
      <c r="M795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1.5625E-2</v>
      </c>
      <c r="N795" s="3">
        <v>45846</v>
      </c>
      <c r="O795" s="5">
        <f>IFERROR((PlanMasine[[#This Row],[Norma]]/PlanMasine[[#This Row],[Q]])*(PlanMasine[[#This Row],[Q]]/SUMIF(C:C,PlanMasine[[#This Row],[RN]],B:B)*PlanMasine[[#This Row],[KPLQ]]),0)</f>
        <v>22.5</v>
      </c>
      <c r="P795">
        <v>183684</v>
      </c>
      <c r="Q795">
        <f>COUNTIF(PROMJENA!A:A,PlanMasine[[#This Row],[KPL]]&amp;"-"&amp;PlanMasine[[#This Row],[RN]])</f>
        <v>0</v>
      </c>
      <c r="R795">
        <f>IFERROR(INDEX(REDOSLIJED!A:A,MATCH(PlanMasine[[#This Row],[KPL]],REDOSLIJED!B:B,0)),MAX(REDOSLIJED!A:A)+1)</f>
        <v>45</v>
      </c>
      <c r="S795" s="9">
        <f>SUM($M$2:M795)</f>
        <v>27.102499999999925</v>
      </c>
      <c r="T795" s="3">
        <f>PlanMasine[[#This Row],[Datum SAS]]-1</f>
        <v>45845</v>
      </c>
      <c r="U795">
        <f>WEEKDAY(PlanMasine[[#This Row],[ZAVRŠETAK MAŠINSKE]],2)</f>
        <v>1</v>
      </c>
      <c r="V795" s="3">
        <f>IF(WEEKDAY(PlanMasine[[#This Row],[Datum SAS]]-1,2)=7,PlanMasine[[#This Row],[Datum SAS]]-3,PlanMasine[[#This Row],[Datum SAS]]-1)</f>
        <v>45845</v>
      </c>
      <c r="W795">
        <f>WEEKNUM(PlanMasine[[#This Row],[Column2]],1)</f>
        <v>28</v>
      </c>
    </row>
    <row r="796" spans="1:23" x14ac:dyDescent="0.35">
      <c r="A796">
        <v>1020824</v>
      </c>
      <c r="B796">
        <v>1</v>
      </c>
      <c r="C796">
        <v>1020827</v>
      </c>
      <c r="D796" t="s">
        <v>1758</v>
      </c>
      <c r="E796">
        <v>45</v>
      </c>
      <c r="F796">
        <v>3</v>
      </c>
      <c r="G796">
        <v>0</v>
      </c>
      <c r="H796">
        <v>0</v>
      </c>
      <c r="I796" t="s">
        <v>24</v>
      </c>
      <c r="J796" t="s">
        <v>597</v>
      </c>
      <c r="K796" t="s">
        <v>2041</v>
      </c>
      <c r="L796" s="3">
        <v>45869</v>
      </c>
      <c r="M796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1.0416666666666666E-2</v>
      </c>
      <c r="N796" s="3">
        <v>45846</v>
      </c>
      <c r="O796" s="5">
        <f>IFERROR((PlanMasine[[#This Row],[Norma]]/PlanMasine[[#This Row],[Q]])*(PlanMasine[[#This Row],[Q]]/SUMIF(C:C,PlanMasine[[#This Row],[RN]],B:B)*PlanMasine[[#This Row],[KPLQ]]),0)</f>
        <v>15</v>
      </c>
      <c r="P796">
        <v>183678</v>
      </c>
      <c r="Q796">
        <f>COUNTIF(PROMJENA!A:A,PlanMasine[[#This Row],[KPL]]&amp;"-"&amp;PlanMasine[[#This Row],[RN]])</f>
        <v>0</v>
      </c>
      <c r="R796">
        <f>IFERROR(INDEX(REDOSLIJED!A:A,MATCH(PlanMasine[[#This Row],[KPL]],REDOSLIJED!B:B,0)),MAX(REDOSLIJED!A:A)+1)</f>
        <v>45</v>
      </c>
      <c r="S796" s="9">
        <f>SUM($M$2:M796)</f>
        <v>27.112916666666592</v>
      </c>
      <c r="T796" s="3">
        <f>PlanMasine[[#This Row],[Datum SAS]]-1</f>
        <v>45845</v>
      </c>
      <c r="U796">
        <f>WEEKDAY(PlanMasine[[#This Row],[ZAVRŠETAK MAŠINSKE]],2)</f>
        <v>1</v>
      </c>
      <c r="V796" s="3">
        <f>IF(WEEKDAY(PlanMasine[[#This Row],[Datum SAS]]-1,2)=7,PlanMasine[[#This Row],[Datum SAS]]-3,PlanMasine[[#This Row],[Datum SAS]]-1)</f>
        <v>45845</v>
      </c>
      <c r="W796">
        <f>WEEKNUM(PlanMasine[[#This Row],[Column2]],1)</f>
        <v>28</v>
      </c>
    </row>
    <row r="797" spans="1:23" x14ac:dyDescent="0.35">
      <c r="A797">
        <v>1020824</v>
      </c>
      <c r="B797">
        <v>1</v>
      </c>
      <c r="C797">
        <v>1020834</v>
      </c>
      <c r="D797" t="s">
        <v>1759</v>
      </c>
      <c r="E797">
        <v>75</v>
      </c>
      <c r="F797">
        <v>3</v>
      </c>
      <c r="G797">
        <v>0</v>
      </c>
      <c r="H797">
        <v>0</v>
      </c>
      <c r="I797" t="s">
        <v>24</v>
      </c>
      <c r="J797" t="s">
        <v>597</v>
      </c>
      <c r="K797" t="s">
        <v>2041</v>
      </c>
      <c r="L797" s="3">
        <v>45869</v>
      </c>
      <c r="M797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1.7361111111111112E-2</v>
      </c>
      <c r="N797" s="3">
        <v>45846</v>
      </c>
      <c r="O797" s="5">
        <f>IFERROR((PlanMasine[[#This Row],[Norma]]/PlanMasine[[#This Row],[Q]])*(PlanMasine[[#This Row],[Q]]/SUMIF(C:C,PlanMasine[[#This Row],[RN]],B:B)*PlanMasine[[#This Row],[KPLQ]]),0)</f>
        <v>25</v>
      </c>
      <c r="P797">
        <v>183685</v>
      </c>
      <c r="Q797">
        <f>COUNTIF(PROMJENA!A:A,PlanMasine[[#This Row],[KPL]]&amp;"-"&amp;PlanMasine[[#This Row],[RN]])</f>
        <v>0</v>
      </c>
      <c r="R797">
        <f>IFERROR(INDEX(REDOSLIJED!A:A,MATCH(PlanMasine[[#This Row],[KPL]],REDOSLIJED!B:B,0)),MAX(REDOSLIJED!A:A)+1)</f>
        <v>45</v>
      </c>
      <c r="S797" s="9">
        <f>SUM($M$2:M797)</f>
        <v>27.130277777777703</v>
      </c>
      <c r="T797" s="3">
        <f>PlanMasine[[#This Row],[Datum SAS]]-1</f>
        <v>45845</v>
      </c>
      <c r="U797">
        <f>WEEKDAY(PlanMasine[[#This Row],[ZAVRŠETAK MAŠINSKE]],2)</f>
        <v>1</v>
      </c>
      <c r="V797" s="3">
        <f>IF(WEEKDAY(PlanMasine[[#This Row],[Datum SAS]]-1,2)=7,PlanMasine[[#This Row],[Datum SAS]]-3,PlanMasine[[#This Row],[Datum SAS]]-1)</f>
        <v>45845</v>
      </c>
      <c r="W797">
        <f>WEEKNUM(PlanMasine[[#This Row],[Column2]],1)</f>
        <v>28</v>
      </c>
    </row>
    <row r="798" spans="1:23" x14ac:dyDescent="0.35">
      <c r="A798">
        <v>1020824</v>
      </c>
      <c r="B798">
        <v>1</v>
      </c>
      <c r="C798">
        <v>1020847</v>
      </c>
      <c r="D798" t="s">
        <v>1839</v>
      </c>
      <c r="E798">
        <v>60</v>
      </c>
      <c r="F798">
        <v>6</v>
      </c>
      <c r="G798">
        <v>0</v>
      </c>
      <c r="H798">
        <v>0</v>
      </c>
      <c r="I798" t="s">
        <v>24</v>
      </c>
      <c r="J798" t="s">
        <v>597</v>
      </c>
      <c r="K798" t="s">
        <v>2041</v>
      </c>
      <c r="L798" s="3">
        <v>45869</v>
      </c>
      <c r="M798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1.3888888888888888E-2</v>
      </c>
      <c r="N798" s="3">
        <v>45846</v>
      </c>
      <c r="O798" s="5">
        <f>IFERROR((PlanMasine[[#This Row],[Norma]]/PlanMasine[[#This Row],[Q]])*(PlanMasine[[#This Row],[Q]]/SUMIF(C:C,PlanMasine[[#This Row],[RN]],B:B)*PlanMasine[[#This Row],[KPLQ]]),0)</f>
        <v>20</v>
      </c>
      <c r="P798">
        <v>183698</v>
      </c>
      <c r="Q798">
        <f>COUNTIF(PROMJENA!A:A,PlanMasine[[#This Row],[KPL]]&amp;"-"&amp;PlanMasine[[#This Row],[RN]])</f>
        <v>0</v>
      </c>
      <c r="R798">
        <f>IFERROR(INDEX(REDOSLIJED!A:A,MATCH(PlanMasine[[#This Row],[KPL]],REDOSLIJED!B:B,0)),MAX(REDOSLIJED!A:A)+1)</f>
        <v>45</v>
      </c>
      <c r="S798" s="9">
        <f>SUM($M$2:M798)</f>
        <v>27.144166666666592</v>
      </c>
      <c r="T798" s="3">
        <f>PlanMasine[[#This Row],[Datum SAS]]-1</f>
        <v>45845</v>
      </c>
      <c r="U798">
        <f>WEEKDAY(PlanMasine[[#This Row],[ZAVRŠETAK MAŠINSKE]],2)</f>
        <v>1</v>
      </c>
      <c r="V798" s="3">
        <f>IF(WEEKDAY(PlanMasine[[#This Row],[Datum SAS]]-1,2)=7,PlanMasine[[#This Row],[Datum SAS]]-3,PlanMasine[[#This Row],[Datum SAS]]-1)</f>
        <v>45845</v>
      </c>
      <c r="W798">
        <f>WEEKNUM(PlanMasine[[#This Row],[Column2]],1)</f>
        <v>28</v>
      </c>
    </row>
    <row r="799" spans="1:23" x14ac:dyDescent="0.35">
      <c r="A799">
        <v>1020824</v>
      </c>
      <c r="B799">
        <v>1</v>
      </c>
      <c r="C799">
        <v>1020848</v>
      </c>
      <c r="D799" t="s">
        <v>1760</v>
      </c>
      <c r="E799">
        <v>18</v>
      </c>
      <c r="F799">
        <v>3</v>
      </c>
      <c r="G799">
        <v>0</v>
      </c>
      <c r="H799">
        <v>0</v>
      </c>
      <c r="I799" t="s">
        <v>24</v>
      </c>
      <c r="J799" t="s">
        <v>597</v>
      </c>
      <c r="K799" t="s">
        <v>2041</v>
      </c>
      <c r="L799" s="3">
        <v>45869</v>
      </c>
      <c r="M799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4.1666666666666666E-3</v>
      </c>
      <c r="N799" s="3">
        <v>45846</v>
      </c>
      <c r="O799" s="5">
        <f>IFERROR((PlanMasine[[#This Row],[Norma]]/PlanMasine[[#This Row],[Q]])*(PlanMasine[[#This Row],[Q]]/SUMIF(C:C,PlanMasine[[#This Row],[RN]],B:B)*PlanMasine[[#This Row],[KPLQ]]),0)</f>
        <v>6</v>
      </c>
      <c r="P799">
        <v>183699</v>
      </c>
      <c r="Q799">
        <f>COUNTIF(PROMJENA!A:A,PlanMasine[[#This Row],[KPL]]&amp;"-"&amp;PlanMasine[[#This Row],[RN]])</f>
        <v>0</v>
      </c>
      <c r="R799">
        <f>IFERROR(INDEX(REDOSLIJED!A:A,MATCH(PlanMasine[[#This Row],[KPL]],REDOSLIJED!B:B,0)),MAX(REDOSLIJED!A:A)+1)</f>
        <v>45</v>
      </c>
      <c r="S799" s="9">
        <f>SUM($M$2:M799)</f>
        <v>27.148333333333259</v>
      </c>
      <c r="T799" s="3">
        <f>PlanMasine[[#This Row],[Datum SAS]]-1</f>
        <v>45845</v>
      </c>
      <c r="U799">
        <f>WEEKDAY(PlanMasine[[#This Row],[ZAVRŠETAK MAŠINSKE]],2)</f>
        <v>1</v>
      </c>
      <c r="V799" s="3">
        <f>IF(WEEKDAY(PlanMasine[[#This Row],[Datum SAS]]-1,2)=7,PlanMasine[[#This Row],[Datum SAS]]-3,PlanMasine[[#This Row],[Datum SAS]]-1)</f>
        <v>45845</v>
      </c>
      <c r="W799">
        <f>WEEKNUM(PlanMasine[[#This Row],[Column2]],1)</f>
        <v>28</v>
      </c>
    </row>
    <row r="800" spans="1:23" x14ac:dyDescent="0.35">
      <c r="A800">
        <v>1020825</v>
      </c>
      <c r="B800">
        <v>1</v>
      </c>
      <c r="C800">
        <v>1020827</v>
      </c>
      <c r="D800" t="s">
        <v>1758</v>
      </c>
      <c r="E800">
        <v>45</v>
      </c>
      <c r="F800">
        <v>3</v>
      </c>
      <c r="G800">
        <v>0</v>
      </c>
      <c r="H800">
        <v>0</v>
      </c>
      <c r="I800" t="s">
        <v>24</v>
      </c>
      <c r="J800" t="s">
        <v>597</v>
      </c>
      <c r="K800" t="s">
        <v>2041</v>
      </c>
      <c r="L800" s="3">
        <v>45869</v>
      </c>
      <c r="M800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1.0416666666666666E-2</v>
      </c>
      <c r="N800" s="3">
        <v>45846</v>
      </c>
      <c r="O800" s="5">
        <f>IFERROR((PlanMasine[[#This Row],[Norma]]/PlanMasine[[#This Row],[Q]])*(PlanMasine[[#This Row],[Q]]/SUMIF(C:C,PlanMasine[[#This Row],[RN]],B:B)*PlanMasine[[#This Row],[KPLQ]]),0)</f>
        <v>15</v>
      </c>
      <c r="P800">
        <v>183678</v>
      </c>
      <c r="Q800">
        <f>COUNTIF(PROMJENA!A:A,PlanMasine[[#This Row],[KPL]]&amp;"-"&amp;PlanMasine[[#This Row],[RN]])</f>
        <v>0</v>
      </c>
      <c r="R800">
        <f>IFERROR(INDEX(REDOSLIJED!A:A,MATCH(PlanMasine[[#This Row],[KPL]],REDOSLIJED!B:B,0)),MAX(REDOSLIJED!A:A)+1)</f>
        <v>45</v>
      </c>
      <c r="S800" s="9">
        <f>SUM($M$2:M800)</f>
        <v>27.158749999999927</v>
      </c>
      <c r="T800" s="3">
        <f>PlanMasine[[#This Row],[Datum SAS]]-1</f>
        <v>45845</v>
      </c>
      <c r="U800">
        <f>WEEKDAY(PlanMasine[[#This Row],[ZAVRŠETAK MAŠINSKE]],2)</f>
        <v>1</v>
      </c>
      <c r="V800" s="3">
        <f>IF(WEEKDAY(PlanMasine[[#This Row],[Datum SAS]]-1,2)=7,PlanMasine[[#This Row],[Datum SAS]]-3,PlanMasine[[#This Row],[Datum SAS]]-1)</f>
        <v>45845</v>
      </c>
      <c r="W800">
        <f>WEEKNUM(PlanMasine[[#This Row],[Column2]],1)</f>
        <v>28</v>
      </c>
    </row>
    <row r="801" spans="1:23" x14ac:dyDescent="0.35">
      <c r="A801">
        <v>1020825</v>
      </c>
      <c r="B801">
        <v>1</v>
      </c>
      <c r="C801">
        <v>1020850</v>
      </c>
      <c r="D801" t="s">
        <v>1761</v>
      </c>
      <c r="E801">
        <v>24</v>
      </c>
      <c r="F801">
        <v>3</v>
      </c>
      <c r="G801">
        <v>0</v>
      </c>
      <c r="H801">
        <v>0</v>
      </c>
      <c r="I801" t="s">
        <v>24</v>
      </c>
      <c r="J801" t="s">
        <v>597</v>
      </c>
      <c r="K801" t="s">
        <v>2041</v>
      </c>
      <c r="L801" s="3">
        <v>45869</v>
      </c>
      <c r="M801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5.5555555555555558E-3</v>
      </c>
      <c r="N801" s="3">
        <v>45846</v>
      </c>
      <c r="O801" s="5">
        <f>IFERROR((PlanMasine[[#This Row],[Norma]]/PlanMasine[[#This Row],[Q]])*(PlanMasine[[#This Row],[Q]]/SUMIF(C:C,PlanMasine[[#This Row],[RN]],B:B)*PlanMasine[[#This Row],[KPLQ]]),0)</f>
        <v>8</v>
      </c>
      <c r="P801">
        <v>183701</v>
      </c>
      <c r="Q801">
        <f>COUNTIF(PROMJENA!A:A,PlanMasine[[#This Row],[KPL]]&amp;"-"&amp;PlanMasine[[#This Row],[RN]])</f>
        <v>0</v>
      </c>
      <c r="R801">
        <f>IFERROR(INDEX(REDOSLIJED!A:A,MATCH(PlanMasine[[#This Row],[KPL]],REDOSLIJED!B:B,0)),MAX(REDOSLIJED!A:A)+1)</f>
        <v>45</v>
      </c>
      <c r="S801" s="9">
        <f>SUM($M$2:M801)</f>
        <v>27.164305555555483</v>
      </c>
      <c r="T801" s="3">
        <f>PlanMasine[[#This Row],[Datum SAS]]-1</f>
        <v>45845</v>
      </c>
      <c r="U801">
        <f>WEEKDAY(PlanMasine[[#This Row],[ZAVRŠETAK MAŠINSKE]],2)</f>
        <v>1</v>
      </c>
      <c r="V801" s="3">
        <f>IF(WEEKDAY(PlanMasine[[#This Row],[Datum SAS]]-1,2)=7,PlanMasine[[#This Row],[Datum SAS]]-3,PlanMasine[[#This Row],[Datum SAS]]-1)</f>
        <v>45845</v>
      </c>
      <c r="W801">
        <f>WEEKNUM(PlanMasine[[#This Row],[Column2]],1)</f>
        <v>28</v>
      </c>
    </row>
    <row r="802" spans="1:23" x14ac:dyDescent="0.35">
      <c r="A802">
        <v>1020825</v>
      </c>
      <c r="B802">
        <v>1</v>
      </c>
      <c r="C802">
        <v>1020848</v>
      </c>
      <c r="D802" t="s">
        <v>1760</v>
      </c>
      <c r="E802">
        <v>18</v>
      </c>
      <c r="F802">
        <v>3</v>
      </c>
      <c r="G802">
        <v>0</v>
      </c>
      <c r="H802">
        <v>0</v>
      </c>
      <c r="I802" t="s">
        <v>24</v>
      </c>
      <c r="J802" t="s">
        <v>597</v>
      </c>
      <c r="K802" t="s">
        <v>2041</v>
      </c>
      <c r="L802" s="3">
        <v>45869</v>
      </c>
      <c r="M802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4.1666666666666666E-3</v>
      </c>
      <c r="N802" s="3">
        <v>45846</v>
      </c>
      <c r="O802" s="5">
        <f>IFERROR((PlanMasine[[#This Row],[Norma]]/PlanMasine[[#This Row],[Q]])*(PlanMasine[[#This Row],[Q]]/SUMIF(C:C,PlanMasine[[#This Row],[RN]],B:B)*PlanMasine[[#This Row],[KPLQ]]),0)</f>
        <v>6</v>
      </c>
      <c r="P802">
        <v>183699</v>
      </c>
      <c r="Q802">
        <f>COUNTIF(PROMJENA!A:A,PlanMasine[[#This Row],[KPL]]&amp;"-"&amp;PlanMasine[[#This Row],[RN]])</f>
        <v>0</v>
      </c>
      <c r="R802">
        <f>IFERROR(INDEX(REDOSLIJED!A:A,MATCH(PlanMasine[[#This Row],[KPL]],REDOSLIJED!B:B,0)),MAX(REDOSLIJED!A:A)+1)</f>
        <v>45</v>
      </c>
      <c r="S802" s="9">
        <f>SUM($M$2:M802)</f>
        <v>27.16847222222215</v>
      </c>
      <c r="T802" s="3">
        <f>PlanMasine[[#This Row],[Datum SAS]]-1</f>
        <v>45845</v>
      </c>
      <c r="U802">
        <f>WEEKDAY(PlanMasine[[#This Row],[ZAVRŠETAK MAŠINSKE]],2)</f>
        <v>1</v>
      </c>
      <c r="V802" s="3">
        <f>IF(WEEKDAY(PlanMasine[[#This Row],[Datum SAS]]-1,2)=7,PlanMasine[[#This Row],[Datum SAS]]-3,PlanMasine[[#This Row],[Datum SAS]]-1)</f>
        <v>45845</v>
      </c>
      <c r="W802">
        <f>WEEKNUM(PlanMasine[[#This Row],[Column2]],1)</f>
        <v>28</v>
      </c>
    </row>
    <row r="803" spans="1:23" x14ac:dyDescent="0.35">
      <c r="A803">
        <v>1020825</v>
      </c>
      <c r="B803">
        <v>1</v>
      </c>
      <c r="C803">
        <v>1020847</v>
      </c>
      <c r="D803" t="s">
        <v>1839</v>
      </c>
      <c r="E803">
        <v>60</v>
      </c>
      <c r="F803">
        <v>6</v>
      </c>
      <c r="G803">
        <v>0</v>
      </c>
      <c r="H803">
        <v>0</v>
      </c>
      <c r="I803" t="s">
        <v>24</v>
      </c>
      <c r="J803" t="s">
        <v>597</v>
      </c>
      <c r="K803" t="s">
        <v>2041</v>
      </c>
      <c r="L803" s="3">
        <v>45869</v>
      </c>
      <c r="M803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1.3888888888888888E-2</v>
      </c>
      <c r="N803" s="3">
        <v>45846</v>
      </c>
      <c r="O803" s="5">
        <f>IFERROR((PlanMasine[[#This Row],[Norma]]/PlanMasine[[#This Row],[Q]])*(PlanMasine[[#This Row],[Q]]/SUMIF(C:C,PlanMasine[[#This Row],[RN]],B:B)*PlanMasine[[#This Row],[KPLQ]]),0)</f>
        <v>20</v>
      </c>
      <c r="P803">
        <v>183698</v>
      </c>
      <c r="Q803">
        <f>COUNTIF(PROMJENA!A:A,PlanMasine[[#This Row],[KPL]]&amp;"-"&amp;PlanMasine[[#This Row],[RN]])</f>
        <v>0</v>
      </c>
      <c r="R803">
        <f>IFERROR(INDEX(REDOSLIJED!A:A,MATCH(PlanMasine[[#This Row],[KPL]],REDOSLIJED!B:B,0)),MAX(REDOSLIJED!A:A)+1)</f>
        <v>45</v>
      </c>
      <c r="S803" s="9">
        <f>SUM($M$2:M803)</f>
        <v>27.182361111111039</v>
      </c>
      <c r="T803" s="3">
        <f>PlanMasine[[#This Row],[Datum SAS]]-1</f>
        <v>45845</v>
      </c>
      <c r="U803">
        <f>WEEKDAY(PlanMasine[[#This Row],[ZAVRŠETAK MAŠINSKE]],2)</f>
        <v>1</v>
      </c>
      <c r="V803" s="3">
        <f>IF(WEEKDAY(PlanMasine[[#This Row],[Datum SAS]]-1,2)=7,PlanMasine[[#This Row],[Datum SAS]]-3,PlanMasine[[#This Row],[Datum SAS]]-1)</f>
        <v>45845</v>
      </c>
      <c r="W803">
        <f>WEEKNUM(PlanMasine[[#This Row],[Column2]],1)</f>
        <v>28</v>
      </c>
    </row>
    <row r="804" spans="1:23" x14ac:dyDescent="0.35">
      <c r="A804">
        <v>1020825</v>
      </c>
      <c r="B804">
        <v>1</v>
      </c>
      <c r="C804">
        <v>1020834</v>
      </c>
      <c r="D804" t="s">
        <v>1759</v>
      </c>
      <c r="E804">
        <v>75</v>
      </c>
      <c r="F804">
        <v>3</v>
      </c>
      <c r="G804">
        <v>0</v>
      </c>
      <c r="H804">
        <v>0</v>
      </c>
      <c r="I804" t="s">
        <v>24</v>
      </c>
      <c r="J804" t="s">
        <v>597</v>
      </c>
      <c r="K804" t="s">
        <v>2041</v>
      </c>
      <c r="L804" s="3">
        <v>45869</v>
      </c>
      <c r="M804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1.7361111111111112E-2</v>
      </c>
      <c r="N804" s="3">
        <v>45846</v>
      </c>
      <c r="O804" s="5">
        <f>IFERROR((PlanMasine[[#This Row],[Norma]]/PlanMasine[[#This Row],[Q]])*(PlanMasine[[#This Row],[Q]]/SUMIF(C:C,PlanMasine[[#This Row],[RN]],B:B)*PlanMasine[[#This Row],[KPLQ]]),0)</f>
        <v>25</v>
      </c>
      <c r="P804">
        <v>183685</v>
      </c>
      <c r="Q804">
        <f>COUNTIF(PROMJENA!A:A,PlanMasine[[#This Row],[KPL]]&amp;"-"&amp;PlanMasine[[#This Row],[RN]])</f>
        <v>0</v>
      </c>
      <c r="R804">
        <f>IFERROR(INDEX(REDOSLIJED!A:A,MATCH(PlanMasine[[#This Row],[KPL]],REDOSLIJED!B:B,0)),MAX(REDOSLIJED!A:A)+1)</f>
        <v>45</v>
      </c>
      <c r="S804" s="9">
        <f>SUM($M$2:M804)</f>
        <v>27.19972222222215</v>
      </c>
      <c r="T804" s="3">
        <f>PlanMasine[[#This Row],[Datum SAS]]-1</f>
        <v>45845</v>
      </c>
      <c r="U804">
        <f>WEEKDAY(PlanMasine[[#This Row],[ZAVRŠETAK MAŠINSKE]],2)</f>
        <v>1</v>
      </c>
      <c r="V804" s="3">
        <f>IF(WEEKDAY(PlanMasine[[#This Row],[Datum SAS]]-1,2)=7,PlanMasine[[#This Row],[Datum SAS]]-3,PlanMasine[[#This Row],[Datum SAS]]-1)</f>
        <v>45845</v>
      </c>
      <c r="W804">
        <f>WEEKNUM(PlanMasine[[#This Row],[Column2]],1)</f>
        <v>28</v>
      </c>
    </row>
    <row r="805" spans="1:23" x14ac:dyDescent="0.35">
      <c r="A805">
        <v>1020825</v>
      </c>
      <c r="B805">
        <v>1</v>
      </c>
      <c r="C805">
        <v>1020833</v>
      </c>
      <c r="D805" t="s">
        <v>1757</v>
      </c>
      <c r="E805">
        <v>67.5</v>
      </c>
      <c r="F805">
        <v>3</v>
      </c>
      <c r="G805">
        <v>0</v>
      </c>
      <c r="H805">
        <v>0</v>
      </c>
      <c r="I805" t="s">
        <v>24</v>
      </c>
      <c r="J805" t="s">
        <v>597</v>
      </c>
      <c r="K805" t="s">
        <v>2041</v>
      </c>
      <c r="L805" s="3">
        <v>45869</v>
      </c>
      <c r="M805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1.5625E-2</v>
      </c>
      <c r="N805" s="3">
        <v>45846</v>
      </c>
      <c r="O805" s="5">
        <f>IFERROR((PlanMasine[[#This Row],[Norma]]/PlanMasine[[#This Row],[Q]])*(PlanMasine[[#This Row],[Q]]/SUMIF(C:C,PlanMasine[[#This Row],[RN]],B:B)*PlanMasine[[#This Row],[KPLQ]]),0)</f>
        <v>22.5</v>
      </c>
      <c r="P805">
        <v>183684</v>
      </c>
      <c r="Q805">
        <f>COUNTIF(PROMJENA!A:A,PlanMasine[[#This Row],[KPL]]&amp;"-"&amp;PlanMasine[[#This Row],[RN]])</f>
        <v>0</v>
      </c>
      <c r="R805">
        <f>IFERROR(INDEX(REDOSLIJED!A:A,MATCH(PlanMasine[[#This Row],[KPL]],REDOSLIJED!B:B,0)),MAX(REDOSLIJED!A:A)+1)</f>
        <v>45</v>
      </c>
      <c r="S805" s="9">
        <f>SUM($M$2:M805)</f>
        <v>27.21534722222215</v>
      </c>
      <c r="T805" s="3">
        <f>PlanMasine[[#This Row],[Datum SAS]]-1</f>
        <v>45845</v>
      </c>
      <c r="U805">
        <f>WEEKDAY(PlanMasine[[#This Row],[ZAVRŠETAK MAŠINSKE]],2)</f>
        <v>1</v>
      </c>
      <c r="V805" s="3">
        <f>IF(WEEKDAY(PlanMasine[[#This Row],[Datum SAS]]-1,2)=7,PlanMasine[[#This Row],[Datum SAS]]-3,PlanMasine[[#This Row],[Datum SAS]]-1)</f>
        <v>45845</v>
      </c>
      <c r="W805">
        <f>WEEKNUM(PlanMasine[[#This Row],[Column2]],1)</f>
        <v>28</v>
      </c>
    </row>
    <row r="806" spans="1:23" x14ac:dyDescent="0.35">
      <c r="A806">
        <v>1020826</v>
      </c>
      <c r="B806">
        <v>1</v>
      </c>
      <c r="C806">
        <v>1020850</v>
      </c>
      <c r="D806" t="s">
        <v>1761</v>
      </c>
      <c r="E806">
        <v>24</v>
      </c>
      <c r="F806">
        <v>3</v>
      </c>
      <c r="G806">
        <v>0</v>
      </c>
      <c r="H806">
        <v>0</v>
      </c>
      <c r="I806" t="s">
        <v>24</v>
      </c>
      <c r="J806" t="s">
        <v>597</v>
      </c>
      <c r="K806" t="s">
        <v>2041</v>
      </c>
      <c r="L806" s="3">
        <v>45869</v>
      </c>
      <c r="M806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5.5555555555555558E-3</v>
      </c>
      <c r="N806" s="3">
        <v>45846</v>
      </c>
      <c r="O806" s="5">
        <f>IFERROR((PlanMasine[[#This Row],[Norma]]/PlanMasine[[#This Row],[Q]])*(PlanMasine[[#This Row],[Q]]/SUMIF(C:C,PlanMasine[[#This Row],[RN]],B:B)*PlanMasine[[#This Row],[KPLQ]]),0)</f>
        <v>8</v>
      </c>
      <c r="P806">
        <v>183701</v>
      </c>
      <c r="Q806">
        <f>COUNTIF(PROMJENA!A:A,PlanMasine[[#This Row],[KPL]]&amp;"-"&amp;PlanMasine[[#This Row],[RN]])</f>
        <v>0</v>
      </c>
      <c r="R806">
        <f>IFERROR(INDEX(REDOSLIJED!A:A,MATCH(PlanMasine[[#This Row],[KPL]],REDOSLIJED!B:B,0)),MAX(REDOSLIJED!A:A)+1)</f>
        <v>45</v>
      </c>
      <c r="S806" s="9">
        <f>SUM($M$2:M806)</f>
        <v>27.220902777777706</v>
      </c>
      <c r="T806" s="3">
        <f>PlanMasine[[#This Row],[Datum SAS]]-1</f>
        <v>45845</v>
      </c>
      <c r="U806">
        <f>WEEKDAY(PlanMasine[[#This Row],[ZAVRŠETAK MAŠINSKE]],2)</f>
        <v>1</v>
      </c>
      <c r="V806" s="3">
        <f>IF(WEEKDAY(PlanMasine[[#This Row],[Datum SAS]]-1,2)=7,PlanMasine[[#This Row],[Datum SAS]]-3,PlanMasine[[#This Row],[Datum SAS]]-1)</f>
        <v>45845</v>
      </c>
      <c r="W806">
        <f>WEEKNUM(PlanMasine[[#This Row],[Column2]],1)</f>
        <v>28</v>
      </c>
    </row>
    <row r="807" spans="1:23" x14ac:dyDescent="0.35">
      <c r="A807">
        <v>1020826</v>
      </c>
      <c r="B807">
        <v>1</v>
      </c>
      <c r="C807">
        <v>1020848</v>
      </c>
      <c r="D807" t="s">
        <v>1760</v>
      </c>
      <c r="E807">
        <v>18</v>
      </c>
      <c r="F807">
        <v>3</v>
      </c>
      <c r="G807">
        <v>0</v>
      </c>
      <c r="H807">
        <v>0</v>
      </c>
      <c r="I807" t="s">
        <v>24</v>
      </c>
      <c r="J807" t="s">
        <v>597</v>
      </c>
      <c r="K807" t="s">
        <v>2041</v>
      </c>
      <c r="L807" s="3">
        <v>45869</v>
      </c>
      <c r="M807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4.1666666666666666E-3</v>
      </c>
      <c r="N807" s="3">
        <v>45846</v>
      </c>
      <c r="O807" s="5">
        <f>IFERROR((PlanMasine[[#This Row],[Norma]]/PlanMasine[[#This Row],[Q]])*(PlanMasine[[#This Row],[Q]]/SUMIF(C:C,PlanMasine[[#This Row],[RN]],B:B)*PlanMasine[[#This Row],[KPLQ]]),0)</f>
        <v>6</v>
      </c>
      <c r="P807">
        <v>183699</v>
      </c>
      <c r="Q807">
        <f>COUNTIF(PROMJENA!A:A,PlanMasine[[#This Row],[KPL]]&amp;"-"&amp;PlanMasine[[#This Row],[RN]])</f>
        <v>0</v>
      </c>
      <c r="R807">
        <f>IFERROR(INDEX(REDOSLIJED!A:A,MATCH(PlanMasine[[#This Row],[KPL]],REDOSLIJED!B:B,0)),MAX(REDOSLIJED!A:A)+1)</f>
        <v>45</v>
      </c>
      <c r="S807" s="9">
        <f>SUM($M$2:M807)</f>
        <v>27.225069444444372</v>
      </c>
      <c r="T807" s="3">
        <f>PlanMasine[[#This Row],[Datum SAS]]-1</f>
        <v>45845</v>
      </c>
      <c r="U807">
        <f>WEEKDAY(PlanMasine[[#This Row],[ZAVRŠETAK MAŠINSKE]],2)</f>
        <v>1</v>
      </c>
      <c r="V807" s="3">
        <f>IF(WEEKDAY(PlanMasine[[#This Row],[Datum SAS]]-1,2)=7,PlanMasine[[#This Row],[Datum SAS]]-3,PlanMasine[[#This Row],[Datum SAS]]-1)</f>
        <v>45845</v>
      </c>
      <c r="W807">
        <f>WEEKNUM(PlanMasine[[#This Row],[Column2]],1)</f>
        <v>28</v>
      </c>
    </row>
    <row r="808" spans="1:23" x14ac:dyDescent="0.35">
      <c r="A808">
        <v>1020826</v>
      </c>
      <c r="B808">
        <v>1</v>
      </c>
      <c r="C808">
        <v>1020827</v>
      </c>
      <c r="D808" t="s">
        <v>1758</v>
      </c>
      <c r="E808">
        <v>45</v>
      </c>
      <c r="F808">
        <v>3</v>
      </c>
      <c r="G808">
        <v>0</v>
      </c>
      <c r="H808">
        <v>0</v>
      </c>
      <c r="I808" t="s">
        <v>24</v>
      </c>
      <c r="J808" t="s">
        <v>597</v>
      </c>
      <c r="K808" t="s">
        <v>2041</v>
      </c>
      <c r="L808" s="3">
        <v>45869</v>
      </c>
      <c r="M808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1.0416666666666666E-2</v>
      </c>
      <c r="N808" s="3">
        <v>45846</v>
      </c>
      <c r="O808" s="5">
        <f>IFERROR((PlanMasine[[#This Row],[Norma]]/PlanMasine[[#This Row],[Q]])*(PlanMasine[[#This Row],[Q]]/SUMIF(C:C,PlanMasine[[#This Row],[RN]],B:B)*PlanMasine[[#This Row],[KPLQ]]),0)</f>
        <v>15</v>
      </c>
      <c r="P808">
        <v>183678</v>
      </c>
      <c r="Q808">
        <f>COUNTIF(PROMJENA!A:A,PlanMasine[[#This Row],[KPL]]&amp;"-"&amp;PlanMasine[[#This Row],[RN]])</f>
        <v>0</v>
      </c>
      <c r="R808">
        <f>IFERROR(INDEX(REDOSLIJED!A:A,MATCH(PlanMasine[[#This Row],[KPL]],REDOSLIJED!B:B,0)),MAX(REDOSLIJED!A:A)+1)</f>
        <v>45</v>
      </c>
      <c r="S808" s="9">
        <f>SUM($M$2:M808)</f>
        <v>27.23548611111104</v>
      </c>
      <c r="T808" s="3">
        <f>PlanMasine[[#This Row],[Datum SAS]]-1</f>
        <v>45845</v>
      </c>
      <c r="U808">
        <f>WEEKDAY(PlanMasine[[#This Row],[ZAVRŠETAK MAŠINSKE]],2)</f>
        <v>1</v>
      </c>
      <c r="V808" s="3">
        <f>IF(WEEKDAY(PlanMasine[[#This Row],[Datum SAS]]-1,2)=7,PlanMasine[[#This Row],[Datum SAS]]-3,PlanMasine[[#This Row],[Datum SAS]]-1)</f>
        <v>45845</v>
      </c>
      <c r="W808">
        <f>WEEKNUM(PlanMasine[[#This Row],[Column2]],1)</f>
        <v>28</v>
      </c>
    </row>
    <row r="809" spans="1:23" x14ac:dyDescent="0.35">
      <c r="A809">
        <v>1020826</v>
      </c>
      <c r="B809">
        <v>1</v>
      </c>
      <c r="C809">
        <v>1020833</v>
      </c>
      <c r="D809" t="s">
        <v>1757</v>
      </c>
      <c r="E809">
        <v>67.5</v>
      </c>
      <c r="F809">
        <v>3</v>
      </c>
      <c r="G809">
        <v>0</v>
      </c>
      <c r="H809">
        <v>0</v>
      </c>
      <c r="I809" t="s">
        <v>24</v>
      </c>
      <c r="J809" t="s">
        <v>597</v>
      </c>
      <c r="K809" t="s">
        <v>2041</v>
      </c>
      <c r="L809" s="3">
        <v>45869</v>
      </c>
      <c r="M809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1.5625E-2</v>
      </c>
      <c r="N809" s="3">
        <v>45846</v>
      </c>
      <c r="O809" s="5">
        <f>IFERROR((PlanMasine[[#This Row],[Norma]]/PlanMasine[[#This Row],[Q]])*(PlanMasine[[#This Row],[Q]]/SUMIF(C:C,PlanMasine[[#This Row],[RN]],B:B)*PlanMasine[[#This Row],[KPLQ]]),0)</f>
        <v>22.5</v>
      </c>
      <c r="P809">
        <v>183684</v>
      </c>
      <c r="Q809">
        <f>COUNTIF(PROMJENA!A:A,PlanMasine[[#This Row],[KPL]]&amp;"-"&amp;PlanMasine[[#This Row],[RN]])</f>
        <v>0</v>
      </c>
      <c r="R809">
        <f>IFERROR(INDEX(REDOSLIJED!A:A,MATCH(PlanMasine[[#This Row],[KPL]],REDOSLIJED!B:B,0)),MAX(REDOSLIJED!A:A)+1)</f>
        <v>45</v>
      </c>
      <c r="S809" s="9">
        <f>SUM($M$2:M809)</f>
        <v>27.25111111111104</v>
      </c>
      <c r="T809" s="3">
        <f>PlanMasine[[#This Row],[Datum SAS]]-1</f>
        <v>45845</v>
      </c>
      <c r="U809">
        <f>WEEKDAY(PlanMasine[[#This Row],[ZAVRŠETAK MAŠINSKE]],2)</f>
        <v>1</v>
      </c>
      <c r="V809" s="3">
        <f>IF(WEEKDAY(PlanMasine[[#This Row],[Datum SAS]]-1,2)=7,PlanMasine[[#This Row],[Datum SAS]]-3,PlanMasine[[#This Row],[Datum SAS]]-1)</f>
        <v>45845</v>
      </c>
      <c r="W809">
        <f>WEEKNUM(PlanMasine[[#This Row],[Column2]],1)</f>
        <v>28</v>
      </c>
    </row>
    <row r="810" spans="1:23" x14ac:dyDescent="0.35">
      <c r="A810">
        <v>1020826</v>
      </c>
      <c r="B810">
        <v>1</v>
      </c>
      <c r="C810">
        <v>1020834</v>
      </c>
      <c r="D810" t="s">
        <v>1759</v>
      </c>
      <c r="E810">
        <v>75</v>
      </c>
      <c r="F810">
        <v>3</v>
      </c>
      <c r="G810">
        <v>0</v>
      </c>
      <c r="H810">
        <v>0</v>
      </c>
      <c r="I810" t="s">
        <v>24</v>
      </c>
      <c r="J810" t="s">
        <v>597</v>
      </c>
      <c r="K810" t="s">
        <v>2041</v>
      </c>
      <c r="L810" s="3">
        <v>45869</v>
      </c>
      <c r="M810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1.7361111111111112E-2</v>
      </c>
      <c r="N810" s="3">
        <v>45846</v>
      </c>
      <c r="O810" s="5">
        <f>IFERROR((PlanMasine[[#This Row],[Norma]]/PlanMasine[[#This Row],[Q]])*(PlanMasine[[#This Row],[Q]]/SUMIF(C:C,PlanMasine[[#This Row],[RN]],B:B)*PlanMasine[[#This Row],[KPLQ]]),0)</f>
        <v>25</v>
      </c>
      <c r="P810">
        <v>183685</v>
      </c>
      <c r="Q810">
        <f>COUNTIF(PROMJENA!A:A,PlanMasine[[#This Row],[KPL]]&amp;"-"&amp;PlanMasine[[#This Row],[RN]])</f>
        <v>0</v>
      </c>
      <c r="R810">
        <f>IFERROR(INDEX(REDOSLIJED!A:A,MATCH(PlanMasine[[#This Row],[KPL]],REDOSLIJED!B:B,0)),MAX(REDOSLIJED!A:A)+1)</f>
        <v>45</v>
      </c>
      <c r="S810" s="9">
        <f>SUM($M$2:M810)</f>
        <v>27.268472222222151</v>
      </c>
      <c r="T810" s="3">
        <f>PlanMasine[[#This Row],[Datum SAS]]-1</f>
        <v>45845</v>
      </c>
      <c r="U810">
        <f>WEEKDAY(PlanMasine[[#This Row],[ZAVRŠETAK MAŠINSKE]],2)</f>
        <v>1</v>
      </c>
      <c r="V810" s="3">
        <f>IF(WEEKDAY(PlanMasine[[#This Row],[Datum SAS]]-1,2)=7,PlanMasine[[#This Row],[Datum SAS]]-3,PlanMasine[[#This Row],[Datum SAS]]-1)</f>
        <v>45845</v>
      </c>
      <c r="W810">
        <f>WEEKNUM(PlanMasine[[#This Row],[Column2]],1)</f>
        <v>28</v>
      </c>
    </row>
    <row r="811" spans="1:23" x14ac:dyDescent="0.35">
      <c r="A811">
        <v>1020826</v>
      </c>
      <c r="B811">
        <v>1</v>
      </c>
      <c r="C811">
        <v>1020847</v>
      </c>
      <c r="D811" t="s">
        <v>1839</v>
      </c>
      <c r="E811">
        <v>60</v>
      </c>
      <c r="F811">
        <v>6</v>
      </c>
      <c r="G811">
        <v>0</v>
      </c>
      <c r="H811">
        <v>0</v>
      </c>
      <c r="I811" t="s">
        <v>24</v>
      </c>
      <c r="J811" t="s">
        <v>597</v>
      </c>
      <c r="K811" t="s">
        <v>2041</v>
      </c>
      <c r="L811" s="3">
        <v>45869</v>
      </c>
      <c r="M811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1.3888888888888888E-2</v>
      </c>
      <c r="N811" s="3">
        <v>45846</v>
      </c>
      <c r="O811" s="5">
        <f>IFERROR((PlanMasine[[#This Row],[Norma]]/PlanMasine[[#This Row],[Q]])*(PlanMasine[[#This Row],[Q]]/SUMIF(C:C,PlanMasine[[#This Row],[RN]],B:B)*PlanMasine[[#This Row],[KPLQ]]),0)</f>
        <v>20</v>
      </c>
      <c r="P811">
        <v>183698</v>
      </c>
      <c r="Q811">
        <f>COUNTIF(PROMJENA!A:A,PlanMasine[[#This Row],[KPL]]&amp;"-"&amp;PlanMasine[[#This Row],[RN]])</f>
        <v>0</v>
      </c>
      <c r="R811">
        <f>IFERROR(INDEX(REDOSLIJED!A:A,MATCH(PlanMasine[[#This Row],[KPL]],REDOSLIJED!B:B,0)),MAX(REDOSLIJED!A:A)+1)</f>
        <v>45</v>
      </c>
      <c r="S811" s="9">
        <f>SUM($M$2:M811)</f>
        <v>27.28236111111104</v>
      </c>
      <c r="T811" s="3">
        <f>PlanMasine[[#This Row],[Datum SAS]]-1</f>
        <v>45845</v>
      </c>
      <c r="U811">
        <f>WEEKDAY(PlanMasine[[#This Row],[ZAVRŠETAK MAŠINSKE]],2)</f>
        <v>1</v>
      </c>
      <c r="V811" s="3">
        <f>IF(WEEKDAY(PlanMasine[[#This Row],[Datum SAS]]-1,2)=7,PlanMasine[[#This Row],[Datum SAS]]-3,PlanMasine[[#This Row],[Datum SAS]]-1)</f>
        <v>45845</v>
      </c>
      <c r="W811">
        <f>WEEKNUM(PlanMasine[[#This Row],[Column2]],1)</f>
        <v>28</v>
      </c>
    </row>
    <row r="812" spans="1:23" x14ac:dyDescent="0.35">
      <c r="A812">
        <v>1021009</v>
      </c>
      <c r="B812">
        <v>4</v>
      </c>
      <c r="C812">
        <v>1021014</v>
      </c>
      <c r="D812" t="s">
        <v>2042</v>
      </c>
      <c r="E812">
        <v>160</v>
      </c>
      <c r="F812">
        <v>4</v>
      </c>
      <c r="G812">
        <v>0</v>
      </c>
      <c r="H812">
        <v>0</v>
      </c>
      <c r="I812" t="s">
        <v>24</v>
      </c>
      <c r="J812" t="s">
        <v>597</v>
      </c>
      <c r="K812" t="s">
        <v>2043</v>
      </c>
      <c r="L812" s="3">
        <v>45869</v>
      </c>
      <c r="M812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0.1111111111111111</v>
      </c>
      <c r="N812" s="3">
        <v>45847</v>
      </c>
      <c r="O812" s="5">
        <f>IFERROR((PlanMasine[[#This Row],[Norma]]/PlanMasine[[#This Row],[Q]])*(PlanMasine[[#This Row],[Q]]/SUMIF(C:C,PlanMasine[[#This Row],[RN]],B:B)*PlanMasine[[#This Row],[KPLQ]]),0)</f>
        <v>160</v>
      </c>
      <c r="P812">
        <v>211269</v>
      </c>
      <c r="Q812">
        <f>COUNTIF(PROMJENA!A:A,PlanMasine[[#This Row],[KPL]]&amp;"-"&amp;PlanMasine[[#This Row],[RN]])</f>
        <v>0</v>
      </c>
      <c r="R812">
        <f>IFERROR(INDEX(REDOSLIJED!A:A,MATCH(PlanMasine[[#This Row],[KPL]],REDOSLIJED!B:B,0)),MAX(REDOSLIJED!A:A)+1)</f>
        <v>45</v>
      </c>
      <c r="S812" s="9">
        <f>SUM($M$2:M812)</f>
        <v>27.393472222222151</v>
      </c>
      <c r="T812" s="3">
        <f>PlanMasine[[#This Row],[Datum SAS]]-1</f>
        <v>45846</v>
      </c>
      <c r="U812">
        <f>WEEKDAY(PlanMasine[[#This Row],[ZAVRŠETAK MAŠINSKE]],2)</f>
        <v>2</v>
      </c>
      <c r="V812" s="3">
        <f>IF(WEEKDAY(PlanMasine[[#This Row],[Datum SAS]]-1,2)=7,PlanMasine[[#This Row],[Datum SAS]]-3,PlanMasine[[#This Row],[Datum SAS]]-1)</f>
        <v>45846</v>
      </c>
      <c r="W812">
        <f>WEEKNUM(PlanMasine[[#This Row],[Column2]],1)</f>
        <v>28</v>
      </c>
    </row>
    <row r="813" spans="1:23" x14ac:dyDescent="0.35">
      <c r="A813">
        <v>1021009</v>
      </c>
      <c r="B813">
        <v>4</v>
      </c>
      <c r="C813">
        <v>1021013</v>
      </c>
      <c r="D813" t="s">
        <v>2044</v>
      </c>
      <c r="E813">
        <v>100</v>
      </c>
      <c r="F813">
        <v>4</v>
      </c>
      <c r="G813">
        <v>0</v>
      </c>
      <c r="H813">
        <v>0</v>
      </c>
      <c r="I813" t="s">
        <v>24</v>
      </c>
      <c r="J813" t="s">
        <v>597</v>
      </c>
      <c r="K813" t="s">
        <v>2043</v>
      </c>
      <c r="L813" s="3">
        <v>45869</v>
      </c>
      <c r="M813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6.9444444444444448E-2</v>
      </c>
      <c r="N813" s="3">
        <v>45847</v>
      </c>
      <c r="O813" s="5">
        <f>IFERROR((PlanMasine[[#This Row],[Norma]]/PlanMasine[[#This Row],[Q]])*(PlanMasine[[#This Row],[Q]]/SUMIF(C:C,PlanMasine[[#This Row],[RN]],B:B)*PlanMasine[[#This Row],[KPLQ]]),0)</f>
        <v>100</v>
      </c>
      <c r="P813">
        <v>211268</v>
      </c>
      <c r="Q813">
        <f>COUNTIF(PROMJENA!A:A,PlanMasine[[#This Row],[KPL]]&amp;"-"&amp;PlanMasine[[#This Row],[RN]])</f>
        <v>0</v>
      </c>
      <c r="R813">
        <f>IFERROR(INDEX(REDOSLIJED!A:A,MATCH(PlanMasine[[#This Row],[KPL]],REDOSLIJED!B:B,0)),MAX(REDOSLIJED!A:A)+1)</f>
        <v>45</v>
      </c>
      <c r="S813" s="9">
        <f>SUM($M$2:M813)</f>
        <v>27.462916666666594</v>
      </c>
      <c r="T813" s="3">
        <f>PlanMasine[[#This Row],[Datum SAS]]-1</f>
        <v>45846</v>
      </c>
      <c r="U813">
        <f>WEEKDAY(PlanMasine[[#This Row],[ZAVRŠETAK MAŠINSKE]],2)</f>
        <v>2</v>
      </c>
      <c r="V813" s="3">
        <f>IF(WEEKDAY(PlanMasine[[#This Row],[Datum SAS]]-1,2)=7,PlanMasine[[#This Row],[Datum SAS]]-3,PlanMasine[[#This Row],[Datum SAS]]-1)</f>
        <v>45846</v>
      </c>
      <c r="W813">
        <f>WEEKNUM(PlanMasine[[#This Row],[Column2]],1)</f>
        <v>28</v>
      </c>
    </row>
    <row r="814" spans="1:23" x14ac:dyDescent="0.35">
      <c r="A814">
        <v>1025828</v>
      </c>
      <c r="B814">
        <v>1</v>
      </c>
      <c r="C814">
        <v>1025848</v>
      </c>
      <c r="D814" t="s">
        <v>2045</v>
      </c>
      <c r="E814">
        <v>15</v>
      </c>
      <c r="F814">
        <v>1</v>
      </c>
      <c r="G814">
        <v>0</v>
      </c>
      <c r="H814">
        <v>0</v>
      </c>
      <c r="I814" t="s">
        <v>24</v>
      </c>
      <c r="J814" t="s">
        <v>597</v>
      </c>
      <c r="K814" t="s">
        <v>2046</v>
      </c>
      <c r="L814" s="3">
        <v>45841</v>
      </c>
      <c r="M814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1.0416666666666666E-2</v>
      </c>
      <c r="N814" s="3">
        <v>45848</v>
      </c>
      <c r="O814" s="5">
        <f>IFERROR((PlanMasine[[#This Row],[Norma]]/PlanMasine[[#This Row],[Q]])*(PlanMasine[[#This Row],[Q]]/SUMIF(C:C,PlanMasine[[#This Row],[RN]],B:B)*PlanMasine[[#This Row],[KPLQ]]),0)</f>
        <v>15</v>
      </c>
      <c r="P814">
        <v>207815</v>
      </c>
      <c r="Q814">
        <f>COUNTIF(PROMJENA!A:A,PlanMasine[[#This Row],[KPL]]&amp;"-"&amp;PlanMasine[[#This Row],[RN]])</f>
        <v>0</v>
      </c>
      <c r="R814">
        <f>IFERROR(INDEX(REDOSLIJED!A:A,MATCH(PlanMasine[[#This Row],[KPL]],REDOSLIJED!B:B,0)),MAX(REDOSLIJED!A:A)+1)</f>
        <v>45</v>
      </c>
      <c r="S814" s="9">
        <f>SUM($M$2:M814)</f>
        <v>27.473333333333262</v>
      </c>
      <c r="T814" s="3">
        <f>PlanMasine[[#This Row],[Datum SAS]]-1</f>
        <v>45847</v>
      </c>
      <c r="U814">
        <f>WEEKDAY(PlanMasine[[#This Row],[ZAVRŠETAK MAŠINSKE]],2)</f>
        <v>3</v>
      </c>
      <c r="V814" s="3">
        <f>IF(WEEKDAY(PlanMasine[[#This Row],[Datum SAS]]-1,2)=7,PlanMasine[[#This Row],[Datum SAS]]-3,PlanMasine[[#This Row],[Datum SAS]]-1)</f>
        <v>45847</v>
      </c>
      <c r="W814">
        <f>WEEKNUM(PlanMasine[[#This Row],[Column2]],1)</f>
        <v>28</v>
      </c>
    </row>
    <row r="815" spans="1:23" x14ac:dyDescent="0.35">
      <c r="A815">
        <v>1025828</v>
      </c>
      <c r="B815">
        <v>1</v>
      </c>
      <c r="C815">
        <v>1025856</v>
      </c>
      <c r="D815" t="s">
        <v>2047</v>
      </c>
      <c r="E815">
        <v>15</v>
      </c>
      <c r="F815">
        <v>1</v>
      </c>
      <c r="G815">
        <v>0</v>
      </c>
      <c r="H815">
        <v>0</v>
      </c>
      <c r="I815" t="s">
        <v>24</v>
      </c>
      <c r="J815" t="s">
        <v>597</v>
      </c>
      <c r="K815" t="s">
        <v>2046</v>
      </c>
      <c r="L815" s="3">
        <v>45841</v>
      </c>
      <c r="M815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1.0416666666666666E-2</v>
      </c>
      <c r="N815" s="3">
        <v>45848</v>
      </c>
      <c r="O815" s="5">
        <f>IFERROR((PlanMasine[[#This Row],[Norma]]/PlanMasine[[#This Row],[Q]])*(PlanMasine[[#This Row],[Q]]/SUMIF(C:C,PlanMasine[[#This Row],[RN]],B:B)*PlanMasine[[#This Row],[KPLQ]]),0)</f>
        <v>15</v>
      </c>
      <c r="P815">
        <v>207823</v>
      </c>
      <c r="Q815">
        <f>COUNTIF(PROMJENA!A:A,PlanMasine[[#This Row],[KPL]]&amp;"-"&amp;PlanMasine[[#This Row],[RN]])</f>
        <v>0</v>
      </c>
      <c r="R815">
        <f>IFERROR(INDEX(REDOSLIJED!A:A,MATCH(PlanMasine[[#This Row],[KPL]],REDOSLIJED!B:B,0)),MAX(REDOSLIJED!A:A)+1)</f>
        <v>45</v>
      </c>
      <c r="S815" s="9">
        <f>SUM($M$2:M815)</f>
        <v>27.48374999999993</v>
      </c>
      <c r="T815" s="3">
        <f>PlanMasine[[#This Row],[Datum SAS]]-1</f>
        <v>45847</v>
      </c>
      <c r="U815">
        <f>WEEKDAY(PlanMasine[[#This Row],[ZAVRŠETAK MAŠINSKE]],2)</f>
        <v>3</v>
      </c>
      <c r="V815" s="3">
        <f>IF(WEEKDAY(PlanMasine[[#This Row],[Datum SAS]]-1,2)=7,PlanMasine[[#This Row],[Datum SAS]]-3,PlanMasine[[#This Row],[Datum SAS]]-1)</f>
        <v>45847</v>
      </c>
      <c r="W815">
        <f>WEEKNUM(PlanMasine[[#This Row],[Column2]],1)</f>
        <v>28</v>
      </c>
    </row>
    <row r="816" spans="1:23" x14ac:dyDescent="0.35">
      <c r="A816">
        <v>1025828</v>
      </c>
      <c r="B816">
        <v>1</v>
      </c>
      <c r="C816">
        <v>1025858</v>
      </c>
      <c r="D816" t="s">
        <v>2048</v>
      </c>
      <c r="E816">
        <v>15</v>
      </c>
      <c r="F816">
        <v>1</v>
      </c>
      <c r="G816">
        <v>0</v>
      </c>
      <c r="H816">
        <v>0</v>
      </c>
      <c r="I816" t="s">
        <v>24</v>
      </c>
      <c r="J816" t="s">
        <v>597</v>
      </c>
      <c r="K816" t="s">
        <v>2046</v>
      </c>
      <c r="L816" s="3">
        <v>45841</v>
      </c>
      <c r="M816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1.0416666666666666E-2</v>
      </c>
      <c r="N816" s="3">
        <v>45848</v>
      </c>
      <c r="O816" s="5">
        <f>IFERROR((PlanMasine[[#This Row],[Norma]]/PlanMasine[[#This Row],[Q]])*(PlanMasine[[#This Row],[Q]]/SUMIF(C:C,PlanMasine[[#This Row],[RN]],B:B)*PlanMasine[[#This Row],[KPLQ]]),0)</f>
        <v>15</v>
      </c>
      <c r="P816">
        <v>207825</v>
      </c>
      <c r="Q816">
        <f>COUNTIF(PROMJENA!A:A,PlanMasine[[#This Row],[KPL]]&amp;"-"&amp;PlanMasine[[#This Row],[RN]])</f>
        <v>0</v>
      </c>
      <c r="R816">
        <f>IFERROR(INDEX(REDOSLIJED!A:A,MATCH(PlanMasine[[#This Row],[KPL]],REDOSLIJED!B:B,0)),MAX(REDOSLIJED!A:A)+1)</f>
        <v>45</v>
      </c>
      <c r="S816" s="9">
        <f>SUM($M$2:M816)</f>
        <v>27.494166666666597</v>
      </c>
      <c r="T816" s="3">
        <f>PlanMasine[[#This Row],[Datum SAS]]-1</f>
        <v>45847</v>
      </c>
      <c r="U816">
        <f>WEEKDAY(PlanMasine[[#This Row],[ZAVRŠETAK MAŠINSKE]],2)</f>
        <v>3</v>
      </c>
      <c r="V816" s="3">
        <f>IF(WEEKDAY(PlanMasine[[#This Row],[Datum SAS]]-1,2)=7,PlanMasine[[#This Row],[Datum SAS]]-3,PlanMasine[[#This Row],[Datum SAS]]-1)</f>
        <v>45847</v>
      </c>
      <c r="W816">
        <f>WEEKNUM(PlanMasine[[#This Row],[Column2]],1)</f>
        <v>28</v>
      </c>
    </row>
    <row r="817" spans="1:23" x14ac:dyDescent="0.35">
      <c r="A817">
        <v>1025828</v>
      </c>
      <c r="B817">
        <v>1</v>
      </c>
      <c r="C817">
        <v>1025863</v>
      </c>
      <c r="D817" t="s">
        <v>2049</v>
      </c>
      <c r="E817">
        <v>20</v>
      </c>
      <c r="F817">
        <v>1</v>
      </c>
      <c r="G817">
        <v>0</v>
      </c>
      <c r="H817">
        <v>0</v>
      </c>
      <c r="I817" t="s">
        <v>24</v>
      </c>
      <c r="J817" t="s">
        <v>597</v>
      </c>
      <c r="K817" t="s">
        <v>2046</v>
      </c>
      <c r="L817" s="3">
        <v>45841</v>
      </c>
      <c r="M817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1.3888888888888888E-2</v>
      </c>
      <c r="N817" s="3">
        <v>45848</v>
      </c>
      <c r="O817" s="5">
        <f>IFERROR((PlanMasine[[#This Row],[Norma]]/PlanMasine[[#This Row],[Q]])*(PlanMasine[[#This Row],[Q]]/SUMIF(C:C,PlanMasine[[#This Row],[RN]],B:B)*PlanMasine[[#This Row],[KPLQ]]),0)</f>
        <v>20</v>
      </c>
      <c r="P817">
        <v>207830</v>
      </c>
      <c r="Q817">
        <f>COUNTIF(PROMJENA!A:A,PlanMasine[[#This Row],[KPL]]&amp;"-"&amp;PlanMasine[[#This Row],[RN]])</f>
        <v>0</v>
      </c>
      <c r="R817">
        <f>IFERROR(INDEX(REDOSLIJED!A:A,MATCH(PlanMasine[[#This Row],[KPL]],REDOSLIJED!B:B,0)),MAX(REDOSLIJED!A:A)+1)</f>
        <v>45</v>
      </c>
      <c r="S817" s="9">
        <f>SUM($M$2:M817)</f>
        <v>27.508055555555487</v>
      </c>
      <c r="T817" s="3">
        <f>PlanMasine[[#This Row],[Datum SAS]]-1</f>
        <v>45847</v>
      </c>
      <c r="U817">
        <f>WEEKDAY(PlanMasine[[#This Row],[ZAVRŠETAK MAŠINSKE]],2)</f>
        <v>3</v>
      </c>
      <c r="V817" s="3">
        <f>IF(WEEKDAY(PlanMasine[[#This Row],[Datum SAS]]-1,2)=7,PlanMasine[[#This Row],[Datum SAS]]-3,PlanMasine[[#This Row],[Datum SAS]]-1)</f>
        <v>45847</v>
      </c>
      <c r="W817">
        <f>WEEKNUM(PlanMasine[[#This Row],[Column2]],1)</f>
        <v>28</v>
      </c>
    </row>
    <row r="818" spans="1:23" x14ac:dyDescent="0.35">
      <c r="A818">
        <v>1025828</v>
      </c>
      <c r="B818">
        <v>1</v>
      </c>
      <c r="C818">
        <v>1025865</v>
      </c>
      <c r="D818" t="s">
        <v>2050</v>
      </c>
      <c r="E818">
        <v>10</v>
      </c>
      <c r="F818">
        <v>1</v>
      </c>
      <c r="G818">
        <v>0</v>
      </c>
      <c r="H818">
        <v>0</v>
      </c>
      <c r="I818" t="s">
        <v>24</v>
      </c>
      <c r="J818" t="s">
        <v>597</v>
      </c>
      <c r="K818" t="s">
        <v>2046</v>
      </c>
      <c r="L818" s="3">
        <v>45841</v>
      </c>
      <c r="M818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6.9444444444444441E-3</v>
      </c>
      <c r="N818" s="3">
        <v>45848</v>
      </c>
      <c r="O818" s="5">
        <f>IFERROR((PlanMasine[[#This Row],[Norma]]/PlanMasine[[#This Row],[Q]])*(PlanMasine[[#This Row],[Q]]/SUMIF(C:C,PlanMasine[[#This Row],[RN]],B:B)*PlanMasine[[#This Row],[KPLQ]]),0)</f>
        <v>10</v>
      </c>
      <c r="P818">
        <v>207832</v>
      </c>
      <c r="Q818">
        <f>COUNTIF(PROMJENA!A:A,PlanMasine[[#This Row],[KPL]]&amp;"-"&amp;PlanMasine[[#This Row],[RN]])</f>
        <v>0</v>
      </c>
      <c r="R818">
        <f>IFERROR(INDEX(REDOSLIJED!A:A,MATCH(PlanMasine[[#This Row],[KPL]],REDOSLIJED!B:B,0)),MAX(REDOSLIJED!A:A)+1)</f>
        <v>45</v>
      </c>
      <c r="S818" s="9">
        <f>SUM($M$2:M818)</f>
        <v>27.51499999999993</v>
      </c>
      <c r="T818" s="3">
        <f>PlanMasine[[#This Row],[Datum SAS]]-1</f>
        <v>45847</v>
      </c>
      <c r="U818">
        <f>WEEKDAY(PlanMasine[[#This Row],[ZAVRŠETAK MAŠINSKE]],2)</f>
        <v>3</v>
      </c>
      <c r="V818" s="3">
        <f>IF(WEEKDAY(PlanMasine[[#This Row],[Datum SAS]]-1,2)=7,PlanMasine[[#This Row],[Datum SAS]]-3,PlanMasine[[#This Row],[Datum SAS]]-1)</f>
        <v>45847</v>
      </c>
      <c r="W818">
        <f>WEEKNUM(PlanMasine[[#This Row],[Column2]],1)</f>
        <v>28</v>
      </c>
    </row>
    <row r="819" spans="1:23" x14ac:dyDescent="0.35">
      <c r="A819">
        <v>1025828</v>
      </c>
      <c r="B819">
        <v>1</v>
      </c>
      <c r="C819">
        <v>1025907</v>
      </c>
      <c r="D819" t="s">
        <v>2051</v>
      </c>
      <c r="E819">
        <v>20</v>
      </c>
      <c r="F819">
        <v>1</v>
      </c>
      <c r="G819">
        <v>0</v>
      </c>
      <c r="H819">
        <v>0</v>
      </c>
      <c r="I819" t="s">
        <v>24</v>
      </c>
      <c r="J819" t="s">
        <v>597</v>
      </c>
      <c r="K819" t="s">
        <v>2046</v>
      </c>
      <c r="L819" s="3">
        <v>45841</v>
      </c>
      <c r="M819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1.3888888888888888E-2</v>
      </c>
      <c r="N819" s="3">
        <v>45848</v>
      </c>
      <c r="O819" s="5">
        <f>IFERROR((PlanMasine[[#This Row],[Norma]]/PlanMasine[[#This Row],[Q]])*(PlanMasine[[#This Row],[Q]]/SUMIF(C:C,PlanMasine[[#This Row],[RN]],B:B)*PlanMasine[[#This Row],[KPLQ]]),0)</f>
        <v>20</v>
      </c>
      <c r="P819">
        <v>207874</v>
      </c>
      <c r="Q819">
        <f>COUNTIF(PROMJENA!A:A,PlanMasine[[#This Row],[KPL]]&amp;"-"&amp;PlanMasine[[#This Row],[RN]])</f>
        <v>0</v>
      </c>
      <c r="R819">
        <f>IFERROR(INDEX(REDOSLIJED!A:A,MATCH(PlanMasine[[#This Row],[KPL]],REDOSLIJED!B:B,0)),MAX(REDOSLIJED!A:A)+1)</f>
        <v>45</v>
      </c>
      <c r="S819" s="9">
        <f>SUM($M$2:M819)</f>
        <v>27.528888888888819</v>
      </c>
      <c r="T819" s="3">
        <f>PlanMasine[[#This Row],[Datum SAS]]-1</f>
        <v>45847</v>
      </c>
      <c r="U819">
        <f>WEEKDAY(PlanMasine[[#This Row],[ZAVRŠETAK MAŠINSKE]],2)</f>
        <v>3</v>
      </c>
      <c r="V819" s="3">
        <f>IF(WEEKDAY(PlanMasine[[#This Row],[Datum SAS]]-1,2)=7,PlanMasine[[#This Row],[Datum SAS]]-3,PlanMasine[[#This Row],[Datum SAS]]-1)</f>
        <v>45847</v>
      </c>
      <c r="W819">
        <f>WEEKNUM(PlanMasine[[#This Row],[Column2]],1)</f>
        <v>28</v>
      </c>
    </row>
    <row r="820" spans="1:23" x14ac:dyDescent="0.35">
      <c r="A820">
        <v>1025828</v>
      </c>
      <c r="B820">
        <v>1</v>
      </c>
      <c r="C820">
        <v>1025945</v>
      </c>
      <c r="D820" t="s">
        <v>2052</v>
      </c>
      <c r="E820">
        <v>15</v>
      </c>
      <c r="F820">
        <v>1</v>
      </c>
      <c r="G820">
        <v>0</v>
      </c>
      <c r="H820">
        <v>0</v>
      </c>
      <c r="I820" t="s">
        <v>24</v>
      </c>
      <c r="J820" t="s">
        <v>597</v>
      </c>
      <c r="K820" t="s">
        <v>2046</v>
      </c>
      <c r="L820" s="3">
        <v>45841</v>
      </c>
      <c r="M820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1.0416666666666666E-2</v>
      </c>
      <c r="N820" s="3">
        <v>45848</v>
      </c>
      <c r="O820" s="5">
        <f>IFERROR((PlanMasine[[#This Row],[Norma]]/PlanMasine[[#This Row],[Q]])*(PlanMasine[[#This Row],[Q]]/SUMIF(C:C,PlanMasine[[#This Row],[RN]],B:B)*PlanMasine[[#This Row],[KPLQ]]),0)</f>
        <v>15</v>
      </c>
      <c r="P820">
        <v>207910</v>
      </c>
      <c r="Q820">
        <f>COUNTIF(PROMJENA!A:A,PlanMasine[[#This Row],[KPL]]&amp;"-"&amp;PlanMasine[[#This Row],[RN]])</f>
        <v>0</v>
      </c>
      <c r="R820">
        <f>IFERROR(INDEX(REDOSLIJED!A:A,MATCH(PlanMasine[[#This Row],[KPL]],REDOSLIJED!B:B,0)),MAX(REDOSLIJED!A:A)+1)</f>
        <v>45</v>
      </c>
      <c r="S820" s="9">
        <f>SUM($M$2:M820)</f>
        <v>27.539305555555487</v>
      </c>
      <c r="T820" s="3">
        <f>PlanMasine[[#This Row],[Datum SAS]]-1</f>
        <v>45847</v>
      </c>
      <c r="U820">
        <f>WEEKDAY(PlanMasine[[#This Row],[ZAVRŠETAK MAŠINSKE]],2)</f>
        <v>3</v>
      </c>
      <c r="V820" s="3">
        <f>IF(WEEKDAY(PlanMasine[[#This Row],[Datum SAS]]-1,2)=7,PlanMasine[[#This Row],[Datum SAS]]-3,PlanMasine[[#This Row],[Datum SAS]]-1)</f>
        <v>45847</v>
      </c>
      <c r="W820">
        <f>WEEKNUM(PlanMasine[[#This Row],[Column2]],1)</f>
        <v>28</v>
      </c>
    </row>
    <row r="821" spans="1:23" x14ac:dyDescent="0.35">
      <c r="A821">
        <v>1025828</v>
      </c>
      <c r="B821">
        <v>1</v>
      </c>
      <c r="C821">
        <v>1025928</v>
      </c>
      <c r="D821" t="s">
        <v>2053</v>
      </c>
      <c r="E821">
        <v>15</v>
      </c>
      <c r="F821">
        <v>1</v>
      </c>
      <c r="G821">
        <v>0</v>
      </c>
      <c r="H821">
        <v>0</v>
      </c>
      <c r="I821" t="s">
        <v>24</v>
      </c>
      <c r="J821" t="s">
        <v>597</v>
      </c>
      <c r="K821" t="s">
        <v>2046</v>
      </c>
      <c r="L821" s="3">
        <v>45841</v>
      </c>
      <c r="M821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1.0416666666666666E-2</v>
      </c>
      <c r="N821" s="3">
        <v>45848</v>
      </c>
      <c r="O821" s="5">
        <f>IFERROR((PlanMasine[[#This Row],[Norma]]/PlanMasine[[#This Row],[Q]])*(PlanMasine[[#This Row],[Q]]/SUMIF(C:C,PlanMasine[[#This Row],[RN]],B:B)*PlanMasine[[#This Row],[KPLQ]]),0)</f>
        <v>15</v>
      </c>
      <c r="P821">
        <v>207895</v>
      </c>
      <c r="Q821">
        <f>COUNTIF(PROMJENA!A:A,PlanMasine[[#This Row],[KPL]]&amp;"-"&amp;PlanMasine[[#This Row],[RN]])</f>
        <v>0</v>
      </c>
      <c r="R821">
        <f>IFERROR(INDEX(REDOSLIJED!A:A,MATCH(PlanMasine[[#This Row],[KPL]],REDOSLIJED!B:B,0)),MAX(REDOSLIJED!A:A)+1)</f>
        <v>45</v>
      </c>
      <c r="S821" s="9">
        <f>SUM($M$2:M821)</f>
        <v>27.549722222222154</v>
      </c>
      <c r="T821" s="3">
        <f>PlanMasine[[#This Row],[Datum SAS]]-1</f>
        <v>45847</v>
      </c>
      <c r="U821">
        <f>WEEKDAY(PlanMasine[[#This Row],[ZAVRŠETAK MAŠINSKE]],2)</f>
        <v>3</v>
      </c>
      <c r="V821" s="3">
        <f>IF(WEEKDAY(PlanMasine[[#This Row],[Datum SAS]]-1,2)=7,PlanMasine[[#This Row],[Datum SAS]]-3,PlanMasine[[#This Row],[Datum SAS]]-1)</f>
        <v>45847</v>
      </c>
      <c r="W821">
        <f>WEEKNUM(PlanMasine[[#This Row],[Column2]],1)</f>
        <v>28</v>
      </c>
    </row>
    <row r="822" spans="1:23" x14ac:dyDescent="0.35">
      <c r="A822">
        <v>1025828</v>
      </c>
      <c r="B822">
        <v>1</v>
      </c>
      <c r="C822">
        <v>1025954</v>
      </c>
      <c r="D822" t="s">
        <v>2054</v>
      </c>
      <c r="E822">
        <v>65</v>
      </c>
      <c r="F822">
        <v>1</v>
      </c>
      <c r="G822">
        <v>0</v>
      </c>
      <c r="H822">
        <v>0</v>
      </c>
      <c r="I822" t="s">
        <v>24</v>
      </c>
      <c r="J822" t="s">
        <v>597</v>
      </c>
      <c r="K822" t="s">
        <v>2046</v>
      </c>
      <c r="L822" s="3">
        <v>45841</v>
      </c>
      <c r="M822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4.5138888888888888E-2</v>
      </c>
      <c r="N822" s="3">
        <v>45848</v>
      </c>
      <c r="O822" s="5">
        <f>IFERROR((PlanMasine[[#This Row],[Norma]]/PlanMasine[[#This Row],[Q]])*(PlanMasine[[#This Row],[Q]]/SUMIF(C:C,PlanMasine[[#This Row],[RN]],B:B)*PlanMasine[[#This Row],[KPLQ]]),0)</f>
        <v>65</v>
      </c>
      <c r="P822">
        <v>207919</v>
      </c>
      <c r="Q822">
        <f>COUNTIF(PROMJENA!A:A,PlanMasine[[#This Row],[KPL]]&amp;"-"&amp;PlanMasine[[#This Row],[RN]])</f>
        <v>0</v>
      </c>
      <c r="R822">
        <f>IFERROR(INDEX(REDOSLIJED!A:A,MATCH(PlanMasine[[#This Row],[KPL]],REDOSLIJED!B:B,0)),MAX(REDOSLIJED!A:A)+1)</f>
        <v>45</v>
      </c>
      <c r="S822" s="9">
        <f>SUM($M$2:M822)</f>
        <v>27.594861111111044</v>
      </c>
      <c r="T822" s="3">
        <f>PlanMasine[[#This Row],[Datum SAS]]-1</f>
        <v>45847</v>
      </c>
      <c r="U822">
        <f>WEEKDAY(PlanMasine[[#This Row],[ZAVRŠETAK MAŠINSKE]],2)</f>
        <v>3</v>
      </c>
      <c r="V822" s="3">
        <f>IF(WEEKDAY(PlanMasine[[#This Row],[Datum SAS]]-1,2)=7,PlanMasine[[#This Row],[Datum SAS]]-3,PlanMasine[[#This Row],[Datum SAS]]-1)</f>
        <v>45847</v>
      </c>
      <c r="W822">
        <f>WEEKNUM(PlanMasine[[#This Row],[Column2]],1)</f>
        <v>28</v>
      </c>
    </row>
    <row r="823" spans="1:23" x14ac:dyDescent="0.35">
      <c r="A823">
        <v>1025828</v>
      </c>
      <c r="B823">
        <v>1</v>
      </c>
      <c r="C823">
        <v>1025964</v>
      </c>
      <c r="D823" t="s">
        <v>2055</v>
      </c>
      <c r="E823">
        <v>10</v>
      </c>
      <c r="F823">
        <v>1</v>
      </c>
      <c r="G823">
        <v>0</v>
      </c>
      <c r="H823">
        <v>0</v>
      </c>
      <c r="I823" t="s">
        <v>24</v>
      </c>
      <c r="J823" t="s">
        <v>597</v>
      </c>
      <c r="K823" t="s">
        <v>2046</v>
      </c>
      <c r="L823" s="3">
        <v>45841</v>
      </c>
      <c r="M823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6.9444444444444441E-3</v>
      </c>
      <c r="N823" s="3">
        <v>45848</v>
      </c>
      <c r="O823" s="5">
        <f>IFERROR((PlanMasine[[#This Row],[Norma]]/PlanMasine[[#This Row],[Q]])*(PlanMasine[[#This Row],[Q]]/SUMIF(C:C,PlanMasine[[#This Row],[RN]],B:B)*PlanMasine[[#This Row],[KPLQ]]),0)</f>
        <v>10</v>
      </c>
      <c r="P823">
        <v>207929</v>
      </c>
      <c r="Q823">
        <f>COUNTIF(PROMJENA!A:A,PlanMasine[[#This Row],[KPL]]&amp;"-"&amp;PlanMasine[[#This Row],[RN]])</f>
        <v>0</v>
      </c>
      <c r="R823">
        <f>IFERROR(INDEX(REDOSLIJED!A:A,MATCH(PlanMasine[[#This Row],[KPL]],REDOSLIJED!B:B,0)),MAX(REDOSLIJED!A:A)+1)</f>
        <v>45</v>
      </c>
      <c r="S823" s="9">
        <f>SUM($M$2:M823)</f>
        <v>27.601805555555487</v>
      </c>
      <c r="T823" s="3">
        <f>PlanMasine[[#This Row],[Datum SAS]]-1</f>
        <v>45847</v>
      </c>
      <c r="U823">
        <f>WEEKDAY(PlanMasine[[#This Row],[ZAVRŠETAK MAŠINSKE]],2)</f>
        <v>3</v>
      </c>
      <c r="V823" s="3">
        <f>IF(WEEKDAY(PlanMasine[[#This Row],[Datum SAS]]-1,2)=7,PlanMasine[[#This Row],[Datum SAS]]-3,PlanMasine[[#This Row],[Datum SAS]]-1)</f>
        <v>45847</v>
      </c>
      <c r="W823">
        <f>WEEKNUM(PlanMasine[[#This Row],[Column2]],1)</f>
        <v>28</v>
      </c>
    </row>
    <row r="824" spans="1:23" x14ac:dyDescent="0.35">
      <c r="A824">
        <v>1025828</v>
      </c>
      <c r="B824">
        <v>1</v>
      </c>
      <c r="C824">
        <v>1025927</v>
      </c>
      <c r="D824" t="s">
        <v>2056</v>
      </c>
      <c r="E824">
        <v>15</v>
      </c>
      <c r="F824">
        <v>1</v>
      </c>
      <c r="G824">
        <v>0</v>
      </c>
      <c r="H824">
        <v>0</v>
      </c>
      <c r="I824" t="s">
        <v>24</v>
      </c>
      <c r="J824" t="s">
        <v>597</v>
      </c>
      <c r="K824" t="s">
        <v>2046</v>
      </c>
      <c r="L824" s="3">
        <v>45841</v>
      </c>
      <c r="M824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1.0416666666666666E-2</v>
      </c>
      <c r="N824" s="3">
        <v>45848</v>
      </c>
      <c r="O824" s="5">
        <f>IFERROR((PlanMasine[[#This Row],[Norma]]/PlanMasine[[#This Row],[Q]])*(PlanMasine[[#This Row],[Q]]/SUMIF(C:C,PlanMasine[[#This Row],[RN]],B:B)*PlanMasine[[#This Row],[KPLQ]]),0)</f>
        <v>15</v>
      </c>
      <c r="P824">
        <v>207894</v>
      </c>
      <c r="Q824">
        <f>COUNTIF(PROMJENA!A:A,PlanMasine[[#This Row],[KPL]]&amp;"-"&amp;PlanMasine[[#This Row],[RN]])</f>
        <v>0</v>
      </c>
      <c r="R824">
        <f>IFERROR(INDEX(REDOSLIJED!A:A,MATCH(PlanMasine[[#This Row],[KPL]],REDOSLIJED!B:B,0)),MAX(REDOSLIJED!A:A)+1)</f>
        <v>45</v>
      </c>
      <c r="S824" s="9">
        <f>SUM($M$2:M824)</f>
        <v>27.612222222222154</v>
      </c>
      <c r="T824" s="3">
        <f>PlanMasine[[#This Row],[Datum SAS]]-1</f>
        <v>45847</v>
      </c>
      <c r="U824">
        <f>WEEKDAY(PlanMasine[[#This Row],[ZAVRŠETAK MAŠINSKE]],2)</f>
        <v>3</v>
      </c>
      <c r="V824" s="3">
        <f>IF(WEEKDAY(PlanMasine[[#This Row],[Datum SAS]]-1,2)=7,PlanMasine[[#This Row],[Datum SAS]]-3,PlanMasine[[#This Row],[Datum SAS]]-1)</f>
        <v>45847</v>
      </c>
      <c r="W824">
        <f>WEEKNUM(PlanMasine[[#This Row],[Column2]],1)</f>
        <v>28</v>
      </c>
    </row>
    <row r="825" spans="1:23" x14ac:dyDescent="0.35">
      <c r="A825">
        <v>885487</v>
      </c>
      <c r="B825">
        <v>1</v>
      </c>
      <c r="C825">
        <v>885518</v>
      </c>
      <c r="D825" t="s">
        <v>1583</v>
      </c>
      <c r="E825">
        <v>10</v>
      </c>
      <c r="F825">
        <v>1</v>
      </c>
      <c r="G825">
        <v>0</v>
      </c>
      <c r="H825">
        <v>0</v>
      </c>
      <c r="I825" t="s">
        <v>24</v>
      </c>
      <c r="J825" t="s">
        <v>597</v>
      </c>
      <c r="K825" t="s">
        <v>1582</v>
      </c>
      <c r="L825" s="3">
        <v>45888</v>
      </c>
      <c r="M825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6.9444444444444441E-3</v>
      </c>
      <c r="N825" s="3">
        <v>45852</v>
      </c>
      <c r="O825" s="5">
        <f>IFERROR((PlanMasine[[#This Row],[Norma]]/PlanMasine[[#This Row],[Q]])*(PlanMasine[[#This Row],[Q]]/SUMIF(C:C,PlanMasine[[#This Row],[RN]],B:B)*PlanMasine[[#This Row],[KPLQ]]),0)</f>
        <v>10</v>
      </c>
      <c r="P825">
        <v>187184</v>
      </c>
      <c r="Q825">
        <f>COUNTIF(PROMJENA!A:A,PlanMasine[[#This Row],[KPL]]&amp;"-"&amp;PlanMasine[[#This Row],[RN]])</f>
        <v>0</v>
      </c>
      <c r="R825">
        <f>IFERROR(INDEX(REDOSLIJED!A:A,MATCH(PlanMasine[[#This Row],[KPL]],REDOSLIJED!B:B,0)),MAX(REDOSLIJED!A:A)+1)</f>
        <v>45</v>
      </c>
      <c r="S825" s="9">
        <f>SUM($M$2:M825)</f>
        <v>27.619166666666597</v>
      </c>
      <c r="T825" s="3">
        <f>PlanMasine[[#This Row],[Datum SAS]]-1</f>
        <v>45851</v>
      </c>
      <c r="U825">
        <f>WEEKDAY(PlanMasine[[#This Row],[ZAVRŠETAK MAŠINSKE]],2)</f>
        <v>7</v>
      </c>
      <c r="V825" s="3">
        <f>IF(WEEKDAY(PlanMasine[[#This Row],[Datum SAS]]-1,2)=7,PlanMasine[[#This Row],[Datum SAS]]-3,PlanMasine[[#This Row],[Datum SAS]]-1)</f>
        <v>45849</v>
      </c>
      <c r="W825">
        <f>WEEKNUM(PlanMasine[[#This Row],[Column2]],1)</f>
        <v>28</v>
      </c>
    </row>
    <row r="826" spans="1:23" x14ac:dyDescent="0.35">
      <c r="A826">
        <v>885487</v>
      </c>
      <c r="B826">
        <v>1</v>
      </c>
      <c r="C826">
        <v>885520</v>
      </c>
      <c r="D826" t="s">
        <v>1584</v>
      </c>
      <c r="E826">
        <v>15</v>
      </c>
      <c r="F826">
        <v>1</v>
      </c>
      <c r="G826">
        <v>0</v>
      </c>
      <c r="H826">
        <v>0</v>
      </c>
      <c r="I826" t="s">
        <v>24</v>
      </c>
      <c r="J826" t="s">
        <v>597</v>
      </c>
      <c r="K826" t="s">
        <v>1582</v>
      </c>
      <c r="L826" s="3">
        <v>45888</v>
      </c>
      <c r="M826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1.0416666666666666E-2</v>
      </c>
      <c r="N826" s="3">
        <v>45852</v>
      </c>
      <c r="O826" s="5">
        <f>IFERROR((PlanMasine[[#This Row],[Norma]]/PlanMasine[[#This Row],[Q]])*(PlanMasine[[#This Row],[Q]]/SUMIF(C:C,PlanMasine[[#This Row],[RN]],B:B)*PlanMasine[[#This Row],[KPLQ]]),0)</f>
        <v>15</v>
      </c>
      <c r="P826">
        <v>187186</v>
      </c>
      <c r="Q826">
        <f>COUNTIF(PROMJENA!A:A,PlanMasine[[#This Row],[KPL]]&amp;"-"&amp;PlanMasine[[#This Row],[RN]])</f>
        <v>0</v>
      </c>
      <c r="R826">
        <f>IFERROR(INDEX(REDOSLIJED!A:A,MATCH(PlanMasine[[#This Row],[KPL]],REDOSLIJED!B:B,0)),MAX(REDOSLIJED!A:A)+1)</f>
        <v>45</v>
      </c>
      <c r="S826" s="9">
        <f>SUM($M$2:M826)</f>
        <v>27.629583333333265</v>
      </c>
      <c r="T826" s="3">
        <f>PlanMasine[[#This Row],[Datum SAS]]-1</f>
        <v>45851</v>
      </c>
      <c r="U826">
        <f>WEEKDAY(PlanMasine[[#This Row],[ZAVRŠETAK MAŠINSKE]],2)</f>
        <v>7</v>
      </c>
      <c r="V826" s="3">
        <f>IF(WEEKDAY(PlanMasine[[#This Row],[Datum SAS]]-1,2)=7,PlanMasine[[#This Row],[Datum SAS]]-3,PlanMasine[[#This Row],[Datum SAS]]-1)</f>
        <v>45849</v>
      </c>
      <c r="W826">
        <f>WEEKNUM(PlanMasine[[#This Row],[Column2]],1)</f>
        <v>28</v>
      </c>
    </row>
    <row r="827" spans="1:23" x14ac:dyDescent="0.35">
      <c r="A827">
        <v>885487</v>
      </c>
      <c r="B827">
        <v>1</v>
      </c>
      <c r="C827">
        <v>885590</v>
      </c>
      <c r="D827" t="s">
        <v>1585</v>
      </c>
      <c r="E827">
        <v>20</v>
      </c>
      <c r="F827">
        <v>1</v>
      </c>
      <c r="G827">
        <v>0</v>
      </c>
      <c r="H827">
        <v>0</v>
      </c>
      <c r="I827" t="s">
        <v>24</v>
      </c>
      <c r="J827" t="s">
        <v>597</v>
      </c>
      <c r="K827" t="s">
        <v>1582</v>
      </c>
      <c r="L827" s="3">
        <v>45888</v>
      </c>
      <c r="M827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1.3888888888888888E-2</v>
      </c>
      <c r="N827" s="3">
        <v>45852</v>
      </c>
      <c r="O827" s="5">
        <f>IFERROR((PlanMasine[[#This Row],[Norma]]/PlanMasine[[#This Row],[Q]])*(PlanMasine[[#This Row],[Q]]/SUMIF(C:C,PlanMasine[[#This Row],[RN]],B:B)*PlanMasine[[#This Row],[KPLQ]]),0)</f>
        <v>20</v>
      </c>
      <c r="P827">
        <v>187255</v>
      </c>
      <c r="Q827">
        <f>COUNTIF(PROMJENA!A:A,PlanMasine[[#This Row],[KPL]]&amp;"-"&amp;PlanMasine[[#This Row],[RN]])</f>
        <v>0</v>
      </c>
      <c r="R827">
        <f>IFERROR(INDEX(REDOSLIJED!A:A,MATCH(PlanMasine[[#This Row],[KPL]],REDOSLIJED!B:B,0)),MAX(REDOSLIJED!A:A)+1)</f>
        <v>45</v>
      </c>
      <c r="S827" s="9">
        <f>SUM($M$2:M827)</f>
        <v>27.643472222222154</v>
      </c>
      <c r="T827" s="3">
        <f>PlanMasine[[#This Row],[Datum SAS]]-1</f>
        <v>45851</v>
      </c>
      <c r="U827">
        <f>WEEKDAY(PlanMasine[[#This Row],[ZAVRŠETAK MAŠINSKE]],2)</f>
        <v>7</v>
      </c>
      <c r="V827" s="3">
        <f>IF(WEEKDAY(PlanMasine[[#This Row],[Datum SAS]]-1,2)=7,PlanMasine[[#This Row],[Datum SAS]]-3,PlanMasine[[#This Row],[Datum SAS]]-1)</f>
        <v>45849</v>
      </c>
      <c r="W827">
        <f>WEEKNUM(PlanMasine[[#This Row],[Column2]],1)</f>
        <v>28</v>
      </c>
    </row>
    <row r="828" spans="1:23" x14ac:dyDescent="0.35">
      <c r="A828">
        <v>885487</v>
      </c>
      <c r="B828">
        <v>1</v>
      </c>
      <c r="C828">
        <v>885509</v>
      </c>
      <c r="D828" t="s">
        <v>1581</v>
      </c>
      <c r="E828">
        <v>10</v>
      </c>
      <c r="F828">
        <v>1</v>
      </c>
      <c r="G828">
        <v>0</v>
      </c>
      <c r="H828">
        <v>0</v>
      </c>
      <c r="I828" t="s">
        <v>24</v>
      </c>
      <c r="J828" t="s">
        <v>597</v>
      </c>
      <c r="K828" t="s">
        <v>1582</v>
      </c>
      <c r="L828" s="3">
        <v>45888</v>
      </c>
      <c r="M828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6.9444444444444441E-3</v>
      </c>
      <c r="N828" s="3">
        <v>45852</v>
      </c>
      <c r="O828" s="5">
        <f>IFERROR((PlanMasine[[#This Row],[Norma]]/PlanMasine[[#This Row],[Q]])*(PlanMasine[[#This Row],[Q]]/SUMIF(C:C,PlanMasine[[#This Row],[RN]],B:B)*PlanMasine[[#This Row],[KPLQ]]),0)</f>
        <v>10</v>
      </c>
      <c r="P828">
        <v>187175</v>
      </c>
      <c r="Q828">
        <f>COUNTIF(PROMJENA!A:A,PlanMasine[[#This Row],[KPL]]&amp;"-"&amp;PlanMasine[[#This Row],[RN]])</f>
        <v>0</v>
      </c>
      <c r="R828">
        <f>IFERROR(INDEX(REDOSLIJED!A:A,MATCH(PlanMasine[[#This Row],[KPL]],REDOSLIJED!B:B,0)),MAX(REDOSLIJED!A:A)+1)</f>
        <v>45</v>
      </c>
      <c r="S828" s="9">
        <f>SUM($M$2:M828)</f>
        <v>27.650416666666597</v>
      </c>
      <c r="T828" s="3">
        <f>PlanMasine[[#This Row],[Datum SAS]]-1</f>
        <v>45851</v>
      </c>
      <c r="U828">
        <f>WEEKDAY(PlanMasine[[#This Row],[ZAVRŠETAK MAŠINSKE]],2)</f>
        <v>7</v>
      </c>
      <c r="V828" s="3">
        <f>IF(WEEKDAY(PlanMasine[[#This Row],[Datum SAS]]-1,2)=7,PlanMasine[[#This Row],[Datum SAS]]-3,PlanMasine[[#This Row],[Datum SAS]]-1)</f>
        <v>45849</v>
      </c>
      <c r="W828">
        <f>WEEKNUM(PlanMasine[[#This Row],[Column2]],1)</f>
        <v>28</v>
      </c>
    </row>
    <row r="829" spans="1:23" x14ac:dyDescent="0.35">
      <c r="A829">
        <v>885487</v>
      </c>
      <c r="B829">
        <v>1</v>
      </c>
      <c r="C829">
        <v>885620</v>
      </c>
      <c r="D829" t="s">
        <v>627</v>
      </c>
      <c r="E829">
        <v>50</v>
      </c>
      <c r="F829">
        <v>1</v>
      </c>
      <c r="G829">
        <v>0</v>
      </c>
      <c r="H829">
        <v>0</v>
      </c>
      <c r="I829" t="s">
        <v>24</v>
      </c>
      <c r="J829" t="s">
        <v>597</v>
      </c>
      <c r="K829" t="s">
        <v>1582</v>
      </c>
      <c r="L829" s="3">
        <v>45888</v>
      </c>
      <c r="M829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3.4722222222222224E-2</v>
      </c>
      <c r="N829" s="3">
        <v>45852</v>
      </c>
      <c r="O829" s="5">
        <f>IFERROR((PlanMasine[[#This Row],[Norma]]/PlanMasine[[#This Row],[Q]])*(PlanMasine[[#This Row],[Q]]/SUMIF(C:C,PlanMasine[[#This Row],[RN]],B:B)*PlanMasine[[#This Row],[KPLQ]]),0)</f>
        <v>50</v>
      </c>
      <c r="P829">
        <v>187284</v>
      </c>
      <c r="Q829">
        <f>COUNTIF(PROMJENA!A:A,PlanMasine[[#This Row],[KPL]]&amp;"-"&amp;PlanMasine[[#This Row],[RN]])</f>
        <v>0</v>
      </c>
      <c r="R829">
        <f>IFERROR(INDEX(REDOSLIJED!A:A,MATCH(PlanMasine[[#This Row],[KPL]],REDOSLIJED!B:B,0)),MAX(REDOSLIJED!A:A)+1)</f>
        <v>45</v>
      </c>
      <c r="S829" s="9">
        <f>SUM($M$2:M829)</f>
        <v>27.685138888888819</v>
      </c>
      <c r="T829" s="3">
        <f>PlanMasine[[#This Row],[Datum SAS]]-1</f>
        <v>45851</v>
      </c>
      <c r="U829">
        <f>WEEKDAY(PlanMasine[[#This Row],[ZAVRŠETAK MAŠINSKE]],2)</f>
        <v>7</v>
      </c>
      <c r="V829" s="3">
        <f>IF(WEEKDAY(PlanMasine[[#This Row],[Datum SAS]]-1,2)=7,PlanMasine[[#This Row],[Datum SAS]]-3,PlanMasine[[#This Row],[Datum SAS]]-1)</f>
        <v>45849</v>
      </c>
      <c r="W829">
        <f>WEEKNUM(PlanMasine[[#This Row],[Column2]],1)</f>
        <v>28</v>
      </c>
    </row>
    <row r="830" spans="1:23" x14ac:dyDescent="0.35">
      <c r="A830">
        <v>885487</v>
      </c>
      <c r="B830">
        <v>1</v>
      </c>
      <c r="C830">
        <v>885630</v>
      </c>
      <c r="D830" t="s">
        <v>628</v>
      </c>
      <c r="E830">
        <v>12</v>
      </c>
      <c r="F830">
        <v>1</v>
      </c>
      <c r="G830">
        <v>0</v>
      </c>
      <c r="H830">
        <v>0</v>
      </c>
      <c r="I830" t="s">
        <v>24</v>
      </c>
      <c r="J830" t="s">
        <v>597</v>
      </c>
      <c r="K830" t="s">
        <v>1582</v>
      </c>
      <c r="L830" s="3">
        <v>45888</v>
      </c>
      <c r="M830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8.3333333333333332E-3</v>
      </c>
      <c r="N830" s="3">
        <v>45852</v>
      </c>
      <c r="O830" s="5">
        <f>IFERROR((PlanMasine[[#This Row],[Norma]]/PlanMasine[[#This Row],[Q]])*(PlanMasine[[#This Row],[Q]]/SUMIF(C:C,PlanMasine[[#This Row],[RN]],B:B)*PlanMasine[[#This Row],[KPLQ]]),0)</f>
        <v>12</v>
      </c>
      <c r="P830">
        <v>187294</v>
      </c>
      <c r="Q830">
        <f>COUNTIF(PROMJENA!A:A,PlanMasine[[#This Row],[KPL]]&amp;"-"&amp;PlanMasine[[#This Row],[RN]])</f>
        <v>0</v>
      </c>
      <c r="R830">
        <f>IFERROR(INDEX(REDOSLIJED!A:A,MATCH(PlanMasine[[#This Row],[KPL]],REDOSLIJED!B:B,0)),MAX(REDOSLIJED!A:A)+1)</f>
        <v>45</v>
      </c>
      <c r="S830" s="9">
        <f>SUM($M$2:M830)</f>
        <v>27.693472222222152</v>
      </c>
      <c r="T830" s="3">
        <f>PlanMasine[[#This Row],[Datum SAS]]-1</f>
        <v>45851</v>
      </c>
      <c r="U830">
        <f>WEEKDAY(PlanMasine[[#This Row],[ZAVRŠETAK MAŠINSKE]],2)</f>
        <v>7</v>
      </c>
      <c r="V830" s="3">
        <f>IF(WEEKDAY(PlanMasine[[#This Row],[Datum SAS]]-1,2)=7,PlanMasine[[#This Row],[Datum SAS]]-3,PlanMasine[[#This Row],[Datum SAS]]-1)</f>
        <v>45849</v>
      </c>
      <c r="W830">
        <f>WEEKNUM(PlanMasine[[#This Row],[Column2]],1)</f>
        <v>28</v>
      </c>
    </row>
    <row r="831" spans="1:23" x14ac:dyDescent="0.35">
      <c r="A831">
        <v>885487</v>
      </c>
      <c r="B831">
        <v>1</v>
      </c>
      <c r="C831">
        <v>885601</v>
      </c>
      <c r="D831" t="s">
        <v>1586</v>
      </c>
      <c r="E831">
        <v>20</v>
      </c>
      <c r="F831">
        <v>1</v>
      </c>
      <c r="G831">
        <v>0</v>
      </c>
      <c r="H831">
        <v>0</v>
      </c>
      <c r="I831" t="s">
        <v>24</v>
      </c>
      <c r="J831" t="s">
        <v>597</v>
      </c>
      <c r="K831" t="s">
        <v>1582</v>
      </c>
      <c r="L831" s="3">
        <v>45888</v>
      </c>
      <c r="M831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1.3888888888888888E-2</v>
      </c>
      <c r="N831" s="3">
        <v>45852</v>
      </c>
      <c r="O831" s="5">
        <f>IFERROR((PlanMasine[[#This Row],[Norma]]/PlanMasine[[#This Row],[Q]])*(PlanMasine[[#This Row],[Q]]/SUMIF(C:C,PlanMasine[[#This Row],[RN]],B:B)*PlanMasine[[#This Row],[KPLQ]]),0)</f>
        <v>20</v>
      </c>
      <c r="P831">
        <v>187266</v>
      </c>
      <c r="Q831">
        <f>COUNTIF(PROMJENA!A:A,PlanMasine[[#This Row],[KPL]]&amp;"-"&amp;PlanMasine[[#This Row],[RN]])</f>
        <v>0</v>
      </c>
      <c r="R831">
        <f>IFERROR(INDEX(REDOSLIJED!A:A,MATCH(PlanMasine[[#This Row],[KPL]],REDOSLIJED!B:B,0)),MAX(REDOSLIJED!A:A)+1)</f>
        <v>45</v>
      </c>
      <c r="S831" s="9">
        <f>SUM($M$2:M831)</f>
        <v>27.707361111111041</v>
      </c>
      <c r="T831" s="3">
        <f>PlanMasine[[#This Row],[Datum SAS]]-1</f>
        <v>45851</v>
      </c>
      <c r="U831">
        <f>WEEKDAY(PlanMasine[[#This Row],[ZAVRŠETAK MAŠINSKE]],2)</f>
        <v>7</v>
      </c>
      <c r="V831" s="3">
        <f>IF(WEEKDAY(PlanMasine[[#This Row],[Datum SAS]]-1,2)=7,PlanMasine[[#This Row],[Datum SAS]]-3,PlanMasine[[#This Row],[Datum SAS]]-1)</f>
        <v>45849</v>
      </c>
      <c r="W831">
        <f>WEEKNUM(PlanMasine[[#This Row],[Column2]],1)</f>
        <v>28</v>
      </c>
    </row>
    <row r="832" spans="1:23" x14ac:dyDescent="0.35">
      <c r="A832">
        <v>1017659</v>
      </c>
      <c r="B832">
        <v>1</v>
      </c>
      <c r="C832">
        <v>1017734</v>
      </c>
      <c r="D832" t="s">
        <v>979</v>
      </c>
      <c r="E832">
        <v>10</v>
      </c>
      <c r="F832">
        <v>1</v>
      </c>
      <c r="G832">
        <v>0</v>
      </c>
      <c r="H832">
        <v>0</v>
      </c>
      <c r="I832" t="s">
        <v>24</v>
      </c>
      <c r="J832" t="s">
        <v>597</v>
      </c>
      <c r="K832" t="s">
        <v>2057</v>
      </c>
      <c r="L832" s="3">
        <v>45883</v>
      </c>
      <c r="M832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6.9444444444444441E-3</v>
      </c>
      <c r="N832" s="3">
        <v>45859</v>
      </c>
      <c r="O832" s="5">
        <f>IFERROR((PlanMasine[[#This Row],[Norma]]/PlanMasine[[#This Row],[Q]])*(PlanMasine[[#This Row],[Q]]/SUMIF(C:C,PlanMasine[[#This Row],[RN]],B:B)*PlanMasine[[#This Row],[KPLQ]]),0)</f>
        <v>10</v>
      </c>
      <c r="P832">
        <v>180200</v>
      </c>
      <c r="Q832">
        <f>COUNTIF(PROMJENA!A:A,PlanMasine[[#This Row],[KPL]]&amp;"-"&amp;PlanMasine[[#This Row],[RN]])</f>
        <v>0</v>
      </c>
      <c r="R832">
        <f>IFERROR(INDEX(REDOSLIJED!A:A,MATCH(PlanMasine[[#This Row],[KPL]],REDOSLIJED!B:B,0)),MAX(REDOSLIJED!A:A)+1)</f>
        <v>45</v>
      </c>
      <c r="S832" s="9">
        <f>SUM($M$2:M832)</f>
        <v>27.714305555555484</v>
      </c>
      <c r="T832" s="3">
        <f>PlanMasine[[#This Row],[Datum SAS]]-1</f>
        <v>45858</v>
      </c>
      <c r="U832">
        <f>WEEKDAY(PlanMasine[[#This Row],[ZAVRŠETAK MAŠINSKE]],2)</f>
        <v>7</v>
      </c>
      <c r="V832" s="3">
        <f>IF(WEEKDAY(PlanMasine[[#This Row],[Datum SAS]]-1,2)=7,PlanMasine[[#This Row],[Datum SAS]]-3,PlanMasine[[#This Row],[Datum SAS]]-1)</f>
        <v>45856</v>
      </c>
      <c r="W832">
        <f>WEEKNUM(PlanMasine[[#This Row],[Column2]],1)</f>
        <v>29</v>
      </c>
    </row>
    <row r="833" spans="1:23" x14ac:dyDescent="0.35">
      <c r="A833">
        <v>1017659</v>
      </c>
      <c r="B833">
        <v>1</v>
      </c>
      <c r="C833">
        <v>1017716</v>
      </c>
      <c r="D833" t="s">
        <v>1865</v>
      </c>
      <c r="E833">
        <v>15</v>
      </c>
      <c r="F833">
        <v>1</v>
      </c>
      <c r="G833">
        <v>0</v>
      </c>
      <c r="H833">
        <v>0</v>
      </c>
      <c r="I833" t="s">
        <v>24</v>
      </c>
      <c r="J833" t="s">
        <v>597</v>
      </c>
      <c r="K833" t="s">
        <v>2057</v>
      </c>
      <c r="L833" s="3">
        <v>45883</v>
      </c>
      <c r="M833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1.0416666666666666E-2</v>
      </c>
      <c r="N833" s="3">
        <v>45859</v>
      </c>
      <c r="O833" s="5">
        <f>IFERROR((PlanMasine[[#This Row],[Norma]]/PlanMasine[[#This Row],[Q]])*(PlanMasine[[#This Row],[Q]]/SUMIF(C:C,PlanMasine[[#This Row],[RN]],B:B)*PlanMasine[[#This Row],[KPLQ]]),0)</f>
        <v>15</v>
      </c>
      <c r="P833">
        <v>180182</v>
      </c>
      <c r="Q833">
        <f>COUNTIF(PROMJENA!A:A,PlanMasine[[#This Row],[KPL]]&amp;"-"&amp;PlanMasine[[#This Row],[RN]])</f>
        <v>0</v>
      </c>
      <c r="R833">
        <f>IFERROR(INDEX(REDOSLIJED!A:A,MATCH(PlanMasine[[#This Row],[KPL]],REDOSLIJED!B:B,0)),MAX(REDOSLIJED!A:A)+1)</f>
        <v>45</v>
      </c>
      <c r="S833" s="9">
        <f>SUM($M$2:M833)</f>
        <v>27.724722222222152</v>
      </c>
      <c r="T833" s="3">
        <f>PlanMasine[[#This Row],[Datum SAS]]-1</f>
        <v>45858</v>
      </c>
      <c r="U833">
        <f>WEEKDAY(PlanMasine[[#This Row],[ZAVRŠETAK MAŠINSKE]],2)</f>
        <v>7</v>
      </c>
      <c r="V833" s="3">
        <f>IF(WEEKDAY(PlanMasine[[#This Row],[Datum SAS]]-1,2)=7,PlanMasine[[#This Row],[Datum SAS]]-3,PlanMasine[[#This Row],[Datum SAS]]-1)</f>
        <v>45856</v>
      </c>
      <c r="W833">
        <f>WEEKNUM(PlanMasine[[#This Row],[Column2]],1)</f>
        <v>29</v>
      </c>
    </row>
  </sheetData>
  <phoneticPr fontId="10" type="noConversion"/>
  <pageMargins left="0.7" right="0.7" top="0.75" bottom="0.75" header="0.3" footer="0.3"/>
  <pageSetup orientation="portrait" r:id="rId1"/>
  <drawing r:id="rId2"/>
  <tableParts count="2">
    <tablePart r:id="rId3"/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8"/>
  <dimension ref="A1:T572"/>
  <sheetViews>
    <sheetView tabSelected="1" zoomScale="112" zoomScaleNormal="112" workbookViewId="0">
      <selection sqref="A1:XFD1048576"/>
    </sheetView>
  </sheetViews>
  <sheetFormatPr defaultColWidth="9.1796875" defaultRowHeight="14.5" zeroHeight="1" x14ac:dyDescent="0.35"/>
  <cols>
    <col min="1" max="1" width="8.26953125" style="23" bestFit="1" customWidth="1"/>
    <col min="2" max="2" width="5.26953125" style="23" bestFit="1" customWidth="1"/>
    <col min="3" max="3" width="8.26953125" style="23" bestFit="1" customWidth="1"/>
    <col min="4" max="4" width="51.1796875" style="23" bestFit="1" customWidth="1"/>
    <col min="5" max="5" width="9" style="5" bestFit="1" customWidth="1"/>
    <col min="6" max="6" width="3" style="23" bestFit="1" customWidth="1"/>
    <col min="7" max="7" width="3.26953125" style="23" bestFit="1" customWidth="1"/>
    <col min="8" max="8" width="4.08984375" style="23" bestFit="1" customWidth="1"/>
    <col min="9" max="9" width="6.453125" style="23" bestFit="1" customWidth="1"/>
    <col min="10" max="10" width="25.1796875" style="23" bestFit="1" customWidth="1"/>
    <col min="11" max="11" width="20.90625" style="23" bestFit="1" customWidth="1"/>
    <col min="12" max="12" width="8.54296875" style="24" bestFit="1" customWidth="1"/>
    <col min="13" max="13" width="5.7265625" style="28" bestFit="1" customWidth="1"/>
    <col min="14" max="14" width="9.90625" style="3" bestFit="1" customWidth="1"/>
    <col min="15" max="15" width="7.26953125" bestFit="1" customWidth="1"/>
    <col min="16" max="16" width="6.36328125" bestFit="1" customWidth="1"/>
    <col min="17" max="17" width="16.36328125" style="23" bestFit="1" customWidth="1"/>
    <col min="18" max="20" width="9.1796875" style="23"/>
  </cols>
  <sheetData>
    <row r="1" spans="1:17" x14ac:dyDescent="0.35">
      <c r="A1" s="23" t="s">
        <v>182</v>
      </c>
      <c r="B1" s="23" t="s">
        <v>183</v>
      </c>
      <c r="C1" s="23" t="s">
        <v>0</v>
      </c>
      <c r="D1" s="23" t="s">
        <v>184</v>
      </c>
      <c r="E1" s="5" t="s">
        <v>201</v>
      </c>
      <c r="F1" s="23" t="s">
        <v>186</v>
      </c>
      <c r="G1" s="23" t="s">
        <v>187</v>
      </c>
      <c r="H1" s="23" t="s">
        <v>188</v>
      </c>
      <c r="I1" s="23" t="s">
        <v>189</v>
      </c>
      <c r="J1" s="23" t="s">
        <v>190</v>
      </c>
      <c r="K1" s="23" t="s">
        <v>191</v>
      </c>
      <c r="L1" s="24" t="s">
        <v>192</v>
      </c>
      <c r="M1" s="28" t="s">
        <v>193</v>
      </c>
      <c r="N1" s="3" t="s">
        <v>194</v>
      </c>
      <c r="O1" t="s">
        <v>338</v>
      </c>
      <c r="P1" t="s">
        <v>215</v>
      </c>
    </row>
    <row r="2" spans="1:17" x14ac:dyDescent="0.35">
      <c r="A2" s="23">
        <v>1019171</v>
      </c>
      <c r="B2" s="23">
        <v>1</v>
      </c>
      <c r="C2" s="23">
        <v>1019173</v>
      </c>
      <c r="D2" s="23" t="s">
        <v>1815</v>
      </c>
      <c r="E2" s="5">
        <v>90</v>
      </c>
      <c r="F2" s="23">
        <v>1</v>
      </c>
      <c r="G2" s="23">
        <v>0</v>
      </c>
      <c r="H2" s="23">
        <v>0</v>
      </c>
      <c r="I2" s="23" t="s">
        <v>24</v>
      </c>
      <c r="J2" s="23" t="s">
        <v>597</v>
      </c>
      <c r="K2" s="23" t="s">
        <v>1816</v>
      </c>
      <c r="L2" s="24">
        <v>45782</v>
      </c>
      <c r="M2" s="28">
        <v>6.25E-2</v>
      </c>
      <c r="N2" s="3">
        <v>45772</v>
      </c>
      <c r="O2">
        <v>231678</v>
      </c>
      <c r="P2">
        <v>45</v>
      </c>
      <c r="Q2" s="23" t="s">
        <v>2061</v>
      </c>
    </row>
    <row r="3" spans="1:17" x14ac:dyDescent="0.35">
      <c r="A3" s="23">
        <v>1013072</v>
      </c>
      <c r="B3" s="23">
        <v>1</v>
      </c>
      <c r="C3" s="23">
        <v>1013165</v>
      </c>
      <c r="D3" s="23" t="s">
        <v>452</v>
      </c>
      <c r="E3" s="5">
        <v>10</v>
      </c>
      <c r="F3" s="23">
        <v>1</v>
      </c>
      <c r="G3" s="23">
        <v>0</v>
      </c>
      <c r="H3" s="23">
        <v>0</v>
      </c>
      <c r="I3" s="23" t="s">
        <v>24</v>
      </c>
      <c r="J3" s="23" t="s">
        <v>597</v>
      </c>
      <c r="K3" s="23" t="s">
        <v>1817</v>
      </c>
      <c r="L3" s="24">
        <v>45804</v>
      </c>
      <c r="M3" s="28">
        <v>6.9444444444444441E-3</v>
      </c>
      <c r="N3" s="3">
        <v>45775</v>
      </c>
      <c r="O3">
        <v>175901</v>
      </c>
      <c r="P3">
        <v>45</v>
      </c>
      <c r="Q3" s="23" t="s">
        <v>2062</v>
      </c>
    </row>
    <row r="4" spans="1:17" x14ac:dyDescent="0.35">
      <c r="A4" s="23">
        <v>1006326</v>
      </c>
      <c r="B4" s="23">
        <v>1</v>
      </c>
      <c r="C4" s="23">
        <v>1006419</v>
      </c>
      <c r="D4" s="23" t="s">
        <v>452</v>
      </c>
      <c r="E4" s="5">
        <v>10</v>
      </c>
      <c r="F4" s="23">
        <v>1</v>
      </c>
      <c r="G4" s="23">
        <v>0</v>
      </c>
      <c r="H4" s="23">
        <v>0</v>
      </c>
      <c r="I4" s="23" t="s">
        <v>24</v>
      </c>
      <c r="J4" s="23" t="s">
        <v>597</v>
      </c>
      <c r="K4" s="23" t="s">
        <v>1818</v>
      </c>
      <c r="L4" s="24">
        <v>45812</v>
      </c>
      <c r="M4" s="28">
        <v>6.9444444444444441E-3</v>
      </c>
      <c r="N4" s="3">
        <v>45782</v>
      </c>
      <c r="O4">
        <v>175901</v>
      </c>
      <c r="P4">
        <v>45</v>
      </c>
      <c r="Q4" s="23" t="s">
        <v>2063</v>
      </c>
    </row>
    <row r="5" spans="1:17" x14ac:dyDescent="0.35">
      <c r="A5" s="23">
        <v>1023735</v>
      </c>
      <c r="B5" s="23">
        <v>2</v>
      </c>
      <c r="C5" s="23">
        <v>1023740</v>
      </c>
      <c r="D5" s="23" t="s">
        <v>1819</v>
      </c>
      <c r="E5" s="5">
        <v>80</v>
      </c>
      <c r="F5" s="23">
        <v>2</v>
      </c>
      <c r="G5" s="23">
        <v>0</v>
      </c>
      <c r="H5" s="23">
        <v>0</v>
      </c>
      <c r="I5" s="23" t="s">
        <v>24</v>
      </c>
      <c r="J5" s="23" t="s">
        <v>597</v>
      </c>
      <c r="K5" s="23" t="s">
        <v>1820</v>
      </c>
      <c r="L5" s="23">
        <v>45812</v>
      </c>
      <c r="M5" s="28">
        <v>5.5555555555555552E-2</v>
      </c>
      <c r="N5" s="3">
        <v>45782</v>
      </c>
      <c r="O5">
        <v>232110</v>
      </c>
      <c r="P5">
        <v>45</v>
      </c>
      <c r="Q5" s="23" t="s">
        <v>2064</v>
      </c>
    </row>
    <row r="6" spans="1:17" x14ac:dyDescent="0.35">
      <c r="A6" s="23">
        <v>1023735</v>
      </c>
      <c r="B6" s="23">
        <v>2</v>
      </c>
      <c r="C6" s="23">
        <v>1023739</v>
      </c>
      <c r="D6" s="23" t="s">
        <v>1821</v>
      </c>
      <c r="E6" s="5">
        <v>200</v>
      </c>
      <c r="F6" s="23">
        <v>4</v>
      </c>
      <c r="G6" s="23">
        <v>0</v>
      </c>
      <c r="H6" s="23">
        <v>0</v>
      </c>
      <c r="I6" s="23" t="s">
        <v>24</v>
      </c>
      <c r="J6" s="23" t="s">
        <v>597</v>
      </c>
      <c r="K6" s="23" t="s">
        <v>1820</v>
      </c>
      <c r="L6" s="24">
        <v>45812</v>
      </c>
      <c r="M6" s="28">
        <v>0.1388888888888889</v>
      </c>
      <c r="N6" s="3">
        <v>45782</v>
      </c>
      <c r="O6">
        <v>232109</v>
      </c>
      <c r="P6">
        <v>45</v>
      </c>
      <c r="Q6" s="23" t="s">
        <v>2065</v>
      </c>
    </row>
    <row r="7" spans="1:17" x14ac:dyDescent="0.35">
      <c r="A7" s="23">
        <v>1007060</v>
      </c>
      <c r="B7" s="23">
        <v>1</v>
      </c>
      <c r="C7" s="23">
        <v>1007044</v>
      </c>
      <c r="D7" s="23" t="s">
        <v>1052</v>
      </c>
      <c r="E7" s="5">
        <v>50</v>
      </c>
      <c r="F7" s="23">
        <v>1</v>
      </c>
      <c r="G7" s="23">
        <v>0</v>
      </c>
      <c r="H7" s="23">
        <v>0</v>
      </c>
      <c r="I7" s="23" t="s">
        <v>24</v>
      </c>
      <c r="J7" s="23" t="s">
        <v>597</v>
      </c>
      <c r="K7" s="23" t="s">
        <v>1822</v>
      </c>
      <c r="L7" s="23">
        <v>45791</v>
      </c>
      <c r="M7" s="28">
        <v>3.4722222222222224E-2</v>
      </c>
      <c r="N7" s="3">
        <v>45785</v>
      </c>
      <c r="O7">
        <v>190453</v>
      </c>
      <c r="P7">
        <v>45</v>
      </c>
      <c r="Q7" s="23" t="s">
        <v>2066</v>
      </c>
    </row>
    <row r="8" spans="1:17" x14ac:dyDescent="0.35">
      <c r="A8" s="23">
        <v>1004376</v>
      </c>
      <c r="B8" s="23">
        <v>3</v>
      </c>
      <c r="C8" s="23">
        <v>1004400</v>
      </c>
      <c r="D8" s="23" t="s">
        <v>1656</v>
      </c>
      <c r="E8" s="5">
        <v>120</v>
      </c>
      <c r="F8" s="23">
        <v>3</v>
      </c>
      <c r="G8" s="23">
        <v>0</v>
      </c>
      <c r="H8" s="23">
        <v>105</v>
      </c>
      <c r="I8" s="23" t="s">
        <v>24</v>
      </c>
      <c r="J8" s="23" t="s">
        <v>597</v>
      </c>
      <c r="K8" s="23" t="s">
        <v>1823</v>
      </c>
      <c r="L8" s="24">
        <v>45804</v>
      </c>
      <c r="M8" s="28">
        <v>8.3333333333333329E-2</v>
      </c>
      <c r="N8" s="3">
        <v>45789</v>
      </c>
      <c r="O8">
        <v>209469</v>
      </c>
      <c r="P8">
        <v>45</v>
      </c>
      <c r="Q8" s="23" t="s">
        <v>2067</v>
      </c>
    </row>
    <row r="9" spans="1:17" x14ac:dyDescent="0.35">
      <c r="A9" s="23">
        <v>1004376</v>
      </c>
      <c r="B9" s="23">
        <v>3</v>
      </c>
      <c r="C9" s="23">
        <v>1004389</v>
      </c>
      <c r="D9" s="23" t="s">
        <v>1712</v>
      </c>
      <c r="E9" s="5">
        <v>75</v>
      </c>
      <c r="F9" s="23">
        <v>3</v>
      </c>
      <c r="G9" s="23">
        <v>0</v>
      </c>
      <c r="H9" s="23">
        <v>0</v>
      </c>
      <c r="I9" s="23" t="s">
        <v>24</v>
      </c>
      <c r="J9" s="23" t="s">
        <v>597</v>
      </c>
      <c r="K9" s="23" t="s">
        <v>1823</v>
      </c>
      <c r="L9" s="23">
        <v>45804</v>
      </c>
      <c r="M9" s="28">
        <v>5.2083333333333336E-2</v>
      </c>
      <c r="N9" s="3">
        <v>45789</v>
      </c>
      <c r="O9">
        <v>209458</v>
      </c>
      <c r="P9">
        <v>45</v>
      </c>
      <c r="Q9" s="23" t="s">
        <v>2068</v>
      </c>
    </row>
    <row r="10" spans="1:17" x14ac:dyDescent="0.35">
      <c r="A10" s="23">
        <v>1004376</v>
      </c>
      <c r="B10" s="23">
        <v>3</v>
      </c>
      <c r="C10" s="23">
        <v>1004401</v>
      </c>
      <c r="D10" s="23" t="s">
        <v>1657</v>
      </c>
      <c r="E10" s="5">
        <v>225</v>
      </c>
      <c r="F10" s="23">
        <v>3</v>
      </c>
      <c r="G10" s="23">
        <v>0</v>
      </c>
      <c r="H10" s="23">
        <v>180</v>
      </c>
      <c r="I10" s="23" t="s">
        <v>24</v>
      </c>
      <c r="J10" s="23" t="s">
        <v>597</v>
      </c>
      <c r="K10" s="23" t="s">
        <v>1823</v>
      </c>
      <c r="L10" s="24">
        <v>45804</v>
      </c>
      <c r="M10" s="28">
        <v>0.15625</v>
      </c>
      <c r="N10" s="3">
        <v>45789</v>
      </c>
      <c r="O10">
        <v>209470</v>
      </c>
      <c r="P10">
        <v>45</v>
      </c>
      <c r="Q10" s="23" t="s">
        <v>2069</v>
      </c>
    </row>
    <row r="11" spans="1:17" x14ac:dyDescent="0.35">
      <c r="A11" s="23">
        <v>1021494</v>
      </c>
      <c r="B11" s="23">
        <v>1</v>
      </c>
      <c r="C11" s="23">
        <v>1021496</v>
      </c>
      <c r="D11" s="23" t="s">
        <v>1824</v>
      </c>
      <c r="E11" s="5">
        <v>10</v>
      </c>
      <c r="F11" s="23">
        <v>1</v>
      </c>
      <c r="G11" s="23">
        <v>0</v>
      </c>
      <c r="H11" s="23">
        <v>0</v>
      </c>
      <c r="I11" s="23" t="s">
        <v>24</v>
      </c>
      <c r="J11" s="23" t="s">
        <v>597</v>
      </c>
      <c r="K11" s="23" t="s">
        <v>1825</v>
      </c>
      <c r="L11" s="23">
        <v>45807</v>
      </c>
      <c r="M11" s="28">
        <v>6.9444444444444441E-3</v>
      </c>
      <c r="N11" s="3">
        <v>45789</v>
      </c>
      <c r="O11">
        <v>231763</v>
      </c>
      <c r="P11">
        <v>45</v>
      </c>
      <c r="Q11" s="23" t="s">
        <v>2070</v>
      </c>
    </row>
    <row r="12" spans="1:17" x14ac:dyDescent="0.35">
      <c r="A12" s="23">
        <v>1008734</v>
      </c>
      <c r="B12" s="23">
        <v>4</v>
      </c>
      <c r="C12" s="23">
        <v>1008736</v>
      </c>
      <c r="D12" s="23" t="s">
        <v>1826</v>
      </c>
      <c r="E12" s="5">
        <v>240</v>
      </c>
      <c r="F12" s="23">
        <v>4</v>
      </c>
      <c r="G12" s="23">
        <v>0</v>
      </c>
      <c r="H12" s="23">
        <v>0</v>
      </c>
      <c r="I12" s="23" t="s">
        <v>24</v>
      </c>
      <c r="J12" s="23" t="s">
        <v>597</v>
      </c>
      <c r="K12" s="23" t="s">
        <v>1827</v>
      </c>
      <c r="L12" s="24">
        <v>45811</v>
      </c>
      <c r="M12" s="28">
        <v>0.16666666666666666</v>
      </c>
      <c r="N12" s="3">
        <v>45790</v>
      </c>
      <c r="O12">
        <v>173565</v>
      </c>
      <c r="P12">
        <v>45</v>
      </c>
      <c r="Q12" s="23" t="s">
        <v>2071</v>
      </c>
    </row>
    <row r="13" spans="1:17" x14ac:dyDescent="0.35">
      <c r="A13" s="23">
        <v>1014421</v>
      </c>
      <c r="B13" s="23">
        <v>16</v>
      </c>
      <c r="C13" s="23">
        <v>1014423</v>
      </c>
      <c r="D13" s="23" t="s">
        <v>1622</v>
      </c>
      <c r="E13" s="5">
        <v>960</v>
      </c>
      <c r="F13" s="23">
        <v>16</v>
      </c>
      <c r="G13" s="23">
        <v>0</v>
      </c>
      <c r="H13" s="23">
        <v>0</v>
      </c>
      <c r="I13" s="23" t="s">
        <v>24</v>
      </c>
      <c r="J13" s="23" t="s">
        <v>597</v>
      </c>
      <c r="K13" s="23" t="s">
        <v>1828</v>
      </c>
      <c r="L13" s="23">
        <v>45821</v>
      </c>
      <c r="M13" s="28">
        <v>0.66666666666666663</v>
      </c>
      <c r="N13" s="3">
        <v>45791</v>
      </c>
      <c r="O13">
        <v>151241</v>
      </c>
      <c r="P13">
        <v>45</v>
      </c>
      <c r="Q13" s="23" t="s">
        <v>2072</v>
      </c>
    </row>
    <row r="14" spans="1:17" x14ac:dyDescent="0.35">
      <c r="A14" s="23">
        <v>1014421</v>
      </c>
      <c r="B14" s="23">
        <v>16</v>
      </c>
      <c r="C14" s="23">
        <v>1014424</v>
      </c>
      <c r="D14" s="23" t="s">
        <v>1621</v>
      </c>
      <c r="E14" s="5">
        <v>320</v>
      </c>
      <c r="F14" s="23">
        <v>16</v>
      </c>
      <c r="G14" s="23">
        <v>0</v>
      </c>
      <c r="H14" s="23">
        <v>0</v>
      </c>
      <c r="I14" s="23" t="s">
        <v>24</v>
      </c>
      <c r="J14" s="23" t="s">
        <v>597</v>
      </c>
      <c r="K14" s="23" t="s">
        <v>1828</v>
      </c>
      <c r="L14" s="23">
        <v>45821</v>
      </c>
      <c r="M14" s="28">
        <v>0.22222222222222221</v>
      </c>
      <c r="N14" s="3">
        <v>45791</v>
      </c>
      <c r="O14">
        <v>151242</v>
      </c>
      <c r="P14">
        <v>45</v>
      </c>
      <c r="Q14" s="23" t="s">
        <v>2073</v>
      </c>
    </row>
    <row r="15" spans="1:17" x14ac:dyDescent="0.35">
      <c r="A15" s="23">
        <v>1012916</v>
      </c>
      <c r="B15" s="23">
        <v>10</v>
      </c>
      <c r="C15" s="23">
        <v>1012920</v>
      </c>
      <c r="D15" s="23" t="s">
        <v>1305</v>
      </c>
      <c r="E15" s="5">
        <v>550.1</v>
      </c>
      <c r="F15" s="23">
        <v>10</v>
      </c>
      <c r="G15" s="23">
        <v>0</v>
      </c>
      <c r="H15" s="23">
        <v>550</v>
      </c>
      <c r="I15" s="23" t="s">
        <v>24</v>
      </c>
      <c r="J15" s="23" t="s">
        <v>597</v>
      </c>
      <c r="K15" s="23" t="s">
        <v>1829</v>
      </c>
      <c r="L15" s="24">
        <v>45811</v>
      </c>
      <c r="M15" s="28">
        <v>0.38201388888888893</v>
      </c>
      <c r="N15" s="3">
        <v>45792</v>
      </c>
      <c r="O15">
        <v>202323</v>
      </c>
      <c r="P15">
        <v>45</v>
      </c>
      <c r="Q15" s="23" t="s">
        <v>2074</v>
      </c>
    </row>
    <row r="16" spans="1:17" x14ac:dyDescent="0.35">
      <c r="A16" s="23">
        <v>1012916</v>
      </c>
      <c r="B16" s="23">
        <v>10</v>
      </c>
      <c r="C16" s="23">
        <v>1012918</v>
      </c>
      <c r="D16" s="23" t="s">
        <v>1307</v>
      </c>
      <c r="E16" s="5">
        <v>250.09999999999997</v>
      </c>
      <c r="F16" s="23">
        <v>10</v>
      </c>
      <c r="G16" s="23">
        <v>0</v>
      </c>
      <c r="H16" s="23">
        <v>250</v>
      </c>
      <c r="I16" s="23" t="s">
        <v>24</v>
      </c>
      <c r="J16" s="23" t="s">
        <v>597</v>
      </c>
      <c r="K16" s="23" t="s">
        <v>1829</v>
      </c>
      <c r="L16" s="24">
        <v>45811</v>
      </c>
      <c r="M16" s="28">
        <v>0.17368055555555556</v>
      </c>
      <c r="N16" s="3">
        <v>45792</v>
      </c>
      <c r="O16">
        <v>202321</v>
      </c>
      <c r="P16">
        <v>45</v>
      </c>
      <c r="Q16" s="23" t="s">
        <v>2075</v>
      </c>
    </row>
    <row r="17" spans="1:17" x14ac:dyDescent="0.35">
      <c r="A17" s="23">
        <v>1012916</v>
      </c>
      <c r="B17" s="23">
        <v>10</v>
      </c>
      <c r="C17" s="23">
        <v>1012924</v>
      </c>
      <c r="D17" s="23" t="s">
        <v>1308</v>
      </c>
      <c r="E17" s="5">
        <v>100.1</v>
      </c>
      <c r="F17" s="23">
        <v>10</v>
      </c>
      <c r="G17" s="23">
        <v>0</v>
      </c>
      <c r="H17" s="23">
        <v>100</v>
      </c>
      <c r="I17" s="23" t="s">
        <v>24</v>
      </c>
      <c r="J17" s="23" t="s">
        <v>597</v>
      </c>
      <c r="K17" s="23" t="s">
        <v>1829</v>
      </c>
      <c r="L17" s="24">
        <v>45811</v>
      </c>
      <c r="M17" s="28">
        <v>6.9513888888888889E-2</v>
      </c>
      <c r="N17" s="3">
        <v>45792</v>
      </c>
      <c r="O17">
        <v>202327</v>
      </c>
      <c r="P17">
        <v>45</v>
      </c>
      <c r="Q17" s="23" t="s">
        <v>2076</v>
      </c>
    </row>
    <row r="18" spans="1:17" x14ac:dyDescent="0.35">
      <c r="A18" s="23">
        <v>1027803</v>
      </c>
      <c r="B18" s="23">
        <v>1</v>
      </c>
      <c r="C18" s="23">
        <v>1027804</v>
      </c>
      <c r="D18" s="23" t="s">
        <v>1830</v>
      </c>
      <c r="E18" s="5">
        <v>180</v>
      </c>
      <c r="F18" s="23">
        <v>1</v>
      </c>
      <c r="G18" s="23">
        <v>0</v>
      </c>
      <c r="H18" s="23">
        <v>0</v>
      </c>
      <c r="I18" s="23" t="s">
        <v>24</v>
      </c>
      <c r="J18" s="23" t="s">
        <v>597</v>
      </c>
      <c r="K18" s="23" t="s">
        <v>1831</v>
      </c>
      <c r="L18" s="23">
        <v>45803</v>
      </c>
      <c r="M18" s="28">
        <v>0.125</v>
      </c>
      <c r="N18" s="3">
        <v>45792</v>
      </c>
      <c r="O18">
        <v>232611</v>
      </c>
      <c r="P18">
        <v>45</v>
      </c>
      <c r="Q18" s="23" t="s">
        <v>2077</v>
      </c>
    </row>
    <row r="19" spans="1:17" x14ac:dyDescent="0.35">
      <c r="A19" s="23">
        <v>1012372</v>
      </c>
      <c r="B19" s="23">
        <v>1</v>
      </c>
      <c r="C19" s="23">
        <v>1012443</v>
      </c>
      <c r="D19" s="23" t="s">
        <v>1832</v>
      </c>
      <c r="E19" s="5">
        <v>7</v>
      </c>
      <c r="F19" s="23">
        <v>1</v>
      </c>
      <c r="G19" s="23">
        <v>0</v>
      </c>
      <c r="H19" s="23">
        <v>0</v>
      </c>
      <c r="I19" s="23" t="s">
        <v>24</v>
      </c>
      <c r="J19" s="23" t="s">
        <v>597</v>
      </c>
      <c r="K19" s="23" t="s">
        <v>1833</v>
      </c>
      <c r="L19" s="23">
        <v>45818</v>
      </c>
      <c r="M19" s="28">
        <v>4.8611111111111112E-3</v>
      </c>
      <c r="N19" s="3">
        <v>45796</v>
      </c>
      <c r="O19">
        <v>179986</v>
      </c>
      <c r="P19">
        <v>45</v>
      </c>
      <c r="Q19" s="23" t="s">
        <v>2078</v>
      </c>
    </row>
    <row r="20" spans="1:17" x14ac:dyDescent="0.35">
      <c r="A20" s="23">
        <v>1014435</v>
      </c>
      <c r="B20" s="23">
        <v>21</v>
      </c>
      <c r="C20" s="23">
        <v>1014437</v>
      </c>
      <c r="D20" s="23" t="s">
        <v>1456</v>
      </c>
      <c r="E20" s="5">
        <v>1260</v>
      </c>
      <c r="F20" s="23">
        <v>21</v>
      </c>
      <c r="G20" s="23">
        <v>0</v>
      </c>
      <c r="H20" s="23">
        <v>0</v>
      </c>
      <c r="I20" s="23" t="s">
        <v>24</v>
      </c>
      <c r="J20" s="23" t="s">
        <v>597</v>
      </c>
      <c r="K20" s="23" t="s">
        <v>1834</v>
      </c>
      <c r="L20" s="24">
        <v>45828</v>
      </c>
      <c r="M20" s="28">
        <v>0.875</v>
      </c>
      <c r="N20" s="3">
        <v>45796</v>
      </c>
      <c r="O20">
        <v>151945</v>
      </c>
      <c r="P20">
        <v>45</v>
      </c>
      <c r="Q20" s="23" t="s">
        <v>2079</v>
      </c>
    </row>
    <row r="21" spans="1:17" x14ac:dyDescent="0.35">
      <c r="A21" s="23">
        <v>1014435</v>
      </c>
      <c r="B21" s="23">
        <v>21</v>
      </c>
      <c r="C21" s="23">
        <v>1014438</v>
      </c>
      <c r="D21" s="23" t="s">
        <v>1587</v>
      </c>
      <c r="E21" s="5">
        <v>420</v>
      </c>
      <c r="F21" s="23">
        <v>21</v>
      </c>
      <c r="G21" s="23">
        <v>0</v>
      </c>
      <c r="H21" s="23">
        <v>0</v>
      </c>
      <c r="I21" s="23" t="s">
        <v>24</v>
      </c>
      <c r="J21" s="23" t="s">
        <v>597</v>
      </c>
      <c r="K21" s="23" t="s">
        <v>1834</v>
      </c>
      <c r="L21" s="23">
        <v>45828</v>
      </c>
      <c r="M21" s="28">
        <v>0.29166666666666669</v>
      </c>
      <c r="N21" s="3">
        <v>45796</v>
      </c>
      <c r="O21">
        <v>151946</v>
      </c>
      <c r="P21">
        <v>45</v>
      </c>
      <c r="Q21" s="23" t="s">
        <v>2080</v>
      </c>
    </row>
    <row r="22" spans="1:17" x14ac:dyDescent="0.35">
      <c r="A22" s="23">
        <v>1015668</v>
      </c>
      <c r="B22" s="23">
        <v>1</v>
      </c>
      <c r="C22" s="23">
        <v>1015699</v>
      </c>
      <c r="D22" s="23" t="s">
        <v>242</v>
      </c>
      <c r="E22" s="5">
        <v>30</v>
      </c>
      <c r="F22" s="23">
        <v>1</v>
      </c>
      <c r="G22" s="23">
        <v>0</v>
      </c>
      <c r="H22" s="23">
        <v>0</v>
      </c>
      <c r="I22" s="23" t="s">
        <v>24</v>
      </c>
      <c r="J22" s="23" t="s">
        <v>597</v>
      </c>
      <c r="K22" s="23" t="s">
        <v>1835</v>
      </c>
      <c r="L22" s="24">
        <v>45813</v>
      </c>
      <c r="M22" s="28">
        <v>2.0833333333333332E-2</v>
      </c>
      <c r="N22" s="3">
        <v>45796</v>
      </c>
      <c r="O22">
        <v>133531</v>
      </c>
      <c r="P22">
        <v>45</v>
      </c>
      <c r="Q22" s="23" t="s">
        <v>2081</v>
      </c>
    </row>
    <row r="23" spans="1:17" x14ac:dyDescent="0.35">
      <c r="A23" s="23">
        <v>1015668</v>
      </c>
      <c r="B23" s="23">
        <v>1</v>
      </c>
      <c r="C23" s="23">
        <v>1015688</v>
      </c>
      <c r="D23" s="23" t="s">
        <v>1836</v>
      </c>
      <c r="E23" s="5">
        <v>10</v>
      </c>
      <c r="F23" s="23">
        <v>1</v>
      </c>
      <c r="G23" s="23">
        <v>0</v>
      </c>
      <c r="H23" s="23">
        <v>0</v>
      </c>
      <c r="I23" s="23" t="s">
        <v>24</v>
      </c>
      <c r="J23" s="23" t="s">
        <v>597</v>
      </c>
      <c r="K23" s="23" t="s">
        <v>1835</v>
      </c>
      <c r="L23" s="23">
        <v>45813</v>
      </c>
      <c r="M23" s="28">
        <v>6.9444444444444441E-3</v>
      </c>
      <c r="N23" s="3">
        <v>45796</v>
      </c>
      <c r="O23">
        <v>133520</v>
      </c>
      <c r="P23">
        <v>45</v>
      </c>
      <c r="Q23" s="23" t="s">
        <v>2082</v>
      </c>
    </row>
    <row r="24" spans="1:17" x14ac:dyDescent="0.35">
      <c r="A24" s="23">
        <v>1015827</v>
      </c>
      <c r="B24" s="23">
        <v>1</v>
      </c>
      <c r="C24" s="23">
        <v>1015858</v>
      </c>
      <c r="D24" s="23" t="s">
        <v>242</v>
      </c>
      <c r="E24" s="5">
        <v>30</v>
      </c>
      <c r="F24" s="23">
        <v>1</v>
      </c>
      <c r="G24" s="23">
        <v>0</v>
      </c>
      <c r="H24" s="23">
        <v>0</v>
      </c>
      <c r="I24" s="23" t="s">
        <v>24</v>
      </c>
      <c r="J24" s="23" t="s">
        <v>597</v>
      </c>
      <c r="K24" s="23" t="s">
        <v>1837</v>
      </c>
      <c r="L24" s="23">
        <v>45813</v>
      </c>
      <c r="M24" s="28">
        <v>2.0833333333333332E-2</v>
      </c>
      <c r="N24" s="3">
        <v>45796</v>
      </c>
      <c r="O24">
        <v>133531</v>
      </c>
      <c r="P24">
        <v>45</v>
      </c>
      <c r="Q24" s="23" t="s">
        <v>2083</v>
      </c>
    </row>
    <row r="25" spans="1:17" x14ac:dyDescent="0.35">
      <c r="A25" s="23">
        <v>1015827</v>
      </c>
      <c r="B25" s="23">
        <v>1</v>
      </c>
      <c r="C25" s="23">
        <v>1015847</v>
      </c>
      <c r="D25" s="23" t="s">
        <v>1836</v>
      </c>
      <c r="E25" s="5">
        <v>10</v>
      </c>
      <c r="F25" s="23">
        <v>1</v>
      </c>
      <c r="G25" s="23">
        <v>0</v>
      </c>
      <c r="H25" s="23">
        <v>0</v>
      </c>
      <c r="I25" s="23" t="s">
        <v>24</v>
      </c>
      <c r="J25" s="23" t="s">
        <v>597</v>
      </c>
      <c r="K25" s="23" t="s">
        <v>1837</v>
      </c>
      <c r="L25" s="24">
        <v>45813</v>
      </c>
      <c r="M25" s="28">
        <v>6.9444444444444441E-3</v>
      </c>
      <c r="N25" s="3">
        <v>45796</v>
      </c>
      <c r="O25">
        <v>133520</v>
      </c>
      <c r="P25">
        <v>45</v>
      </c>
      <c r="Q25" s="23" t="s">
        <v>2084</v>
      </c>
    </row>
    <row r="26" spans="1:17" x14ac:dyDescent="0.35">
      <c r="A26" s="23">
        <v>1017197</v>
      </c>
      <c r="B26" s="23">
        <v>10</v>
      </c>
      <c r="C26" s="23">
        <v>1017201</v>
      </c>
      <c r="D26" s="23" t="s">
        <v>225</v>
      </c>
      <c r="E26" s="5">
        <v>250</v>
      </c>
      <c r="F26" s="23">
        <v>10</v>
      </c>
      <c r="G26" s="23">
        <v>0</v>
      </c>
      <c r="H26" s="23">
        <v>0</v>
      </c>
      <c r="I26" s="23" t="s">
        <v>24</v>
      </c>
      <c r="J26" s="23" t="s">
        <v>597</v>
      </c>
      <c r="K26" s="23" t="s">
        <v>1838</v>
      </c>
      <c r="L26" s="23">
        <v>45828</v>
      </c>
      <c r="M26" s="28">
        <v>0.1736111111111111</v>
      </c>
      <c r="N26" s="3">
        <v>45796</v>
      </c>
      <c r="O26">
        <v>138053</v>
      </c>
      <c r="P26">
        <v>45</v>
      </c>
      <c r="Q26" s="23" t="s">
        <v>2085</v>
      </c>
    </row>
    <row r="27" spans="1:17" x14ac:dyDescent="0.35">
      <c r="A27" s="23">
        <v>1019923</v>
      </c>
      <c r="B27" s="23">
        <v>1</v>
      </c>
      <c r="C27" s="23">
        <v>1019946</v>
      </c>
      <c r="D27" s="23" t="s">
        <v>1839</v>
      </c>
      <c r="E27" s="5">
        <v>20</v>
      </c>
      <c r="F27" s="23">
        <v>6</v>
      </c>
      <c r="G27" s="23">
        <v>0</v>
      </c>
      <c r="H27" s="23">
        <v>0</v>
      </c>
      <c r="I27" s="23" t="s">
        <v>24</v>
      </c>
      <c r="J27" s="23" t="s">
        <v>597</v>
      </c>
      <c r="K27" s="23" t="s">
        <v>1840</v>
      </c>
      <c r="L27" s="24">
        <v>45820</v>
      </c>
      <c r="M27" s="28">
        <v>1.3888888888888888E-2</v>
      </c>
      <c r="N27" s="3">
        <v>45796</v>
      </c>
      <c r="O27">
        <v>183698</v>
      </c>
      <c r="P27">
        <v>45</v>
      </c>
      <c r="Q27" s="23" t="s">
        <v>2086</v>
      </c>
    </row>
    <row r="28" spans="1:17" x14ac:dyDescent="0.35">
      <c r="A28" s="23">
        <v>1019923</v>
      </c>
      <c r="B28" s="23">
        <v>1</v>
      </c>
      <c r="C28" s="23">
        <v>1019926</v>
      </c>
      <c r="D28" s="23" t="s">
        <v>1758</v>
      </c>
      <c r="E28" s="5">
        <v>15</v>
      </c>
      <c r="F28" s="23">
        <v>3</v>
      </c>
      <c r="G28" s="23">
        <v>0</v>
      </c>
      <c r="H28" s="23">
        <v>0</v>
      </c>
      <c r="I28" s="23" t="s">
        <v>24</v>
      </c>
      <c r="J28" s="23" t="s">
        <v>597</v>
      </c>
      <c r="K28" s="23" t="s">
        <v>1840</v>
      </c>
      <c r="L28" s="24">
        <v>45820</v>
      </c>
      <c r="M28" s="28">
        <v>1.0416666666666666E-2</v>
      </c>
      <c r="N28" s="3">
        <v>45796</v>
      </c>
      <c r="O28">
        <v>183678</v>
      </c>
      <c r="P28">
        <v>45</v>
      </c>
      <c r="Q28" s="23" t="s">
        <v>2087</v>
      </c>
    </row>
    <row r="29" spans="1:17" x14ac:dyDescent="0.35">
      <c r="A29" s="23">
        <v>1019923</v>
      </c>
      <c r="B29" s="23">
        <v>1</v>
      </c>
      <c r="C29" s="23">
        <v>1019933</v>
      </c>
      <c r="D29" s="23" t="s">
        <v>1759</v>
      </c>
      <c r="E29" s="5">
        <v>25</v>
      </c>
      <c r="F29" s="23">
        <v>3</v>
      </c>
      <c r="G29" s="23">
        <v>0</v>
      </c>
      <c r="H29" s="23">
        <v>0</v>
      </c>
      <c r="I29" s="23" t="s">
        <v>24</v>
      </c>
      <c r="J29" s="23" t="s">
        <v>597</v>
      </c>
      <c r="K29" s="23" t="s">
        <v>1840</v>
      </c>
      <c r="L29" s="24">
        <v>45820</v>
      </c>
      <c r="M29" s="28">
        <v>1.7361111111111112E-2</v>
      </c>
      <c r="N29" s="3">
        <v>45796</v>
      </c>
      <c r="O29">
        <v>183685</v>
      </c>
      <c r="P29">
        <v>45</v>
      </c>
      <c r="Q29" s="23" t="s">
        <v>2088</v>
      </c>
    </row>
    <row r="30" spans="1:17" x14ac:dyDescent="0.35">
      <c r="A30" s="23">
        <v>1019923</v>
      </c>
      <c r="B30" s="23">
        <v>1</v>
      </c>
      <c r="C30" s="23">
        <v>1019932</v>
      </c>
      <c r="D30" s="23" t="s">
        <v>1757</v>
      </c>
      <c r="E30" s="5">
        <v>22.5</v>
      </c>
      <c r="F30" s="23">
        <v>3</v>
      </c>
      <c r="G30" s="23">
        <v>0</v>
      </c>
      <c r="H30" s="23">
        <v>0</v>
      </c>
      <c r="I30" s="23" t="s">
        <v>24</v>
      </c>
      <c r="J30" s="23" t="s">
        <v>597</v>
      </c>
      <c r="K30" s="23" t="s">
        <v>1840</v>
      </c>
      <c r="L30" s="24">
        <v>45820</v>
      </c>
      <c r="M30" s="28">
        <v>1.5625E-2</v>
      </c>
      <c r="N30" s="3">
        <v>45796</v>
      </c>
      <c r="O30">
        <v>183684</v>
      </c>
      <c r="P30">
        <v>45</v>
      </c>
      <c r="Q30" s="23" t="s">
        <v>2089</v>
      </c>
    </row>
    <row r="31" spans="1:17" x14ac:dyDescent="0.35">
      <c r="A31" s="23">
        <v>1019924</v>
      </c>
      <c r="B31" s="23">
        <v>1</v>
      </c>
      <c r="C31" s="23">
        <v>1019933</v>
      </c>
      <c r="D31" s="23" t="s">
        <v>1759</v>
      </c>
      <c r="E31" s="5">
        <v>25</v>
      </c>
      <c r="F31" s="23">
        <v>3</v>
      </c>
      <c r="G31" s="23">
        <v>0</v>
      </c>
      <c r="H31" s="23">
        <v>0</v>
      </c>
      <c r="I31" s="23" t="s">
        <v>24</v>
      </c>
      <c r="J31" s="23" t="s">
        <v>597</v>
      </c>
      <c r="K31" s="23" t="s">
        <v>1840</v>
      </c>
      <c r="L31" s="24">
        <v>45820</v>
      </c>
      <c r="M31" s="28">
        <v>1.7361111111111112E-2</v>
      </c>
      <c r="N31" s="3">
        <v>45796</v>
      </c>
      <c r="O31">
        <v>183685</v>
      </c>
      <c r="P31">
        <v>45</v>
      </c>
      <c r="Q31" s="23" t="s">
        <v>2090</v>
      </c>
    </row>
    <row r="32" spans="1:17" x14ac:dyDescent="0.35">
      <c r="A32" s="23">
        <v>1019924</v>
      </c>
      <c r="B32" s="23">
        <v>1</v>
      </c>
      <c r="C32" s="23">
        <v>1019946</v>
      </c>
      <c r="D32" s="23" t="s">
        <v>1839</v>
      </c>
      <c r="E32" s="5">
        <v>20</v>
      </c>
      <c r="F32" s="23">
        <v>6</v>
      </c>
      <c r="G32" s="23">
        <v>0</v>
      </c>
      <c r="H32" s="23">
        <v>0</v>
      </c>
      <c r="I32" s="23" t="s">
        <v>24</v>
      </c>
      <c r="J32" s="23" t="s">
        <v>597</v>
      </c>
      <c r="K32" s="23" t="s">
        <v>1840</v>
      </c>
      <c r="L32" s="24">
        <v>45820</v>
      </c>
      <c r="M32" s="28">
        <v>1.3888888888888888E-2</v>
      </c>
      <c r="N32" s="3">
        <v>45796</v>
      </c>
      <c r="O32">
        <v>183698</v>
      </c>
      <c r="P32">
        <v>45</v>
      </c>
      <c r="Q32" s="23" t="s">
        <v>2091</v>
      </c>
    </row>
    <row r="33" spans="1:17" x14ac:dyDescent="0.35">
      <c r="A33" s="23">
        <v>1019924</v>
      </c>
      <c r="B33" s="23">
        <v>1</v>
      </c>
      <c r="C33" s="23">
        <v>1019932</v>
      </c>
      <c r="D33" s="23" t="s">
        <v>1757</v>
      </c>
      <c r="E33" s="5">
        <v>22.5</v>
      </c>
      <c r="F33" s="23">
        <v>3</v>
      </c>
      <c r="G33" s="23">
        <v>0</v>
      </c>
      <c r="H33" s="23">
        <v>0</v>
      </c>
      <c r="I33" s="23" t="s">
        <v>24</v>
      </c>
      <c r="J33" s="23" t="s">
        <v>597</v>
      </c>
      <c r="K33" s="23" t="s">
        <v>1840</v>
      </c>
      <c r="L33" s="24">
        <v>45820</v>
      </c>
      <c r="M33" s="28">
        <v>1.5625E-2</v>
      </c>
      <c r="N33" s="3">
        <v>45796</v>
      </c>
      <c r="O33">
        <v>183684</v>
      </c>
      <c r="P33">
        <v>45</v>
      </c>
      <c r="Q33" s="23" t="s">
        <v>2092</v>
      </c>
    </row>
    <row r="34" spans="1:17" x14ac:dyDescent="0.35">
      <c r="A34" s="23">
        <v>1019924</v>
      </c>
      <c r="B34" s="23">
        <v>1</v>
      </c>
      <c r="C34" s="23">
        <v>1019926</v>
      </c>
      <c r="D34" s="23" t="s">
        <v>1758</v>
      </c>
      <c r="E34" s="5">
        <v>15</v>
      </c>
      <c r="F34" s="23">
        <v>3</v>
      </c>
      <c r="G34" s="23">
        <v>0</v>
      </c>
      <c r="H34" s="23">
        <v>0</v>
      </c>
      <c r="I34" s="23" t="s">
        <v>24</v>
      </c>
      <c r="J34" s="23" t="s">
        <v>597</v>
      </c>
      <c r="K34" s="23" t="s">
        <v>1840</v>
      </c>
      <c r="L34" s="24">
        <v>45820</v>
      </c>
      <c r="M34" s="28">
        <v>1.0416666666666666E-2</v>
      </c>
      <c r="N34" s="3">
        <v>45796</v>
      </c>
      <c r="O34">
        <v>183678</v>
      </c>
      <c r="P34">
        <v>45</v>
      </c>
      <c r="Q34" s="23" t="s">
        <v>2093</v>
      </c>
    </row>
    <row r="35" spans="1:17" x14ac:dyDescent="0.35">
      <c r="A35" s="23">
        <v>1019925</v>
      </c>
      <c r="B35" s="23">
        <v>1</v>
      </c>
      <c r="C35" s="23">
        <v>1019926</v>
      </c>
      <c r="D35" s="23" t="s">
        <v>1758</v>
      </c>
      <c r="E35" s="5">
        <v>15</v>
      </c>
      <c r="F35" s="23">
        <v>3</v>
      </c>
      <c r="G35" s="23">
        <v>0</v>
      </c>
      <c r="H35" s="23">
        <v>0</v>
      </c>
      <c r="I35" s="23" t="s">
        <v>24</v>
      </c>
      <c r="J35" s="23" t="s">
        <v>597</v>
      </c>
      <c r="K35" s="23" t="s">
        <v>1840</v>
      </c>
      <c r="L35" s="24">
        <v>45820</v>
      </c>
      <c r="M35" s="28">
        <v>1.0416666666666666E-2</v>
      </c>
      <c r="N35" s="3">
        <v>45796</v>
      </c>
      <c r="O35">
        <v>183678</v>
      </c>
      <c r="P35">
        <v>45</v>
      </c>
      <c r="Q35" s="23" t="s">
        <v>2094</v>
      </c>
    </row>
    <row r="36" spans="1:17" x14ac:dyDescent="0.35">
      <c r="A36" s="23">
        <v>1019925</v>
      </c>
      <c r="B36" s="23">
        <v>1</v>
      </c>
      <c r="C36" s="23">
        <v>1019933</v>
      </c>
      <c r="D36" s="23" t="s">
        <v>1759</v>
      </c>
      <c r="E36" s="5">
        <v>25</v>
      </c>
      <c r="F36" s="23">
        <v>3</v>
      </c>
      <c r="G36" s="23">
        <v>0</v>
      </c>
      <c r="H36" s="23">
        <v>0</v>
      </c>
      <c r="I36" s="23" t="s">
        <v>24</v>
      </c>
      <c r="J36" s="23" t="s">
        <v>597</v>
      </c>
      <c r="K36" s="23" t="s">
        <v>1840</v>
      </c>
      <c r="L36" s="23">
        <v>45820</v>
      </c>
      <c r="M36" s="28">
        <v>1.7361111111111112E-2</v>
      </c>
      <c r="N36" s="3">
        <v>45796</v>
      </c>
      <c r="O36">
        <v>183685</v>
      </c>
      <c r="P36">
        <v>45</v>
      </c>
      <c r="Q36" s="23" t="s">
        <v>2095</v>
      </c>
    </row>
    <row r="37" spans="1:17" x14ac:dyDescent="0.35">
      <c r="A37" s="23">
        <v>1019925</v>
      </c>
      <c r="B37" s="23">
        <v>1</v>
      </c>
      <c r="C37" s="23">
        <v>1019946</v>
      </c>
      <c r="D37" s="23" t="s">
        <v>1839</v>
      </c>
      <c r="E37" s="5">
        <v>20</v>
      </c>
      <c r="F37" s="23">
        <v>6</v>
      </c>
      <c r="G37" s="23">
        <v>0</v>
      </c>
      <c r="H37" s="23">
        <v>0</v>
      </c>
      <c r="I37" s="23" t="s">
        <v>24</v>
      </c>
      <c r="J37" s="23" t="s">
        <v>597</v>
      </c>
      <c r="K37" s="23" t="s">
        <v>1840</v>
      </c>
      <c r="L37" s="24">
        <v>45820</v>
      </c>
      <c r="M37" s="28">
        <v>1.3888888888888888E-2</v>
      </c>
      <c r="N37" s="3">
        <v>45796</v>
      </c>
      <c r="O37">
        <v>183698</v>
      </c>
      <c r="P37">
        <v>45</v>
      </c>
      <c r="Q37" s="23" t="s">
        <v>2096</v>
      </c>
    </row>
    <row r="38" spans="1:17" x14ac:dyDescent="0.35">
      <c r="A38" s="23">
        <v>1019925</v>
      </c>
      <c r="B38" s="23">
        <v>1</v>
      </c>
      <c r="C38" s="23">
        <v>1019932</v>
      </c>
      <c r="D38" s="23" t="s">
        <v>1757</v>
      </c>
      <c r="E38" s="5">
        <v>22.5</v>
      </c>
      <c r="F38" s="23">
        <v>3</v>
      </c>
      <c r="G38" s="23">
        <v>0</v>
      </c>
      <c r="H38" s="23">
        <v>0</v>
      </c>
      <c r="I38" s="23" t="s">
        <v>24</v>
      </c>
      <c r="J38" s="23" t="s">
        <v>597</v>
      </c>
      <c r="K38" s="23" t="s">
        <v>1840</v>
      </c>
      <c r="L38" s="24">
        <v>45820</v>
      </c>
      <c r="M38" s="28">
        <v>1.5625E-2</v>
      </c>
      <c r="N38" s="3">
        <v>45796</v>
      </c>
      <c r="O38">
        <v>183684</v>
      </c>
      <c r="P38">
        <v>45</v>
      </c>
      <c r="Q38" s="23" t="s">
        <v>2097</v>
      </c>
    </row>
    <row r="39" spans="1:17" x14ac:dyDescent="0.35">
      <c r="A39" s="23">
        <v>1019992</v>
      </c>
      <c r="B39" s="23">
        <v>1</v>
      </c>
      <c r="C39" s="23">
        <v>1020026</v>
      </c>
      <c r="D39" s="23" t="s">
        <v>179</v>
      </c>
      <c r="E39" s="5">
        <v>100</v>
      </c>
      <c r="F39" s="23">
        <v>4</v>
      </c>
      <c r="G39" s="23">
        <v>0</v>
      </c>
      <c r="H39" s="23">
        <v>0</v>
      </c>
      <c r="I39" s="23" t="s">
        <v>24</v>
      </c>
      <c r="J39" s="23" t="s">
        <v>597</v>
      </c>
      <c r="K39" s="23" t="s">
        <v>1841</v>
      </c>
      <c r="L39" s="23">
        <v>45838</v>
      </c>
      <c r="M39" s="28">
        <v>6.9444444444444448E-2</v>
      </c>
      <c r="N39" s="3">
        <v>45796</v>
      </c>
      <c r="O39">
        <v>140061</v>
      </c>
      <c r="P39">
        <v>45</v>
      </c>
      <c r="Q39" s="23" t="s">
        <v>2098</v>
      </c>
    </row>
    <row r="40" spans="1:17" x14ac:dyDescent="0.35">
      <c r="A40" s="23">
        <v>1019992</v>
      </c>
      <c r="B40" s="23">
        <v>1</v>
      </c>
      <c r="C40" s="23">
        <v>1020006</v>
      </c>
      <c r="D40" s="23" t="s">
        <v>1653</v>
      </c>
      <c r="E40" s="5">
        <v>80</v>
      </c>
      <c r="F40" s="23">
        <v>4</v>
      </c>
      <c r="G40" s="23">
        <v>0</v>
      </c>
      <c r="H40" s="23">
        <v>0</v>
      </c>
      <c r="I40" s="23" t="s">
        <v>24</v>
      </c>
      <c r="J40" s="23" t="s">
        <v>597</v>
      </c>
      <c r="K40" s="23" t="s">
        <v>1841</v>
      </c>
      <c r="L40" s="24">
        <v>45838</v>
      </c>
      <c r="M40" s="28">
        <v>5.5555555555555552E-2</v>
      </c>
      <c r="N40" s="3">
        <v>45796</v>
      </c>
      <c r="O40">
        <v>140041</v>
      </c>
      <c r="P40">
        <v>45</v>
      </c>
      <c r="Q40" s="23" t="s">
        <v>2099</v>
      </c>
    </row>
    <row r="41" spans="1:17" x14ac:dyDescent="0.35">
      <c r="A41" s="23">
        <v>1019993</v>
      </c>
      <c r="B41" s="23">
        <v>1</v>
      </c>
      <c r="C41" s="23">
        <v>1020026</v>
      </c>
      <c r="D41" s="23" t="s">
        <v>179</v>
      </c>
      <c r="E41" s="5">
        <v>100</v>
      </c>
      <c r="F41" s="23">
        <v>4</v>
      </c>
      <c r="G41" s="23">
        <v>0</v>
      </c>
      <c r="H41" s="23">
        <v>0</v>
      </c>
      <c r="I41" s="23" t="s">
        <v>24</v>
      </c>
      <c r="J41" s="23" t="s">
        <v>597</v>
      </c>
      <c r="K41" s="23" t="s">
        <v>1841</v>
      </c>
      <c r="L41" s="23">
        <v>45838</v>
      </c>
      <c r="M41" s="28">
        <v>6.9444444444444448E-2</v>
      </c>
      <c r="N41" s="3">
        <v>45796</v>
      </c>
      <c r="O41">
        <v>140061</v>
      </c>
      <c r="P41">
        <v>45</v>
      </c>
      <c r="Q41" s="23" t="s">
        <v>2100</v>
      </c>
    </row>
    <row r="42" spans="1:17" x14ac:dyDescent="0.35">
      <c r="A42" s="23">
        <v>1019993</v>
      </c>
      <c r="B42" s="23">
        <v>1</v>
      </c>
      <c r="C42" s="23">
        <v>1020006</v>
      </c>
      <c r="D42" s="23" t="s">
        <v>1653</v>
      </c>
      <c r="E42" s="5">
        <v>80</v>
      </c>
      <c r="F42" s="23">
        <v>4</v>
      </c>
      <c r="G42" s="23">
        <v>0</v>
      </c>
      <c r="H42" s="23">
        <v>0</v>
      </c>
      <c r="I42" s="23" t="s">
        <v>24</v>
      </c>
      <c r="J42" s="23" t="s">
        <v>597</v>
      </c>
      <c r="K42" s="23" t="s">
        <v>1841</v>
      </c>
      <c r="L42" s="24">
        <v>45838</v>
      </c>
      <c r="M42" s="28">
        <v>5.5555555555555552E-2</v>
      </c>
      <c r="N42" s="3">
        <v>45796</v>
      </c>
      <c r="O42">
        <v>140041</v>
      </c>
      <c r="P42">
        <v>45</v>
      </c>
      <c r="Q42" s="23" t="s">
        <v>2101</v>
      </c>
    </row>
    <row r="43" spans="1:17" x14ac:dyDescent="0.35">
      <c r="A43" s="23">
        <v>1019994</v>
      </c>
      <c r="B43" s="23">
        <v>1</v>
      </c>
      <c r="C43" s="23">
        <v>1020006</v>
      </c>
      <c r="D43" s="23" t="s">
        <v>1653</v>
      </c>
      <c r="E43" s="5">
        <v>80</v>
      </c>
      <c r="F43" s="23">
        <v>4</v>
      </c>
      <c r="G43" s="23">
        <v>0</v>
      </c>
      <c r="H43" s="23">
        <v>0</v>
      </c>
      <c r="I43" s="23" t="s">
        <v>24</v>
      </c>
      <c r="J43" s="23" t="s">
        <v>597</v>
      </c>
      <c r="K43" s="23" t="s">
        <v>1841</v>
      </c>
      <c r="L43" s="24">
        <v>45838</v>
      </c>
      <c r="M43" s="28">
        <v>5.5555555555555552E-2</v>
      </c>
      <c r="N43" s="3">
        <v>45796</v>
      </c>
      <c r="O43">
        <v>140041</v>
      </c>
      <c r="P43">
        <v>45</v>
      </c>
      <c r="Q43" s="23" t="s">
        <v>2102</v>
      </c>
    </row>
    <row r="44" spans="1:17" x14ac:dyDescent="0.35">
      <c r="A44" s="23">
        <v>1019994</v>
      </c>
      <c r="B44" s="23">
        <v>1</v>
      </c>
      <c r="C44" s="23">
        <v>1020026</v>
      </c>
      <c r="D44" s="23" t="s">
        <v>179</v>
      </c>
      <c r="E44" s="5">
        <v>100</v>
      </c>
      <c r="F44" s="23">
        <v>4</v>
      </c>
      <c r="G44" s="23">
        <v>0</v>
      </c>
      <c r="H44" s="23">
        <v>0</v>
      </c>
      <c r="I44" s="23" t="s">
        <v>24</v>
      </c>
      <c r="J44" s="23" t="s">
        <v>597</v>
      </c>
      <c r="K44" s="23" t="s">
        <v>1841</v>
      </c>
      <c r="L44" s="23">
        <v>45838</v>
      </c>
      <c r="M44" s="28">
        <v>6.9444444444444448E-2</v>
      </c>
      <c r="N44" s="3">
        <v>45796</v>
      </c>
      <c r="O44">
        <v>140061</v>
      </c>
      <c r="P44">
        <v>45</v>
      </c>
      <c r="Q44" s="23" t="s">
        <v>2103</v>
      </c>
    </row>
    <row r="45" spans="1:17" x14ac:dyDescent="0.35">
      <c r="A45" s="23">
        <v>1019995</v>
      </c>
      <c r="B45" s="23">
        <v>1</v>
      </c>
      <c r="C45" s="23">
        <v>1020006</v>
      </c>
      <c r="D45" s="23" t="s">
        <v>1653</v>
      </c>
      <c r="E45" s="5">
        <v>80</v>
      </c>
      <c r="F45" s="23">
        <v>4</v>
      </c>
      <c r="G45" s="23">
        <v>0</v>
      </c>
      <c r="H45" s="23">
        <v>0</v>
      </c>
      <c r="I45" s="23" t="s">
        <v>24</v>
      </c>
      <c r="J45" s="23" t="s">
        <v>597</v>
      </c>
      <c r="K45" s="23" t="s">
        <v>1841</v>
      </c>
      <c r="L45" s="24">
        <v>45838</v>
      </c>
      <c r="M45" s="28">
        <v>5.5555555555555552E-2</v>
      </c>
      <c r="N45" s="3">
        <v>45796</v>
      </c>
      <c r="O45">
        <v>140041</v>
      </c>
      <c r="P45">
        <v>45</v>
      </c>
      <c r="Q45" s="23" t="s">
        <v>2104</v>
      </c>
    </row>
    <row r="46" spans="1:17" x14ac:dyDescent="0.35">
      <c r="A46" s="23">
        <v>1019995</v>
      </c>
      <c r="B46" s="23">
        <v>1</v>
      </c>
      <c r="C46" s="23">
        <v>1020026</v>
      </c>
      <c r="D46" s="23" t="s">
        <v>179</v>
      </c>
      <c r="E46" s="5">
        <v>100</v>
      </c>
      <c r="F46" s="23">
        <v>4</v>
      </c>
      <c r="G46" s="23">
        <v>0</v>
      </c>
      <c r="H46" s="23">
        <v>0</v>
      </c>
      <c r="I46" s="23" t="s">
        <v>24</v>
      </c>
      <c r="J46" s="23" t="s">
        <v>597</v>
      </c>
      <c r="K46" s="23" t="s">
        <v>1841</v>
      </c>
      <c r="L46" s="24">
        <v>45838</v>
      </c>
      <c r="M46" s="28">
        <v>6.9444444444444448E-2</v>
      </c>
      <c r="N46" s="3">
        <v>45796</v>
      </c>
      <c r="O46">
        <v>140061</v>
      </c>
      <c r="P46">
        <v>45</v>
      </c>
      <c r="Q46" s="23" t="s">
        <v>2105</v>
      </c>
    </row>
    <row r="47" spans="1:17" x14ac:dyDescent="0.35">
      <c r="A47" s="23">
        <v>1024468</v>
      </c>
      <c r="B47" s="23">
        <v>3</v>
      </c>
      <c r="C47" s="23">
        <v>1024464</v>
      </c>
      <c r="D47" s="23" t="s">
        <v>305</v>
      </c>
      <c r="E47" s="5">
        <v>30</v>
      </c>
      <c r="F47" s="23">
        <v>3</v>
      </c>
      <c r="G47" s="23">
        <v>0</v>
      </c>
      <c r="H47" s="23">
        <v>0</v>
      </c>
      <c r="I47" s="23" t="s">
        <v>24</v>
      </c>
      <c r="J47" s="23" t="s">
        <v>597</v>
      </c>
      <c r="K47" s="23" t="s">
        <v>1842</v>
      </c>
      <c r="L47" s="24">
        <v>45807</v>
      </c>
      <c r="M47" s="28">
        <v>2.0833333333333332E-2</v>
      </c>
      <c r="N47" s="3">
        <v>45796</v>
      </c>
      <c r="O47">
        <v>156913</v>
      </c>
      <c r="P47">
        <v>45</v>
      </c>
      <c r="Q47" s="23" t="s">
        <v>2106</v>
      </c>
    </row>
    <row r="48" spans="1:17" x14ac:dyDescent="0.35">
      <c r="A48" s="23">
        <v>1024792</v>
      </c>
      <c r="B48" s="23">
        <v>5</v>
      </c>
      <c r="C48" s="23">
        <v>1024788</v>
      </c>
      <c r="D48" s="23" t="s">
        <v>305</v>
      </c>
      <c r="E48" s="5">
        <v>50</v>
      </c>
      <c r="F48" s="23">
        <v>5</v>
      </c>
      <c r="G48" s="23">
        <v>3</v>
      </c>
      <c r="H48" s="23">
        <v>30</v>
      </c>
      <c r="I48" s="23" t="s">
        <v>24</v>
      </c>
      <c r="J48" s="23" t="s">
        <v>597</v>
      </c>
      <c r="K48" s="23" t="s">
        <v>1843</v>
      </c>
      <c r="L48" s="24">
        <v>45818</v>
      </c>
      <c r="M48" s="28">
        <v>3.4722222222222224E-2</v>
      </c>
      <c r="N48" s="3">
        <v>45796</v>
      </c>
      <c r="O48">
        <v>156913</v>
      </c>
      <c r="P48">
        <v>45</v>
      </c>
      <c r="Q48" s="23" t="s">
        <v>2107</v>
      </c>
    </row>
    <row r="49" spans="1:17" x14ac:dyDescent="0.35">
      <c r="A49" s="23">
        <v>1025488</v>
      </c>
      <c r="B49" s="23">
        <v>1</v>
      </c>
      <c r="C49" s="23">
        <v>1025505</v>
      </c>
      <c r="D49" s="23" t="s">
        <v>1844</v>
      </c>
      <c r="E49" s="5">
        <v>120</v>
      </c>
      <c r="F49" s="23">
        <v>1</v>
      </c>
      <c r="G49" s="23">
        <v>0</v>
      </c>
      <c r="H49" s="23">
        <v>0</v>
      </c>
      <c r="I49" s="23" t="s">
        <v>24</v>
      </c>
      <c r="J49" s="23" t="s">
        <v>597</v>
      </c>
      <c r="K49" s="23" t="s">
        <v>1845</v>
      </c>
      <c r="L49" s="24">
        <v>45825</v>
      </c>
      <c r="M49" s="28">
        <v>8.3333333333333329E-2</v>
      </c>
      <c r="N49" s="3">
        <v>45796</v>
      </c>
      <c r="O49">
        <v>232481</v>
      </c>
      <c r="P49">
        <v>45</v>
      </c>
      <c r="Q49" s="23" t="s">
        <v>2108</v>
      </c>
    </row>
    <row r="50" spans="1:17" x14ac:dyDescent="0.35">
      <c r="A50" s="23">
        <v>1025526</v>
      </c>
      <c r="B50" s="23">
        <v>1</v>
      </c>
      <c r="C50" s="23">
        <v>1025528</v>
      </c>
      <c r="D50" s="23" t="s">
        <v>1813</v>
      </c>
      <c r="E50" s="5">
        <v>10</v>
      </c>
      <c r="F50" s="23">
        <v>1</v>
      </c>
      <c r="G50" s="23">
        <v>0</v>
      </c>
      <c r="H50" s="23">
        <v>0</v>
      </c>
      <c r="I50" s="23" t="s">
        <v>24</v>
      </c>
      <c r="J50" s="23" t="s">
        <v>597</v>
      </c>
      <c r="K50" s="23" t="s">
        <v>1846</v>
      </c>
      <c r="L50" s="24">
        <v>45817</v>
      </c>
      <c r="M50" s="28">
        <v>6.9444444444444441E-3</v>
      </c>
      <c r="N50" s="3">
        <v>45796</v>
      </c>
      <c r="O50">
        <v>230516</v>
      </c>
      <c r="P50">
        <v>45</v>
      </c>
      <c r="Q50" s="23" t="s">
        <v>2109</v>
      </c>
    </row>
    <row r="51" spans="1:17" x14ac:dyDescent="0.35">
      <c r="A51" s="23">
        <v>1025546</v>
      </c>
      <c r="B51" s="23">
        <v>1</v>
      </c>
      <c r="C51" s="23">
        <v>1025547</v>
      </c>
      <c r="D51" s="23" t="s">
        <v>1847</v>
      </c>
      <c r="E51" s="5">
        <v>10</v>
      </c>
      <c r="F51" s="23">
        <v>1</v>
      </c>
      <c r="G51" s="23">
        <v>0</v>
      </c>
      <c r="H51" s="23">
        <v>0</v>
      </c>
      <c r="I51" s="23" t="s">
        <v>24</v>
      </c>
      <c r="J51" s="23" t="s">
        <v>597</v>
      </c>
      <c r="K51" s="23" t="s">
        <v>1848</v>
      </c>
      <c r="L51" s="23">
        <v>45817</v>
      </c>
      <c r="M51" s="28">
        <v>6.9444444444444441E-3</v>
      </c>
      <c r="N51" s="3">
        <v>45796</v>
      </c>
      <c r="O51">
        <v>230502</v>
      </c>
      <c r="P51">
        <v>45</v>
      </c>
      <c r="Q51" s="23" t="s">
        <v>2110</v>
      </c>
    </row>
    <row r="52" spans="1:17" x14ac:dyDescent="0.35">
      <c r="A52" s="23">
        <v>921689</v>
      </c>
      <c r="B52" s="23">
        <v>1</v>
      </c>
      <c r="C52" s="23">
        <v>921691</v>
      </c>
      <c r="D52" s="23" t="s">
        <v>1460</v>
      </c>
      <c r="E52" s="5">
        <v>10</v>
      </c>
      <c r="F52" s="23">
        <v>2</v>
      </c>
      <c r="G52" s="23">
        <v>0</v>
      </c>
      <c r="H52" s="23">
        <v>0</v>
      </c>
      <c r="I52" s="23" t="s">
        <v>24</v>
      </c>
      <c r="J52" s="23" t="s">
        <v>597</v>
      </c>
      <c r="K52" s="23" t="s">
        <v>1461</v>
      </c>
      <c r="L52" s="24">
        <v>45807</v>
      </c>
      <c r="M52" s="28">
        <v>6.9444444444444441E-3</v>
      </c>
      <c r="N52" s="3">
        <v>45797</v>
      </c>
      <c r="O52">
        <v>185726</v>
      </c>
      <c r="P52">
        <v>45</v>
      </c>
      <c r="Q52" s="23" t="s">
        <v>1732</v>
      </c>
    </row>
    <row r="53" spans="1:17" x14ac:dyDescent="0.35">
      <c r="A53" s="23">
        <v>921690</v>
      </c>
      <c r="B53" s="23">
        <v>1</v>
      </c>
      <c r="C53" s="23">
        <v>921691</v>
      </c>
      <c r="D53" s="23" t="s">
        <v>1460</v>
      </c>
      <c r="E53" s="5">
        <v>10</v>
      </c>
      <c r="F53" s="23">
        <v>2</v>
      </c>
      <c r="G53" s="23">
        <v>0</v>
      </c>
      <c r="H53" s="23">
        <v>0</v>
      </c>
      <c r="I53" s="23" t="s">
        <v>24</v>
      </c>
      <c r="J53" s="23" t="s">
        <v>597</v>
      </c>
      <c r="K53" s="23" t="s">
        <v>1461</v>
      </c>
      <c r="L53" s="23">
        <v>45807</v>
      </c>
      <c r="M53" s="28">
        <v>6.9444444444444441E-3</v>
      </c>
      <c r="N53" s="3">
        <v>45797</v>
      </c>
      <c r="O53">
        <v>185726</v>
      </c>
      <c r="P53">
        <v>45</v>
      </c>
      <c r="Q53" s="23" t="s">
        <v>1733</v>
      </c>
    </row>
    <row r="54" spans="1:17" x14ac:dyDescent="0.35">
      <c r="A54" s="23">
        <v>1012609</v>
      </c>
      <c r="B54" s="23">
        <v>3</v>
      </c>
      <c r="C54" s="23">
        <v>1012626</v>
      </c>
      <c r="D54" s="23" t="s">
        <v>592</v>
      </c>
      <c r="E54" s="5">
        <v>270</v>
      </c>
      <c r="F54" s="23">
        <v>9</v>
      </c>
      <c r="G54" s="23">
        <v>0</v>
      </c>
      <c r="H54" s="23">
        <v>0</v>
      </c>
      <c r="I54" s="23" t="s">
        <v>24</v>
      </c>
      <c r="J54" s="23" t="s">
        <v>597</v>
      </c>
      <c r="K54" s="23" t="s">
        <v>1849</v>
      </c>
      <c r="L54" s="24">
        <v>45811</v>
      </c>
      <c r="M54" s="28">
        <v>0.1875</v>
      </c>
      <c r="N54" s="3">
        <v>45797</v>
      </c>
      <c r="O54">
        <v>122098</v>
      </c>
      <c r="P54">
        <v>45</v>
      </c>
      <c r="Q54" s="23" t="s">
        <v>2111</v>
      </c>
    </row>
    <row r="55" spans="1:17" x14ac:dyDescent="0.35">
      <c r="A55" s="23">
        <v>1012609</v>
      </c>
      <c r="B55" s="23">
        <v>3</v>
      </c>
      <c r="C55" s="23">
        <v>1012627</v>
      </c>
      <c r="D55" s="23" t="s">
        <v>1850</v>
      </c>
      <c r="E55" s="5">
        <v>135</v>
      </c>
      <c r="F55" s="23">
        <v>3</v>
      </c>
      <c r="G55" s="23">
        <v>0</v>
      </c>
      <c r="H55" s="23">
        <v>0</v>
      </c>
      <c r="I55" s="23" t="s">
        <v>24</v>
      </c>
      <c r="J55" s="23" t="s">
        <v>597</v>
      </c>
      <c r="K55" s="23" t="s">
        <v>1849</v>
      </c>
      <c r="L55" s="24">
        <v>45811</v>
      </c>
      <c r="M55" s="28">
        <v>9.375E-2</v>
      </c>
      <c r="N55" s="3">
        <v>45797</v>
      </c>
      <c r="O55">
        <v>122099</v>
      </c>
      <c r="P55">
        <v>45</v>
      </c>
      <c r="Q55" s="23" t="s">
        <v>2112</v>
      </c>
    </row>
    <row r="56" spans="1:17" x14ac:dyDescent="0.35">
      <c r="A56" s="23">
        <v>1019890</v>
      </c>
      <c r="B56" s="23">
        <v>1</v>
      </c>
      <c r="C56" s="23">
        <v>1019899</v>
      </c>
      <c r="D56" s="23" t="s">
        <v>1765</v>
      </c>
      <c r="E56" s="5">
        <v>13</v>
      </c>
      <c r="F56" s="23">
        <v>2</v>
      </c>
      <c r="G56" s="23">
        <v>0</v>
      </c>
      <c r="H56" s="23">
        <v>0</v>
      </c>
      <c r="I56" s="23" t="s">
        <v>24</v>
      </c>
      <c r="J56" s="23" t="s">
        <v>597</v>
      </c>
      <c r="K56" s="23" t="s">
        <v>1851</v>
      </c>
      <c r="L56" s="23">
        <v>45818</v>
      </c>
      <c r="M56" s="28">
        <v>9.0277777777777769E-3</v>
      </c>
      <c r="N56" s="3">
        <v>45798</v>
      </c>
      <c r="O56">
        <v>182183</v>
      </c>
      <c r="P56">
        <v>45</v>
      </c>
      <c r="Q56" s="23" t="s">
        <v>2113</v>
      </c>
    </row>
    <row r="57" spans="1:17" x14ac:dyDescent="0.35">
      <c r="A57" s="23">
        <v>1019890</v>
      </c>
      <c r="B57" s="23">
        <v>1</v>
      </c>
      <c r="C57" s="23">
        <v>1019900</v>
      </c>
      <c r="D57" s="23" t="s">
        <v>1764</v>
      </c>
      <c r="E57" s="5">
        <v>15</v>
      </c>
      <c r="F57" s="23">
        <v>2</v>
      </c>
      <c r="G57" s="23">
        <v>0</v>
      </c>
      <c r="H57" s="23">
        <v>0</v>
      </c>
      <c r="I57" s="23" t="s">
        <v>24</v>
      </c>
      <c r="J57" s="23" t="s">
        <v>597</v>
      </c>
      <c r="K57" s="23" t="s">
        <v>1851</v>
      </c>
      <c r="L57" s="24">
        <v>45818</v>
      </c>
      <c r="M57" s="28">
        <v>1.0416666666666666E-2</v>
      </c>
      <c r="N57" s="3">
        <v>45798</v>
      </c>
      <c r="O57">
        <v>182184</v>
      </c>
      <c r="P57">
        <v>45</v>
      </c>
      <c r="Q57" s="23" t="s">
        <v>2114</v>
      </c>
    </row>
    <row r="58" spans="1:17" x14ac:dyDescent="0.35">
      <c r="A58" s="23">
        <v>1019890</v>
      </c>
      <c r="B58" s="23">
        <v>1</v>
      </c>
      <c r="C58" s="23">
        <v>1019898</v>
      </c>
      <c r="D58" s="23" t="s">
        <v>1763</v>
      </c>
      <c r="E58" s="5">
        <v>15</v>
      </c>
      <c r="F58" s="23">
        <v>2</v>
      </c>
      <c r="G58" s="23">
        <v>0</v>
      </c>
      <c r="H58" s="23">
        <v>0</v>
      </c>
      <c r="I58" s="23" t="s">
        <v>24</v>
      </c>
      <c r="J58" s="23" t="s">
        <v>597</v>
      </c>
      <c r="K58" s="23" t="s">
        <v>1851</v>
      </c>
      <c r="L58" s="24">
        <v>45818</v>
      </c>
      <c r="M58" s="28">
        <v>1.0416666666666666E-2</v>
      </c>
      <c r="N58" s="3">
        <v>45798</v>
      </c>
      <c r="O58">
        <v>182182</v>
      </c>
      <c r="P58">
        <v>45</v>
      </c>
      <c r="Q58" s="23" t="s">
        <v>2115</v>
      </c>
    </row>
    <row r="59" spans="1:17" x14ac:dyDescent="0.35">
      <c r="A59" s="23">
        <v>1019890</v>
      </c>
      <c r="B59" s="23">
        <v>1</v>
      </c>
      <c r="C59" s="23">
        <v>1019897</v>
      </c>
      <c r="D59" s="23" t="s">
        <v>1762</v>
      </c>
      <c r="E59" s="5">
        <v>15</v>
      </c>
      <c r="F59" s="23">
        <v>2</v>
      </c>
      <c r="G59" s="23">
        <v>0</v>
      </c>
      <c r="H59" s="23">
        <v>0</v>
      </c>
      <c r="I59" s="23" t="s">
        <v>24</v>
      </c>
      <c r="J59" s="23" t="s">
        <v>597</v>
      </c>
      <c r="K59" s="23" t="s">
        <v>1851</v>
      </c>
      <c r="L59" s="24">
        <v>45818</v>
      </c>
      <c r="M59" s="28">
        <v>1.0416666666666666E-2</v>
      </c>
      <c r="N59" s="3">
        <v>45798</v>
      </c>
      <c r="O59">
        <v>182181</v>
      </c>
      <c r="P59">
        <v>45</v>
      </c>
      <c r="Q59" s="23" t="s">
        <v>2116</v>
      </c>
    </row>
    <row r="60" spans="1:17" x14ac:dyDescent="0.35">
      <c r="A60" s="23">
        <v>1019890</v>
      </c>
      <c r="B60" s="23">
        <v>1</v>
      </c>
      <c r="C60" s="23">
        <v>1019892</v>
      </c>
      <c r="D60" s="23" t="s">
        <v>611</v>
      </c>
      <c r="E60" s="5">
        <v>15</v>
      </c>
      <c r="F60" s="23">
        <v>2</v>
      </c>
      <c r="G60" s="23">
        <v>0</v>
      </c>
      <c r="H60" s="23">
        <v>0</v>
      </c>
      <c r="I60" s="23" t="s">
        <v>24</v>
      </c>
      <c r="J60" s="23" t="s">
        <v>597</v>
      </c>
      <c r="K60" s="23" t="s">
        <v>1851</v>
      </c>
      <c r="L60" s="24">
        <v>45818</v>
      </c>
      <c r="M60" s="28">
        <v>1.0416666666666666E-2</v>
      </c>
      <c r="N60" s="3">
        <v>45798</v>
      </c>
      <c r="O60">
        <v>182176</v>
      </c>
      <c r="P60">
        <v>45</v>
      </c>
      <c r="Q60" s="23" t="s">
        <v>2117</v>
      </c>
    </row>
    <row r="61" spans="1:17" x14ac:dyDescent="0.35">
      <c r="A61" s="23">
        <v>1019891</v>
      </c>
      <c r="B61" s="23">
        <v>1</v>
      </c>
      <c r="C61" s="23">
        <v>1019898</v>
      </c>
      <c r="D61" s="23" t="s">
        <v>1763</v>
      </c>
      <c r="E61" s="5">
        <v>15</v>
      </c>
      <c r="F61" s="23">
        <v>2</v>
      </c>
      <c r="G61" s="23">
        <v>0</v>
      </c>
      <c r="H61" s="23">
        <v>0</v>
      </c>
      <c r="I61" s="23" t="s">
        <v>24</v>
      </c>
      <c r="J61" s="23" t="s">
        <v>597</v>
      </c>
      <c r="K61" s="23" t="s">
        <v>1851</v>
      </c>
      <c r="L61" s="24">
        <v>45818</v>
      </c>
      <c r="M61" s="28">
        <v>1.0416666666666666E-2</v>
      </c>
      <c r="N61" s="3">
        <v>45798</v>
      </c>
      <c r="O61">
        <v>182182</v>
      </c>
      <c r="P61">
        <v>45</v>
      </c>
      <c r="Q61" s="23" t="s">
        <v>2118</v>
      </c>
    </row>
    <row r="62" spans="1:17" x14ac:dyDescent="0.35">
      <c r="A62" s="23">
        <v>1019891</v>
      </c>
      <c r="B62" s="23">
        <v>1</v>
      </c>
      <c r="C62" s="23">
        <v>1019899</v>
      </c>
      <c r="D62" s="23" t="s">
        <v>1765</v>
      </c>
      <c r="E62" s="5">
        <v>13</v>
      </c>
      <c r="F62" s="23">
        <v>2</v>
      </c>
      <c r="G62" s="23">
        <v>0</v>
      </c>
      <c r="H62" s="23">
        <v>0</v>
      </c>
      <c r="I62" s="23" t="s">
        <v>24</v>
      </c>
      <c r="J62" s="23" t="s">
        <v>597</v>
      </c>
      <c r="K62" s="23" t="s">
        <v>1851</v>
      </c>
      <c r="L62" s="24">
        <v>45818</v>
      </c>
      <c r="M62" s="28">
        <v>9.0277777777777769E-3</v>
      </c>
      <c r="N62" s="3">
        <v>45798</v>
      </c>
      <c r="O62">
        <v>182183</v>
      </c>
      <c r="P62">
        <v>45</v>
      </c>
      <c r="Q62" s="23" t="s">
        <v>2119</v>
      </c>
    </row>
    <row r="63" spans="1:17" x14ac:dyDescent="0.35">
      <c r="A63" s="23">
        <v>1019891</v>
      </c>
      <c r="B63" s="23">
        <v>1</v>
      </c>
      <c r="C63" s="23">
        <v>1019900</v>
      </c>
      <c r="D63" s="23" t="s">
        <v>1764</v>
      </c>
      <c r="E63" s="5">
        <v>15</v>
      </c>
      <c r="F63" s="23">
        <v>2</v>
      </c>
      <c r="G63" s="23">
        <v>0</v>
      </c>
      <c r="H63" s="23">
        <v>0</v>
      </c>
      <c r="I63" s="23" t="s">
        <v>24</v>
      </c>
      <c r="J63" s="23" t="s">
        <v>597</v>
      </c>
      <c r="K63" s="23" t="s">
        <v>1851</v>
      </c>
      <c r="L63" s="23">
        <v>45818</v>
      </c>
      <c r="M63" s="28">
        <v>1.0416666666666666E-2</v>
      </c>
      <c r="N63" s="3">
        <v>45798</v>
      </c>
      <c r="O63">
        <v>182184</v>
      </c>
      <c r="P63">
        <v>45</v>
      </c>
      <c r="Q63" s="23" t="s">
        <v>2120</v>
      </c>
    </row>
    <row r="64" spans="1:17" x14ac:dyDescent="0.35">
      <c r="A64" s="23">
        <v>1019891</v>
      </c>
      <c r="B64" s="23">
        <v>1</v>
      </c>
      <c r="C64" s="23">
        <v>1019892</v>
      </c>
      <c r="D64" s="23" t="s">
        <v>611</v>
      </c>
      <c r="E64" s="5">
        <v>15</v>
      </c>
      <c r="F64" s="23">
        <v>2</v>
      </c>
      <c r="G64" s="23">
        <v>0</v>
      </c>
      <c r="H64" s="23">
        <v>0</v>
      </c>
      <c r="I64" s="23" t="s">
        <v>24</v>
      </c>
      <c r="J64" s="23" t="s">
        <v>597</v>
      </c>
      <c r="K64" s="23" t="s">
        <v>1851</v>
      </c>
      <c r="L64" s="24">
        <v>45818</v>
      </c>
      <c r="M64" s="28">
        <v>1.0416666666666666E-2</v>
      </c>
      <c r="N64" s="3">
        <v>45798</v>
      </c>
      <c r="O64">
        <v>182176</v>
      </c>
      <c r="P64">
        <v>45</v>
      </c>
      <c r="Q64" s="23" t="s">
        <v>2121</v>
      </c>
    </row>
    <row r="65" spans="1:17" x14ac:dyDescent="0.35">
      <c r="A65" s="23">
        <v>1019891</v>
      </c>
      <c r="B65" s="23">
        <v>1</v>
      </c>
      <c r="C65" s="23">
        <v>1019897</v>
      </c>
      <c r="D65" s="23" t="s">
        <v>1762</v>
      </c>
      <c r="E65" s="5">
        <v>15</v>
      </c>
      <c r="F65" s="23">
        <v>2</v>
      </c>
      <c r="G65" s="23">
        <v>0</v>
      </c>
      <c r="H65" s="23">
        <v>0</v>
      </c>
      <c r="I65" s="23" t="s">
        <v>24</v>
      </c>
      <c r="J65" s="23" t="s">
        <v>597</v>
      </c>
      <c r="K65" s="23" t="s">
        <v>1851</v>
      </c>
      <c r="L65" s="24">
        <v>45818</v>
      </c>
      <c r="M65" s="28">
        <v>1.0416666666666666E-2</v>
      </c>
      <c r="N65" s="3">
        <v>45798</v>
      </c>
      <c r="O65">
        <v>182181</v>
      </c>
      <c r="P65">
        <v>45</v>
      </c>
      <c r="Q65" s="23" t="s">
        <v>2122</v>
      </c>
    </row>
    <row r="66" spans="1:17" x14ac:dyDescent="0.35">
      <c r="A66" s="23">
        <v>1021836</v>
      </c>
      <c r="B66" s="23">
        <v>2</v>
      </c>
      <c r="C66" s="23">
        <v>1021837</v>
      </c>
      <c r="D66" s="23" t="s">
        <v>1852</v>
      </c>
      <c r="E66" s="5">
        <v>60</v>
      </c>
      <c r="F66" s="23">
        <v>2</v>
      </c>
      <c r="G66" s="23">
        <v>0</v>
      </c>
      <c r="H66" s="23">
        <v>0</v>
      </c>
      <c r="I66" s="23" t="s">
        <v>24</v>
      </c>
      <c r="J66" s="23" t="s">
        <v>597</v>
      </c>
      <c r="K66" s="23" t="s">
        <v>1853</v>
      </c>
      <c r="L66" s="24">
        <v>45821</v>
      </c>
      <c r="M66" s="28">
        <v>4.1666666666666664E-2</v>
      </c>
      <c r="N66" s="3">
        <v>45798</v>
      </c>
      <c r="O66">
        <v>197017</v>
      </c>
      <c r="P66">
        <v>45</v>
      </c>
      <c r="Q66" s="23" t="s">
        <v>2123</v>
      </c>
    </row>
    <row r="67" spans="1:17" x14ac:dyDescent="0.35">
      <c r="A67" s="23">
        <v>1027028</v>
      </c>
      <c r="B67" s="23">
        <v>1</v>
      </c>
      <c r="C67" s="23">
        <v>1027044</v>
      </c>
      <c r="D67" s="23" t="s">
        <v>1773</v>
      </c>
      <c r="E67" s="5">
        <v>15</v>
      </c>
      <c r="F67" s="23">
        <v>3</v>
      </c>
      <c r="G67" s="23">
        <v>0</v>
      </c>
      <c r="H67" s="23">
        <v>0</v>
      </c>
      <c r="I67" s="23" t="s">
        <v>24</v>
      </c>
      <c r="J67" s="23" t="s">
        <v>597</v>
      </c>
      <c r="K67" s="23" t="s">
        <v>1854</v>
      </c>
      <c r="L67" s="24">
        <v>45821</v>
      </c>
      <c r="M67" s="28">
        <v>1.0416666666666666E-2</v>
      </c>
      <c r="N67" s="3">
        <v>45798</v>
      </c>
      <c r="O67">
        <v>137928</v>
      </c>
      <c r="P67">
        <v>45</v>
      </c>
      <c r="Q67" s="23" t="s">
        <v>2124</v>
      </c>
    </row>
    <row r="68" spans="1:17" x14ac:dyDescent="0.35">
      <c r="A68" s="23">
        <v>1027028</v>
      </c>
      <c r="B68" s="23">
        <v>1</v>
      </c>
      <c r="C68" s="23">
        <v>1027039</v>
      </c>
      <c r="D68" s="23" t="s">
        <v>947</v>
      </c>
      <c r="E68" s="5">
        <v>20</v>
      </c>
      <c r="F68" s="23">
        <v>3</v>
      </c>
      <c r="G68" s="23">
        <v>0</v>
      </c>
      <c r="H68" s="23">
        <v>0</v>
      </c>
      <c r="I68" s="23" t="s">
        <v>24</v>
      </c>
      <c r="J68" s="23" t="s">
        <v>597</v>
      </c>
      <c r="K68" s="23" t="s">
        <v>1854</v>
      </c>
      <c r="L68" s="24">
        <v>45821</v>
      </c>
      <c r="M68" s="28">
        <v>1.3888888888888888E-2</v>
      </c>
      <c r="N68" s="3">
        <v>45798</v>
      </c>
      <c r="O68">
        <v>137923</v>
      </c>
      <c r="P68">
        <v>45</v>
      </c>
      <c r="Q68" s="23" t="s">
        <v>2125</v>
      </c>
    </row>
    <row r="69" spans="1:17" x14ac:dyDescent="0.35">
      <c r="A69" s="23">
        <v>1027028</v>
      </c>
      <c r="B69" s="23">
        <v>1</v>
      </c>
      <c r="C69" s="23">
        <v>1027040</v>
      </c>
      <c r="D69" s="23" t="s">
        <v>1775</v>
      </c>
      <c r="E69" s="5">
        <v>13</v>
      </c>
      <c r="F69" s="23">
        <v>3</v>
      </c>
      <c r="G69" s="23">
        <v>0</v>
      </c>
      <c r="H69" s="23">
        <v>0</v>
      </c>
      <c r="I69" s="23" t="s">
        <v>24</v>
      </c>
      <c r="J69" s="23" t="s">
        <v>597</v>
      </c>
      <c r="K69" s="23" t="s">
        <v>1854</v>
      </c>
      <c r="L69" s="24">
        <v>45821</v>
      </c>
      <c r="M69" s="28">
        <v>9.0277777777777787E-3</v>
      </c>
      <c r="N69" s="3">
        <v>45798</v>
      </c>
      <c r="O69">
        <v>137924</v>
      </c>
      <c r="P69">
        <v>45</v>
      </c>
      <c r="Q69" s="23" t="s">
        <v>2126</v>
      </c>
    </row>
    <row r="70" spans="1:17" x14ac:dyDescent="0.35">
      <c r="A70" s="23">
        <v>1027028</v>
      </c>
      <c r="B70" s="23">
        <v>1</v>
      </c>
      <c r="C70" s="23">
        <v>1027041</v>
      </c>
      <c r="D70" s="23" t="s">
        <v>1776</v>
      </c>
      <c r="E70" s="5">
        <v>15</v>
      </c>
      <c r="F70" s="23">
        <v>3</v>
      </c>
      <c r="G70" s="23">
        <v>0</v>
      </c>
      <c r="H70" s="23">
        <v>0</v>
      </c>
      <c r="I70" s="23" t="s">
        <v>24</v>
      </c>
      <c r="J70" s="23" t="s">
        <v>597</v>
      </c>
      <c r="K70" s="23" t="s">
        <v>1854</v>
      </c>
      <c r="L70" s="24">
        <v>45821</v>
      </c>
      <c r="M70" s="28">
        <v>1.0416666666666666E-2</v>
      </c>
      <c r="N70" s="3">
        <v>45798</v>
      </c>
      <c r="O70">
        <v>137925</v>
      </c>
      <c r="P70">
        <v>45</v>
      </c>
      <c r="Q70" s="23" t="s">
        <v>2127</v>
      </c>
    </row>
    <row r="71" spans="1:17" x14ac:dyDescent="0.35">
      <c r="A71" s="23">
        <v>1027028</v>
      </c>
      <c r="B71" s="23">
        <v>1</v>
      </c>
      <c r="C71" s="23">
        <v>1027055</v>
      </c>
      <c r="D71" s="23" t="s">
        <v>1487</v>
      </c>
      <c r="E71" s="5">
        <v>70</v>
      </c>
      <c r="F71" s="23">
        <v>6</v>
      </c>
      <c r="G71" s="23">
        <v>0</v>
      </c>
      <c r="H71" s="23">
        <v>0</v>
      </c>
      <c r="I71" s="23" t="s">
        <v>24</v>
      </c>
      <c r="J71" s="23" t="s">
        <v>597</v>
      </c>
      <c r="K71" s="23" t="s">
        <v>1854</v>
      </c>
      <c r="L71" s="24">
        <v>45821</v>
      </c>
      <c r="M71" s="28">
        <v>4.8611111111111112E-2</v>
      </c>
      <c r="N71" s="3">
        <v>45798</v>
      </c>
      <c r="O71">
        <v>137939</v>
      </c>
      <c r="P71">
        <v>45</v>
      </c>
      <c r="Q71" s="23" t="s">
        <v>2128</v>
      </c>
    </row>
    <row r="72" spans="1:17" x14ac:dyDescent="0.35">
      <c r="A72" s="23">
        <v>1027028</v>
      </c>
      <c r="B72" s="23">
        <v>1</v>
      </c>
      <c r="C72" s="23">
        <v>1027056</v>
      </c>
      <c r="D72" s="23" t="s">
        <v>1033</v>
      </c>
      <c r="E72" s="5">
        <v>60</v>
      </c>
      <c r="F72" s="23">
        <v>6</v>
      </c>
      <c r="G72" s="23">
        <v>0</v>
      </c>
      <c r="H72" s="23">
        <v>0</v>
      </c>
      <c r="I72" s="23" t="s">
        <v>24</v>
      </c>
      <c r="J72" s="23" t="s">
        <v>597</v>
      </c>
      <c r="K72" s="23" t="s">
        <v>1854</v>
      </c>
      <c r="L72" s="24">
        <v>45821</v>
      </c>
      <c r="M72" s="28">
        <v>4.1666666666666664E-2</v>
      </c>
      <c r="N72" s="3">
        <v>45798</v>
      </c>
      <c r="O72">
        <v>137940</v>
      </c>
      <c r="P72">
        <v>45</v>
      </c>
      <c r="Q72" s="23" t="s">
        <v>2129</v>
      </c>
    </row>
    <row r="73" spans="1:17" x14ac:dyDescent="0.35">
      <c r="A73" s="23">
        <v>1027028</v>
      </c>
      <c r="B73" s="23">
        <v>1</v>
      </c>
      <c r="C73" s="23">
        <v>1027038</v>
      </c>
      <c r="D73" s="23" t="s">
        <v>1774</v>
      </c>
      <c r="E73" s="5">
        <v>15</v>
      </c>
      <c r="F73" s="23">
        <v>3</v>
      </c>
      <c r="G73" s="23">
        <v>0</v>
      </c>
      <c r="H73" s="23">
        <v>0</v>
      </c>
      <c r="I73" s="23" t="s">
        <v>24</v>
      </c>
      <c r="J73" s="23" t="s">
        <v>597</v>
      </c>
      <c r="K73" s="23" t="s">
        <v>1854</v>
      </c>
      <c r="L73" s="24">
        <v>45821</v>
      </c>
      <c r="M73" s="28">
        <v>1.0416666666666666E-2</v>
      </c>
      <c r="N73" s="3">
        <v>45798</v>
      </c>
      <c r="O73">
        <v>137922</v>
      </c>
      <c r="P73">
        <v>45</v>
      </c>
      <c r="Q73" s="23" t="s">
        <v>2130</v>
      </c>
    </row>
    <row r="74" spans="1:17" x14ac:dyDescent="0.35">
      <c r="A74" s="23">
        <v>1027029</v>
      </c>
      <c r="B74" s="23">
        <v>1</v>
      </c>
      <c r="C74" s="23">
        <v>1027038</v>
      </c>
      <c r="D74" s="23" t="s">
        <v>1774</v>
      </c>
      <c r="E74" s="5">
        <v>15</v>
      </c>
      <c r="F74" s="23">
        <v>3</v>
      </c>
      <c r="G74" s="23">
        <v>0</v>
      </c>
      <c r="H74" s="23">
        <v>0</v>
      </c>
      <c r="I74" s="23" t="s">
        <v>24</v>
      </c>
      <c r="J74" s="23" t="s">
        <v>597</v>
      </c>
      <c r="K74" s="23" t="s">
        <v>1854</v>
      </c>
      <c r="L74" s="24">
        <v>45821</v>
      </c>
      <c r="M74" s="28">
        <v>1.0416666666666666E-2</v>
      </c>
      <c r="N74" s="3">
        <v>45798</v>
      </c>
      <c r="O74">
        <v>137922</v>
      </c>
      <c r="P74">
        <v>45</v>
      </c>
      <c r="Q74" s="23" t="s">
        <v>2131</v>
      </c>
    </row>
    <row r="75" spans="1:17" x14ac:dyDescent="0.35">
      <c r="A75" s="23">
        <v>1027029</v>
      </c>
      <c r="B75" s="23">
        <v>1</v>
      </c>
      <c r="C75" s="23">
        <v>1027044</v>
      </c>
      <c r="D75" s="23" t="s">
        <v>1773</v>
      </c>
      <c r="E75" s="5">
        <v>15</v>
      </c>
      <c r="F75" s="23">
        <v>3</v>
      </c>
      <c r="G75" s="23">
        <v>0</v>
      </c>
      <c r="H75" s="23">
        <v>0</v>
      </c>
      <c r="I75" s="23" t="s">
        <v>24</v>
      </c>
      <c r="J75" s="23" t="s">
        <v>597</v>
      </c>
      <c r="K75" s="23" t="s">
        <v>1854</v>
      </c>
      <c r="L75" s="24">
        <v>45821</v>
      </c>
      <c r="M75" s="28">
        <v>1.0416666666666666E-2</v>
      </c>
      <c r="N75" s="3">
        <v>45798</v>
      </c>
      <c r="O75">
        <v>137928</v>
      </c>
      <c r="P75">
        <v>45</v>
      </c>
      <c r="Q75" s="23" t="s">
        <v>2132</v>
      </c>
    </row>
    <row r="76" spans="1:17" x14ac:dyDescent="0.35">
      <c r="A76" s="23">
        <v>1027029</v>
      </c>
      <c r="B76" s="23">
        <v>1</v>
      </c>
      <c r="C76" s="23">
        <v>1027040</v>
      </c>
      <c r="D76" s="23" t="s">
        <v>1775</v>
      </c>
      <c r="E76" s="5">
        <v>13</v>
      </c>
      <c r="F76" s="23">
        <v>3</v>
      </c>
      <c r="G76" s="23">
        <v>0</v>
      </c>
      <c r="H76" s="23">
        <v>0</v>
      </c>
      <c r="I76" s="23" t="s">
        <v>24</v>
      </c>
      <c r="J76" s="23" t="s">
        <v>597</v>
      </c>
      <c r="K76" s="23" t="s">
        <v>1854</v>
      </c>
      <c r="L76" s="24">
        <v>45821</v>
      </c>
      <c r="M76" s="28">
        <v>9.0277777777777787E-3</v>
      </c>
      <c r="N76" s="3">
        <v>45798</v>
      </c>
      <c r="O76">
        <v>137924</v>
      </c>
      <c r="P76">
        <v>45</v>
      </c>
      <c r="Q76" s="23" t="s">
        <v>2133</v>
      </c>
    </row>
    <row r="77" spans="1:17" x14ac:dyDescent="0.35">
      <c r="A77" s="23">
        <v>1027029</v>
      </c>
      <c r="B77" s="23">
        <v>1</v>
      </c>
      <c r="C77" s="23">
        <v>1027041</v>
      </c>
      <c r="D77" s="23" t="s">
        <v>1776</v>
      </c>
      <c r="E77" s="5">
        <v>15</v>
      </c>
      <c r="F77" s="23">
        <v>3</v>
      </c>
      <c r="G77" s="23">
        <v>0</v>
      </c>
      <c r="H77" s="23">
        <v>0</v>
      </c>
      <c r="I77" s="23" t="s">
        <v>24</v>
      </c>
      <c r="J77" s="23" t="s">
        <v>597</v>
      </c>
      <c r="K77" s="23" t="s">
        <v>1854</v>
      </c>
      <c r="L77" s="24">
        <v>45821</v>
      </c>
      <c r="M77" s="28">
        <v>1.0416666666666666E-2</v>
      </c>
      <c r="N77" s="3">
        <v>45798</v>
      </c>
      <c r="O77">
        <v>137925</v>
      </c>
      <c r="P77">
        <v>45</v>
      </c>
      <c r="Q77" s="23" t="s">
        <v>2134</v>
      </c>
    </row>
    <row r="78" spans="1:17" x14ac:dyDescent="0.35">
      <c r="A78" s="23">
        <v>1027029</v>
      </c>
      <c r="B78" s="23">
        <v>1</v>
      </c>
      <c r="C78" s="23">
        <v>1027055</v>
      </c>
      <c r="D78" s="23" t="s">
        <v>1487</v>
      </c>
      <c r="E78" s="5">
        <v>70</v>
      </c>
      <c r="F78" s="23">
        <v>6</v>
      </c>
      <c r="G78" s="23">
        <v>0</v>
      </c>
      <c r="H78" s="23">
        <v>0</v>
      </c>
      <c r="I78" s="23" t="s">
        <v>24</v>
      </c>
      <c r="J78" s="23" t="s">
        <v>597</v>
      </c>
      <c r="K78" s="23" t="s">
        <v>1854</v>
      </c>
      <c r="L78" s="23">
        <v>45821</v>
      </c>
      <c r="M78" s="28">
        <v>4.8611111111111112E-2</v>
      </c>
      <c r="N78" s="3">
        <v>45798</v>
      </c>
      <c r="O78">
        <v>137939</v>
      </c>
      <c r="P78">
        <v>45</v>
      </c>
      <c r="Q78" s="23" t="s">
        <v>2135</v>
      </c>
    </row>
    <row r="79" spans="1:17" x14ac:dyDescent="0.35">
      <c r="A79" s="23">
        <v>1027029</v>
      </c>
      <c r="B79" s="23">
        <v>1</v>
      </c>
      <c r="C79" s="23">
        <v>1027056</v>
      </c>
      <c r="D79" s="23" t="s">
        <v>1033</v>
      </c>
      <c r="E79" s="5">
        <v>60</v>
      </c>
      <c r="F79" s="23">
        <v>6</v>
      </c>
      <c r="G79" s="23">
        <v>0</v>
      </c>
      <c r="H79" s="23">
        <v>0</v>
      </c>
      <c r="I79" s="23" t="s">
        <v>24</v>
      </c>
      <c r="J79" s="23" t="s">
        <v>597</v>
      </c>
      <c r="K79" s="23" t="s">
        <v>1854</v>
      </c>
      <c r="L79" s="24">
        <v>45821</v>
      </c>
      <c r="M79" s="28">
        <v>4.1666666666666664E-2</v>
      </c>
      <c r="N79" s="3">
        <v>45798</v>
      </c>
      <c r="O79">
        <v>137940</v>
      </c>
      <c r="P79">
        <v>45</v>
      </c>
      <c r="Q79" s="23" t="s">
        <v>2136</v>
      </c>
    </row>
    <row r="80" spans="1:17" x14ac:dyDescent="0.35">
      <c r="A80" s="23">
        <v>1027029</v>
      </c>
      <c r="B80" s="23">
        <v>1</v>
      </c>
      <c r="C80" s="23">
        <v>1027039</v>
      </c>
      <c r="D80" s="23" t="s">
        <v>947</v>
      </c>
      <c r="E80" s="5">
        <v>20</v>
      </c>
      <c r="F80" s="23">
        <v>3</v>
      </c>
      <c r="G80" s="23">
        <v>0</v>
      </c>
      <c r="H80" s="23">
        <v>0</v>
      </c>
      <c r="I80" s="23" t="s">
        <v>24</v>
      </c>
      <c r="J80" s="23" t="s">
        <v>597</v>
      </c>
      <c r="K80" s="23" t="s">
        <v>1854</v>
      </c>
      <c r="L80" s="24">
        <v>45821</v>
      </c>
      <c r="M80" s="28">
        <v>1.3888888888888888E-2</v>
      </c>
      <c r="N80" s="3">
        <v>45798</v>
      </c>
      <c r="O80">
        <v>137923</v>
      </c>
      <c r="P80">
        <v>45</v>
      </c>
      <c r="Q80" s="23" t="s">
        <v>2137</v>
      </c>
    </row>
    <row r="81" spans="1:17" x14ac:dyDescent="0.35">
      <c r="A81" s="23">
        <v>1027030</v>
      </c>
      <c r="B81" s="23">
        <v>1</v>
      </c>
      <c r="C81" s="23">
        <v>1027056</v>
      </c>
      <c r="D81" s="23" t="s">
        <v>1033</v>
      </c>
      <c r="E81" s="5">
        <v>60</v>
      </c>
      <c r="F81" s="23">
        <v>6</v>
      </c>
      <c r="G81" s="23">
        <v>0</v>
      </c>
      <c r="H81" s="23">
        <v>0</v>
      </c>
      <c r="I81" s="23" t="s">
        <v>24</v>
      </c>
      <c r="J81" s="23" t="s">
        <v>597</v>
      </c>
      <c r="K81" s="23" t="s">
        <v>1854</v>
      </c>
      <c r="L81" s="24">
        <v>45821</v>
      </c>
      <c r="M81" s="28">
        <v>4.1666666666666664E-2</v>
      </c>
      <c r="N81" s="3">
        <v>45798</v>
      </c>
      <c r="O81">
        <v>137940</v>
      </c>
      <c r="P81">
        <v>45</v>
      </c>
      <c r="Q81" s="23" t="s">
        <v>2138</v>
      </c>
    </row>
    <row r="82" spans="1:17" x14ac:dyDescent="0.35">
      <c r="A82" s="23">
        <v>1027030</v>
      </c>
      <c r="B82" s="23">
        <v>1</v>
      </c>
      <c r="C82" s="23">
        <v>1027055</v>
      </c>
      <c r="D82" s="23" t="s">
        <v>1487</v>
      </c>
      <c r="E82" s="5">
        <v>70</v>
      </c>
      <c r="F82" s="23">
        <v>6</v>
      </c>
      <c r="G82" s="23">
        <v>0</v>
      </c>
      <c r="H82" s="23">
        <v>0</v>
      </c>
      <c r="I82" s="23" t="s">
        <v>24</v>
      </c>
      <c r="J82" s="23" t="s">
        <v>597</v>
      </c>
      <c r="K82" s="23" t="s">
        <v>1854</v>
      </c>
      <c r="L82" s="24">
        <v>45821</v>
      </c>
      <c r="M82" s="28">
        <v>4.8611111111111112E-2</v>
      </c>
      <c r="N82" s="3">
        <v>45798</v>
      </c>
      <c r="O82">
        <v>137939</v>
      </c>
      <c r="P82">
        <v>45</v>
      </c>
      <c r="Q82" s="23" t="s">
        <v>2139</v>
      </c>
    </row>
    <row r="83" spans="1:17" x14ac:dyDescent="0.35">
      <c r="A83" s="23">
        <v>1027030</v>
      </c>
      <c r="B83" s="23">
        <v>1</v>
      </c>
      <c r="C83" s="23">
        <v>1027044</v>
      </c>
      <c r="D83" s="23" t="s">
        <v>1773</v>
      </c>
      <c r="E83" s="5">
        <v>15</v>
      </c>
      <c r="F83" s="23">
        <v>3</v>
      </c>
      <c r="G83" s="23">
        <v>0</v>
      </c>
      <c r="H83" s="23">
        <v>0</v>
      </c>
      <c r="I83" s="23" t="s">
        <v>24</v>
      </c>
      <c r="J83" s="23" t="s">
        <v>597</v>
      </c>
      <c r="K83" s="23" t="s">
        <v>1854</v>
      </c>
      <c r="L83" s="23">
        <v>45821</v>
      </c>
      <c r="M83" s="28">
        <v>1.0416666666666666E-2</v>
      </c>
      <c r="N83" s="3">
        <v>45798</v>
      </c>
      <c r="O83">
        <v>137928</v>
      </c>
      <c r="P83">
        <v>45</v>
      </c>
      <c r="Q83" s="23" t="s">
        <v>2140</v>
      </c>
    </row>
    <row r="84" spans="1:17" x14ac:dyDescent="0.35">
      <c r="A84" s="23">
        <v>1027030</v>
      </c>
      <c r="B84" s="23">
        <v>1</v>
      </c>
      <c r="C84" s="23">
        <v>1027038</v>
      </c>
      <c r="D84" s="23" t="s">
        <v>1774</v>
      </c>
      <c r="E84" s="5">
        <v>15</v>
      </c>
      <c r="F84" s="23">
        <v>3</v>
      </c>
      <c r="G84" s="23">
        <v>0</v>
      </c>
      <c r="H84" s="23">
        <v>0</v>
      </c>
      <c r="I84" s="23" t="s">
        <v>24</v>
      </c>
      <c r="J84" s="23" t="s">
        <v>597</v>
      </c>
      <c r="K84" s="23" t="s">
        <v>1854</v>
      </c>
      <c r="L84" s="24">
        <v>45821</v>
      </c>
      <c r="M84" s="28">
        <v>1.0416666666666666E-2</v>
      </c>
      <c r="N84" s="3">
        <v>45798</v>
      </c>
      <c r="O84">
        <v>137922</v>
      </c>
      <c r="P84">
        <v>45</v>
      </c>
      <c r="Q84" s="23" t="s">
        <v>2141</v>
      </c>
    </row>
    <row r="85" spans="1:17" x14ac:dyDescent="0.35">
      <c r="A85" s="23">
        <v>1027030</v>
      </c>
      <c r="B85" s="23">
        <v>1</v>
      </c>
      <c r="C85" s="23">
        <v>1027040</v>
      </c>
      <c r="D85" s="23" t="s">
        <v>1775</v>
      </c>
      <c r="E85" s="5">
        <v>13</v>
      </c>
      <c r="F85" s="23">
        <v>3</v>
      </c>
      <c r="G85" s="23">
        <v>0</v>
      </c>
      <c r="H85" s="23">
        <v>0</v>
      </c>
      <c r="I85" s="23" t="s">
        <v>24</v>
      </c>
      <c r="J85" s="23" t="s">
        <v>597</v>
      </c>
      <c r="K85" s="23" t="s">
        <v>1854</v>
      </c>
      <c r="L85" s="24">
        <v>45821</v>
      </c>
      <c r="M85" s="28">
        <v>9.0277777777777787E-3</v>
      </c>
      <c r="N85" s="3">
        <v>45798</v>
      </c>
      <c r="O85">
        <v>137924</v>
      </c>
      <c r="P85">
        <v>45</v>
      </c>
      <c r="Q85" s="23" t="s">
        <v>2142</v>
      </c>
    </row>
    <row r="86" spans="1:17" x14ac:dyDescent="0.35">
      <c r="A86" s="23">
        <v>1027030</v>
      </c>
      <c r="B86" s="23">
        <v>1</v>
      </c>
      <c r="C86" s="23">
        <v>1027039</v>
      </c>
      <c r="D86" s="23" t="s">
        <v>947</v>
      </c>
      <c r="E86" s="5">
        <v>20</v>
      </c>
      <c r="F86" s="23">
        <v>3</v>
      </c>
      <c r="G86" s="23">
        <v>0</v>
      </c>
      <c r="H86" s="23">
        <v>0</v>
      </c>
      <c r="I86" s="23" t="s">
        <v>24</v>
      </c>
      <c r="J86" s="23" t="s">
        <v>597</v>
      </c>
      <c r="K86" s="23" t="s">
        <v>1854</v>
      </c>
      <c r="L86" s="24">
        <v>45821</v>
      </c>
      <c r="M86" s="28">
        <v>1.3888888888888888E-2</v>
      </c>
      <c r="N86" s="3">
        <v>45798</v>
      </c>
      <c r="O86">
        <v>137923</v>
      </c>
      <c r="P86">
        <v>45</v>
      </c>
      <c r="Q86" s="23" t="s">
        <v>2143</v>
      </c>
    </row>
    <row r="87" spans="1:17" x14ac:dyDescent="0.35">
      <c r="A87" s="23">
        <v>1027030</v>
      </c>
      <c r="B87" s="23">
        <v>1</v>
      </c>
      <c r="C87" s="23">
        <v>1027041</v>
      </c>
      <c r="D87" s="23" t="s">
        <v>1776</v>
      </c>
      <c r="E87" s="5">
        <v>15</v>
      </c>
      <c r="F87" s="23">
        <v>3</v>
      </c>
      <c r="G87" s="23">
        <v>0</v>
      </c>
      <c r="H87" s="23">
        <v>0</v>
      </c>
      <c r="I87" s="23" t="s">
        <v>24</v>
      </c>
      <c r="J87" s="23" t="s">
        <v>597</v>
      </c>
      <c r="K87" s="23" t="s">
        <v>1854</v>
      </c>
      <c r="L87" s="23">
        <v>45821</v>
      </c>
      <c r="M87" s="28">
        <v>1.0416666666666666E-2</v>
      </c>
      <c r="N87" s="3">
        <v>45798</v>
      </c>
      <c r="O87">
        <v>137925</v>
      </c>
      <c r="P87">
        <v>45</v>
      </c>
      <c r="Q87" s="23" t="s">
        <v>2144</v>
      </c>
    </row>
    <row r="88" spans="1:17" x14ac:dyDescent="0.35">
      <c r="A88" s="23">
        <v>1019956</v>
      </c>
      <c r="B88" s="23">
        <v>1</v>
      </c>
      <c r="C88" s="23">
        <v>1019979</v>
      </c>
      <c r="D88" s="23" t="s">
        <v>1855</v>
      </c>
      <c r="E88" s="5">
        <v>20</v>
      </c>
      <c r="F88" s="23">
        <v>8</v>
      </c>
      <c r="G88" s="23">
        <v>0</v>
      </c>
      <c r="H88" s="23">
        <v>0</v>
      </c>
      <c r="I88" s="23" t="s">
        <v>24</v>
      </c>
      <c r="J88" s="23" t="s">
        <v>597</v>
      </c>
      <c r="K88" s="23" t="s">
        <v>1856</v>
      </c>
      <c r="L88" s="24">
        <v>45822</v>
      </c>
      <c r="M88" s="28">
        <v>1.3888888888888888E-2</v>
      </c>
      <c r="N88" s="3">
        <v>45799</v>
      </c>
      <c r="O88">
        <v>139624</v>
      </c>
      <c r="P88">
        <v>45</v>
      </c>
      <c r="Q88" s="23" t="s">
        <v>2145</v>
      </c>
    </row>
    <row r="89" spans="1:17" x14ac:dyDescent="0.35">
      <c r="A89" s="23">
        <v>1019956</v>
      </c>
      <c r="B89" s="23">
        <v>1</v>
      </c>
      <c r="C89" s="23">
        <v>1019974</v>
      </c>
      <c r="D89" s="23" t="s">
        <v>1770</v>
      </c>
      <c r="E89" s="5">
        <v>30</v>
      </c>
      <c r="F89" s="23">
        <v>4</v>
      </c>
      <c r="G89" s="23">
        <v>0</v>
      </c>
      <c r="H89" s="23">
        <v>0</v>
      </c>
      <c r="I89" s="23" t="s">
        <v>24</v>
      </c>
      <c r="J89" s="23" t="s">
        <v>597</v>
      </c>
      <c r="K89" s="23" t="s">
        <v>1856</v>
      </c>
      <c r="L89" s="24">
        <v>45822</v>
      </c>
      <c r="M89" s="28">
        <v>2.0833333333333332E-2</v>
      </c>
      <c r="N89" s="3">
        <v>45799</v>
      </c>
      <c r="O89">
        <v>139619</v>
      </c>
      <c r="P89">
        <v>45</v>
      </c>
      <c r="Q89" s="23" t="s">
        <v>2146</v>
      </c>
    </row>
    <row r="90" spans="1:17" x14ac:dyDescent="0.35">
      <c r="A90" s="23">
        <v>1019956</v>
      </c>
      <c r="B90" s="23">
        <v>1</v>
      </c>
      <c r="C90" s="23">
        <v>1019973</v>
      </c>
      <c r="D90" s="23" t="s">
        <v>977</v>
      </c>
      <c r="E90" s="5">
        <v>25</v>
      </c>
      <c r="F90" s="23">
        <v>4</v>
      </c>
      <c r="G90" s="23">
        <v>0</v>
      </c>
      <c r="H90" s="23">
        <v>0</v>
      </c>
      <c r="I90" s="23" t="s">
        <v>24</v>
      </c>
      <c r="J90" s="23" t="s">
        <v>597</v>
      </c>
      <c r="K90" s="23" t="s">
        <v>1856</v>
      </c>
      <c r="L90" s="24">
        <v>45822</v>
      </c>
      <c r="M90" s="28">
        <v>1.7361111111111112E-2</v>
      </c>
      <c r="N90" s="3">
        <v>45799</v>
      </c>
      <c r="O90">
        <v>139618</v>
      </c>
      <c r="P90">
        <v>45</v>
      </c>
      <c r="Q90" s="23" t="s">
        <v>2147</v>
      </c>
    </row>
    <row r="91" spans="1:17" x14ac:dyDescent="0.35">
      <c r="A91" s="23">
        <v>1019956</v>
      </c>
      <c r="B91" s="23">
        <v>1</v>
      </c>
      <c r="C91" s="23">
        <v>1019970</v>
      </c>
      <c r="D91" s="23" t="s">
        <v>1771</v>
      </c>
      <c r="E91" s="5">
        <v>15</v>
      </c>
      <c r="F91" s="23">
        <v>4</v>
      </c>
      <c r="G91" s="23">
        <v>0</v>
      </c>
      <c r="H91" s="23">
        <v>0</v>
      </c>
      <c r="I91" s="23" t="s">
        <v>24</v>
      </c>
      <c r="J91" s="23" t="s">
        <v>597</v>
      </c>
      <c r="K91" s="23" t="s">
        <v>1856</v>
      </c>
      <c r="L91" s="24">
        <v>45822</v>
      </c>
      <c r="M91" s="28">
        <v>1.0416666666666666E-2</v>
      </c>
      <c r="N91" s="3">
        <v>45799</v>
      </c>
      <c r="O91">
        <v>139615</v>
      </c>
      <c r="P91">
        <v>45</v>
      </c>
      <c r="Q91" s="23" t="s">
        <v>2148</v>
      </c>
    </row>
    <row r="92" spans="1:17" x14ac:dyDescent="0.35">
      <c r="A92" s="23">
        <v>1019957</v>
      </c>
      <c r="B92" s="23">
        <v>1</v>
      </c>
      <c r="C92" s="23">
        <v>1019979</v>
      </c>
      <c r="D92" s="23" t="s">
        <v>1855</v>
      </c>
      <c r="E92" s="5">
        <v>20</v>
      </c>
      <c r="F92" s="23">
        <v>8</v>
      </c>
      <c r="G92" s="23">
        <v>0</v>
      </c>
      <c r="H92" s="23">
        <v>0</v>
      </c>
      <c r="I92" s="23" t="s">
        <v>24</v>
      </c>
      <c r="J92" s="23" t="s">
        <v>597</v>
      </c>
      <c r="K92" s="23" t="s">
        <v>1856</v>
      </c>
      <c r="L92" s="24">
        <v>45822</v>
      </c>
      <c r="M92" s="28">
        <v>1.3888888888888888E-2</v>
      </c>
      <c r="N92" s="3">
        <v>45799</v>
      </c>
      <c r="O92">
        <v>139624</v>
      </c>
      <c r="P92">
        <v>45</v>
      </c>
      <c r="Q92" s="23" t="s">
        <v>2149</v>
      </c>
    </row>
    <row r="93" spans="1:17" x14ac:dyDescent="0.35">
      <c r="A93" s="23">
        <v>1019957</v>
      </c>
      <c r="B93" s="23">
        <v>1</v>
      </c>
      <c r="C93" s="23">
        <v>1019974</v>
      </c>
      <c r="D93" s="23" t="s">
        <v>1770</v>
      </c>
      <c r="E93" s="5">
        <v>30</v>
      </c>
      <c r="F93" s="23">
        <v>4</v>
      </c>
      <c r="G93" s="23">
        <v>0</v>
      </c>
      <c r="H93" s="23">
        <v>0</v>
      </c>
      <c r="I93" s="23" t="s">
        <v>24</v>
      </c>
      <c r="J93" s="23" t="s">
        <v>597</v>
      </c>
      <c r="K93" s="23" t="s">
        <v>1856</v>
      </c>
      <c r="L93" s="24">
        <v>45822</v>
      </c>
      <c r="M93" s="28">
        <v>2.0833333333333332E-2</v>
      </c>
      <c r="N93" s="3">
        <v>45799</v>
      </c>
      <c r="O93">
        <v>139619</v>
      </c>
      <c r="P93">
        <v>45</v>
      </c>
      <c r="Q93" s="23" t="s">
        <v>2150</v>
      </c>
    </row>
    <row r="94" spans="1:17" x14ac:dyDescent="0.35">
      <c r="A94" s="23">
        <v>1019957</v>
      </c>
      <c r="B94" s="23">
        <v>1</v>
      </c>
      <c r="C94" s="23">
        <v>1019973</v>
      </c>
      <c r="D94" s="23" t="s">
        <v>977</v>
      </c>
      <c r="E94" s="5">
        <v>25</v>
      </c>
      <c r="F94" s="23">
        <v>4</v>
      </c>
      <c r="G94" s="23">
        <v>0</v>
      </c>
      <c r="H94" s="23">
        <v>0</v>
      </c>
      <c r="I94" s="23" t="s">
        <v>24</v>
      </c>
      <c r="J94" s="23" t="s">
        <v>597</v>
      </c>
      <c r="K94" s="23" t="s">
        <v>1856</v>
      </c>
      <c r="L94" s="24">
        <v>45822</v>
      </c>
      <c r="M94" s="28">
        <v>1.7361111111111112E-2</v>
      </c>
      <c r="N94" s="3">
        <v>45799</v>
      </c>
      <c r="O94">
        <v>139618</v>
      </c>
      <c r="P94">
        <v>45</v>
      </c>
      <c r="Q94" s="23" t="s">
        <v>2151</v>
      </c>
    </row>
    <row r="95" spans="1:17" x14ac:dyDescent="0.35">
      <c r="A95" s="23">
        <v>1019957</v>
      </c>
      <c r="B95" s="23">
        <v>1</v>
      </c>
      <c r="C95" s="23">
        <v>1019970</v>
      </c>
      <c r="D95" s="23" t="s">
        <v>1771</v>
      </c>
      <c r="E95" s="5">
        <v>15</v>
      </c>
      <c r="F95" s="23">
        <v>4</v>
      </c>
      <c r="G95" s="23">
        <v>0</v>
      </c>
      <c r="H95" s="23">
        <v>0</v>
      </c>
      <c r="I95" s="23" t="s">
        <v>24</v>
      </c>
      <c r="J95" s="23" t="s">
        <v>597</v>
      </c>
      <c r="K95" s="23" t="s">
        <v>1856</v>
      </c>
      <c r="L95" s="24">
        <v>45822</v>
      </c>
      <c r="M95" s="28">
        <v>1.0416666666666666E-2</v>
      </c>
      <c r="N95" s="3">
        <v>45799</v>
      </c>
      <c r="O95">
        <v>139615</v>
      </c>
      <c r="P95">
        <v>45</v>
      </c>
      <c r="Q95" s="23" t="s">
        <v>2152</v>
      </c>
    </row>
    <row r="96" spans="1:17" x14ac:dyDescent="0.35">
      <c r="A96" s="23">
        <v>1019958</v>
      </c>
      <c r="B96" s="23">
        <v>1</v>
      </c>
      <c r="C96" s="23">
        <v>1019974</v>
      </c>
      <c r="D96" s="23" t="s">
        <v>1770</v>
      </c>
      <c r="E96" s="5">
        <v>30</v>
      </c>
      <c r="F96" s="23">
        <v>4</v>
      </c>
      <c r="G96" s="23">
        <v>0</v>
      </c>
      <c r="H96" s="23">
        <v>0</v>
      </c>
      <c r="I96" s="23" t="s">
        <v>24</v>
      </c>
      <c r="J96" s="23" t="s">
        <v>597</v>
      </c>
      <c r="K96" s="23" t="s">
        <v>1856</v>
      </c>
      <c r="L96" s="24">
        <v>45822</v>
      </c>
      <c r="M96" s="28">
        <v>2.0833333333333332E-2</v>
      </c>
      <c r="N96" s="3">
        <v>45799</v>
      </c>
      <c r="O96">
        <v>139619</v>
      </c>
      <c r="P96">
        <v>45</v>
      </c>
      <c r="Q96" s="23" t="s">
        <v>2153</v>
      </c>
    </row>
    <row r="97" spans="1:17" x14ac:dyDescent="0.35">
      <c r="A97" s="23">
        <v>1019958</v>
      </c>
      <c r="B97" s="23">
        <v>1</v>
      </c>
      <c r="C97" s="23">
        <v>1019979</v>
      </c>
      <c r="D97" s="23" t="s">
        <v>1855</v>
      </c>
      <c r="E97" s="5">
        <v>20</v>
      </c>
      <c r="F97" s="23">
        <v>8</v>
      </c>
      <c r="G97" s="23">
        <v>0</v>
      </c>
      <c r="H97" s="23">
        <v>0</v>
      </c>
      <c r="I97" s="23" t="s">
        <v>24</v>
      </c>
      <c r="J97" s="23" t="s">
        <v>597</v>
      </c>
      <c r="K97" s="23" t="s">
        <v>1856</v>
      </c>
      <c r="L97" s="24">
        <v>45822</v>
      </c>
      <c r="M97" s="28">
        <v>1.3888888888888888E-2</v>
      </c>
      <c r="N97" s="3">
        <v>45799</v>
      </c>
      <c r="O97">
        <v>139624</v>
      </c>
      <c r="P97">
        <v>45</v>
      </c>
      <c r="Q97" s="23" t="s">
        <v>2154</v>
      </c>
    </row>
    <row r="98" spans="1:17" x14ac:dyDescent="0.35">
      <c r="A98" s="23">
        <v>1019958</v>
      </c>
      <c r="B98" s="23">
        <v>1</v>
      </c>
      <c r="C98" s="23">
        <v>1019970</v>
      </c>
      <c r="D98" s="23" t="s">
        <v>1771</v>
      </c>
      <c r="E98" s="5">
        <v>15</v>
      </c>
      <c r="F98" s="23">
        <v>4</v>
      </c>
      <c r="G98" s="23">
        <v>0</v>
      </c>
      <c r="H98" s="23">
        <v>0</v>
      </c>
      <c r="I98" s="23" t="s">
        <v>24</v>
      </c>
      <c r="J98" s="23" t="s">
        <v>597</v>
      </c>
      <c r="K98" s="23" t="s">
        <v>1856</v>
      </c>
      <c r="L98" s="24">
        <v>45822</v>
      </c>
      <c r="M98" s="28">
        <v>1.0416666666666666E-2</v>
      </c>
      <c r="N98" s="3">
        <v>45799</v>
      </c>
      <c r="O98">
        <v>139615</v>
      </c>
      <c r="P98">
        <v>45</v>
      </c>
      <c r="Q98" s="23" t="s">
        <v>2155</v>
      </c>
    </row>
    <row r="99" spans="1:17" x14ac:dyDescent="0.35">
      <c r="A99" s="23">
        <v>1019958</v>
      </c>
      <c r="B99" s="23">
        <v>1</v>
      </c>
      <c r="C99" s="23">
        <v>1019973</v>
      </c>
      <c r="D99" s="23" t="s">
        <v>977</v>
      </c>
      <c r="E99" s="5">
        <v>25</v>
      </c>
      <c r="F99" s="23">
        <v>4</v>
      </c>
      <c r="G99" s="23">
        <v>0</v>
      </c>
      <c r="H99" s="23">
        <v>0</v>
      </c>
      <c r="I99" s="23" t="s">
        <v>24</v>
      </c>
      <c r="J99" s="23" t="s">
        <v>597</v>
      </c>
      <c r="K99" s="23" t="s">
        <v>1856</v>
      </c>
      <c r="L99" s="23">
        <v>45822</v>
      </c>
      <c r="M99" s="28">
        <v>1.7361111111111112E-2</v>
      </c>
      <c r="N99" s="3">
        <v>45799</v>
      </c>
      <c r="O99">
        <v>139618</v>
      </c>
      <c r="P99">
        <v>45</v>
      </c>
      <c r="Q99" s="23" t="s">
        <v>2156</v>
      </c>
    </row>
    <row r="100" spans="1:17" x14ac:dyDescent="0.35">
      <c r="A100" s="23">
        <v>1019959</v>
      </c>
      <c r="B100" s="23">
        <v>1</v>
      </c>
      <c r="C100" s="23">
        <v>1019970</v>
      </c>
      <c r="D100" s="23" t="s">
        <v>1771</v>
      </c>
      <c r="E100" s="5">
        <v>15</v>
      </c>
      <c r="F100" s="23">
        <v>4</v>
      </c>
      <c r="G100" s="23">
        <v>0</v>
      </c>
      <c r="H100" s="23">
        <v>0</v>
      </c>
      <c r="I100" s="23" t="s">
        <v>24</v>
      </c>
      <c r="J100" s="23" t="s">
        <v>597</v>
      </c>
      <c r="K100" s="23" t="s">
        <v>1856</v>
      </c>
      <c r="L100" s="24">
        <v>45822</v>
      </c>
      <c r="M100" s="28">
        <v>1.0416666666666666E-2</v>
      </c>
      <c r="N100" s="3">
        <v>45799</v>
      </c>
      <c r="O100">
        <v>139615</v>
      </c>
      <c r="P100">
        <v>45</v>
      </c>
      <c r="Q100" s="23" t="s">
        <v>2157</v>
      </c>
    </row>
    <row r="101" spans="1:17" x14ac:dyDescent="0.35">
      <c r="A101" s="23">
        <v>1019959</v>
      </c>
      <c r="B101" s="23">
        <v>1</v>
      </c>
      <c r="C101" s="23">
        <v>1019973</v>
      </c>
      <c r="D101" s="23" t="s">
        <v>977</v>
      </c>
      <c r="E101" s="5">
        <v>25</v>
      </c>
      <c r="F101" s="23">
        <v>4</v>
      </c>
      <c r="G101" s="23">
        <v>0</v>
      </c>
      <c r="H101" s="23">
        <v>0</v>
      </c>
      <c r="I101" s="23" t="s">
        <v>24</v>
      </c>
      <c r="J101" s="23" t="s">
        <v>597</v>
      </c>
      <c r="K101" s="23" t="s">
        <v>1856</v>
      </c>
      <c r="L101" s="23">
        <v>45822</v>
      </c>
      <c r="M101" s="28">
        <v>1.7361111111111112E-2</v>
      </c>
      <c r="N101" s="3">
        <v>45799</v>
      </c>
      <c r="O101">
        <v>139618</v>
      </c>
      <c r="P101">
        <v>45</v>
      </c>
      <c r="Q101" s="23" t="s">
        <v>2158</v>
      </c>
    </row>
    <row r="102" spans="1:17" x14ac:dyDescent="0.35">
      <c r="A102" s="23">
        <v>1019959</v>
      </c>
      <c r="B102" s="23">
        <v>1</v>
      </c>
      <c r="C102" s="23">
        <v>1019974</v>
      </c>
      <c r="D102" s="23" t="s">
        <v>1770</v>
      </c>
      <c r="E102" s="5">
        <v>30</v>
      </c>
      <c r="F102" s="23">
        <v>4</v>
      </c>
      <c r="G102" s="23">
        <v>0</v>
      </c>
      <c r="H102" s="23">
        <v>0</v>
      </c>
      <c r="I102" s="23" t="s">
        <v>24</v>
      </c>
      <c r="J102" s="23" t="s">
        <v>597</v>
      </c>
      <c r="K102" s="23" t="s">
        <v>1856</v>
      </c>
      <c r="L102" s="23">
        <v>45822</v>
      </c>
      <c r="M102" s="28">
        <v>2.0833333333333332E-2</v>
      </c>
      <c r="N102" s="3">
        <v>45799</v>
      </c>
      <c r="O102">
        <v>139619</v>
      </c>
      <c r="P102">
        <v>45</v>
      </c>
      <c r="Q102" s="23" t="s">
        <v>2159</v>
      </c>
    </row>
    <row r="103" spans="1:17" x14ac:dyDescent="0.35">
      <c r="A103" s="23">
        <v>1019959</v>
      </c>
      <c r="B103" s="23">
        <v>1</v>
      </c>
      <c r="C103" s="23">
        <v>1019979</v>
      </c>
      <c r="D103" s="23" t="s">
        <v>1855</v>
      </c>
      <c r="E103" s="5">
        <v>20</v>
      </c>
      <c r="F103" s="23">
        <v>8</v>
      </c>
      <c r="G103" s="23">
        <v>0</v>
      </c>
      <c r="H103" s="23">
        <v>0</v>
      </c>
      <c r="I103" s="23" t="s">
        <v>24</v>
      </c>
      <c r="J103" s="23" t="s">
        <v>597</v>
      </c>
      <c r="K103" s="23" t="s">
        <v>1856</v>
      </c>
      <c r="L103" s="24">
        <v>45822</v>
      </c>
      <c r="M103" s="28">
        <v>1.3888888888888888E-2</v>
      </c>
      <c r="N103" s="3">
        <v>45799</v>
      </c>
      <c r="O103">
        <v>139624</v>
      </c>
      <c r="P103">
        <v>45</v>
      </c>
      <c r="Q103" s="23" t="s">
        <v>2160</v>
      </c>
    </row>
    <row r="104" spans="1:17" x14ac:dyDescent="0.35">
      <c r="A104" s="23">
        <v>1013477</v>
      </c>
      <c r="B104" s="23">
        <v>1</v>
      </c>
      <c r="C104" s="23">
        <v>1013573</v>
      </c>
      <c r="D104" s="23" t="s">
        <v>453</v>
      </c>
      <c r="E104" s="5">
        <v>30</v>
      </c>
      <c r="F104" s="23">
        <v>1</v>
      </c>
      <c r="G104" s="23">
        <v>0</v>
      </c>
      <c r="H104" s="23">
        <v>0</v>
      </c>
      <c r="I104" s="23" t="s">
        <v>24</v>
      </c>
      <c r="J104" s="23" t="s">
        <v>597</v>
      </c>
      <c r="K104" s="23" t="s">
        <v>1857</v>
      </c>
      <c r="L104" s="24">
        <v>45820</v>
      </c>
      <c r="M104" s="28">
        <v>2.0833333333333332E-2</v>
      </c>
      <c r="N104" s="3">
        <v>45803</v>
      </c>
      <c r="O104">
        <v>175904</v>
      </c>
      <c r="P104">
        <v>45</v>
      </c>
      <c r="Q104" s="23" t="s">
        <v>2161</v>
      </c>
    </row>
    <row r="105" spans="1:17" x14ac:dyDescent="0.35">
      <c r="A105" s="23">
        <v>1013477</v>
      </c>
      <c r="B105" s="23">
        <v>1</v>
      </c>
      <c r="C105" s="23">
        <v>1013498</v>
      </c>
      <c r="D105" s="23" t="s">
        <v>451</v>
      </c>
      <c r="E105" s="5">
        <v>15</v>
      </c>
      <c r="F105" s="23">
        <v>1</v>
      </c>
      <c r="G105" s="23">
        <v>0</v>
      </c>
      <c r="H105" s="23">
        <v>0</v>
      </c>
      <c r="I105" s="23" t="s">
        <v>24</v>
      </c>
      <c r="J105" s="23" t="s">
        <v>597</v>
      </c>
      <c r="K105" s="23" t="s">
        <v>1857</v>
      </c>
      <c r="L105" s="24">
        <v>45820</v>
      </c>
      <c r="M105" s="28">
        <v>1.0416666666666666E-2</v>
      </c>
      <c r="N105" s="3">
        <v>45803</v>
      </c>
      <c r="O105">
        <v>175819</v>
      </c>
      <c r="P105">
        <v>45</v>
      </c>
      <c r="Q105" s="23" t="s">
        <v>2162</v>
      </c>
    </row>
    <row r="106" spans="1:17" x14ac:dyDescent="0.35">
      <c r="A106" s="23">
        <v>1013612</v>
      </c>
      <c r="B106" s="23">
        <v>1</v>
      </c>
      <c r="C106" s="23">
        <v>1013633</v>
      </c>
      <c r="D106" s="23" t="s">
        <v>451</v>
      </c>
      <c r="E106" s="5">
        <v>15</v>
      </c>
      <c r="F106" s="23">
        <v>1</v>
      </c>
      <c r="G106" s="23">
        <v>0</v>
      </c>
      <c r="H106" s="23">
        <v>0</v>
      </c>
      <c r="I106" s="23" t="s">
        <v>24</v>
      </c>
      <c r="J106" s="23" t="s">
        <v>597</v>
      </c>
      <c r="K106" s="23" t="s">
        <v>1858</v>
      </c>
      <c r="L106" s="24">
        <v>45820</v>
      </c>
      <c r="M106" s="28">
        <v>1.0416666666666666E-2</v>
      </c>
      <c r="N106" s="3">
        <v>45803</v>
      </c>
      <c r="O106">
        <v>175819</v>
      </c>
      <c r="P106">
        <v>45</v>
      </c>
      <c r="Q106" s="23" t="s">
        <v>2163</v>
      </c>
    </row>
    <row r="107" spans="1:17" x14ac:dyDescent="0.35">
      <c r="A107" s="23">
        <v>1013612</v>
      </c>
      <c r="B107" s="23">
        <v>1</v>
      </c>
      <c r="C107" s="23">
        <v>1013708</v>
      </c>
      <c r="D107" s="23" t="s">
        <v>453</v>
      </c>
      <c r="E107" s="5">
        <v>30</v>
      </c>
      <c r="F107" s="23">
        <v>1</v>
      </c>
      <c r="G107" s="23">
        <v>0</v>
      </c>
      <c r="H107" s="23">
        <v>0</v>
      </c>
      <c r="I107" s="23" t="s">
        <v>24</v>
      </c>
      <c r="J107" s="23" t="s">
        <v>597</v>
      </c>
      <c r="K107" s="23" t="s">
        <v>1858</v>
      </c>
      <c r="L107" s="24">
        <v>45820</v>
      </c>
      <c r="M107" s="28">
        <v>2.0833333333333332E-2</v>
      </c>
      <c r="N107" s="3">
        <v>45803</v>
      </c>
      <c r="O107">
        <v>175904</v>
      </c>
      <c r="P107">
        <v>45</v>
      </c>
      <c r="Q107" s="23" t="s">
        <v>2164</v>
      </c>
    </row>
    <row r="108" spans="1:17" x14ac:dyDescent="0.35">
      <c r="A108" s="23">
        <v>1015986</v>
      </c>
      <c r="B108" s="23">
        <v>1</v>
      </c>
      <c r="C108" s="23">
        <v>1016057</v>
      </c>
      <c r="D108" s="23" t="s">
        <v>1832</v>
      </c>
      <c r="E108" s="5">
        <v>7</v>
      </c>
      <c r="F108" s="23">
        <v>1</v>
      </c>
      <c r="G108" s="23">
        <v>0</v>
      </c>
      <c r="H108" s="23">
        <v>0</v>
      </c>
      <c r="I108" s="23" t="s">
        <v>24</v>
      </c>
      <c r="J108" s="23" t="s">
        <v>597</v>
      </c>
      <c r="K108" s="23" t="s">
        <v>1859</v>
      </c>
      <c r="L108" s="23">
        <v>45825</v>
      </c>
      <c r="M108" s="28">
        <v>4.8611111111111112E-3</v>
      </c>
      <c r="N108" s="3">
        <v>45803</v>
      </c>
      <c r="O108">
        <v>179986</v>
      </c>
      <c r="P108">
        <v>45</v>
      </c>
      <c r="Q108" s="23" t="s">
        <v>2165</v>
      </c>
    </row>
    <row r="109" spans="1:17" x14ac:dyDescent="0.35">
      <c r="A109" s="23">
        <v>1015986</v>
      </c>
      <c r="B109" s="23">
        <v>1</v>
      </c>
      <c r="C109" s="23">
        <v>1016031</v>
      </c>
      <c r="D109" s="23" t="s">
        <v>1860</v>
      </c>
      <c r="E109" s="5">
        <v>60</v>
      </c>
      <c r="F109" s="23">
        <v>1</v>
      </c>
      <c r="G109" s="23">
        <v>0</v>
      </c>
      <c r="H109" s="23">
        <v>0</v>
      </c>
      <c r="I109" s="23" t="s">
        <v>24</v>
      </c>
      <c r="J109" s="23" t="s">
        <v>597</v>
      </c>
      <c r="K109" s="23" t="s">
        <v>1859</v>
      </c>
      <c r="L109" s="24">
        <v>45825</v>
      </c>
      <c r="M109" s="28">
        <v>4.1666666666666664E-2</v>
      </c>
      <c r="N109" s="3">
        <v>45803</v>
      </c>
      <c r="O109">
        <v>179960</v>
      </c>
      <c r="P109">
        <v>45</v>
      </c>
      <c r="Q109" s="23" t="s">
        <v>2166</v>
      </c>
    </row>
    <row r="110" spans="1:17" x14ac:dyDescent="0.35">
      <c r="A110" s="23">
        <v>1015986</v>
      </c>
      <c r="B110" s="23">
        <v>1</v>
      </c>
      <c r="C110" s="23">
        <v>1016011</v>
      </c>
      <c r="D110" s="23" t="s">
        <v>1861</v>
      </c>
      <c r="E110" s="5">
        <v>60</v>
      </c>
      <c r="F110" s="23">
        <v>1</v>
      </c>
      <c r="G110" s="23">
        <v>0</v>
      </c>
      <c r="H110" s="23">
        <v>0</v>
      </c>
      <c r="I110" s="23" t="s">
        <v>24</v>
      </c>
      <c r="J110" s="23" t="s">
        <v>597</v>
      </c>
      <c r="K110" s="23" t="s">
        <v>1859</v>
      </c>
      <c r="L110" s="24">
        <v>45825</v>
      </c>
      <c r="M110" s="28">
        <v>4.1666666666666664E-2</v>
      </c>
      <c r="N110" s="3">
        <v>45803</v>
      </c>
      <c r="O110">
        <v>179940</v>
      </c>
      <c r="P110">
        <v>45</v>
      </c>
      <c r="Q110" s="23" t="s">
        <v>2167</v>
      </c>
    </row>
    <row r="111" spans="1:17" x14ac:dyDescent="0.35">
      <c r="A111" s="23">
        <v>1016441</v>
      </c>
      <c r="B111" s="23">
        <v>1</v>
      </c>
      <c r="C111" s="23">
        <v>1016443</v>
      </c>
      <c r="D111" s="23" t="s">
        <v>1862</v>
      </c>
      <c r="E111" s="5">
        <v>45</v>
      </c>
      <c r="F111" s="23">
        <v>1</v>
      </c>
      <c r="G111" s="23">
        <v>0</v>
      </c>
      <c r="H111" s="23">
        <v>0</v>
      </c>
      <c r="I111" s="23" t="s">
        <v>24</v>
      </c>
      <c r="J111" s="23" t="s">
        <v>597</v>
      </c>
      <c r="K111" s="23" t="s">
        <v>1863</v>
      </c>
      <c r="L111" s="24">
        <v>45815</v>
      </c>
      <c r="M111" s="28">
        <v>3.125E-2</v>
      </c>
      <c r="N111" s="3">
        <v>45803</v>
      </c>
      <c r="O111">
        <v>182553</v>
      </c>
      <c r="P111">
        <v>45</v>
      </c>
      <c r="Q111" s="23" t="s">
        <v>2168</v>
      </c>
    </row>
    <row r="112" spans="1:17" x14ac:dyDescent="0.35">
      <c r="A112" s="23">
        <v>1016620</v>
      </c>
      <c r="B112" s="23">
        <v>1</v>
      </c>
      <c r="C112" s="23">
        <v>1016624</v>
      </c>
      <c r="D112" s="23" t="s">
        <v>1862</v>
      </c>
      <c r="E112" s="5">
        <v>45</v>
      </c>
      <c r="F112" s="23">
        <v>3</v>
      </c>
      <c r="G112" s="23">
        <v>0</v>
      </c>
      <c r="H112" s="23">
        <v>0</v>
      </c>
      <c r="I112" s="23" t="s">
        <v>24</v>
      </c>
      <c r="J112" s="23" t="s">
        <v>597</v>
      </c>
      <c r="K112" s="23" t="s">
        <v>1864</v>
      </c>
      <c r="L112" s="24">
        <v>45815</v>
      </c>
      <c r="M112" s="28">
        <v>3.125E-2</v>
      </c>
      <c r="N112" s="3">
        <v>45803</v>
      </c>
      <c r="O112">
        <v>182553</v>
      </c>
      <c r="P112">
        <v>45</v>
      </c>
      <c r="Q112" s="23" t="s">
        <v>2169</v>
      </c>
    </row>
    <row r="113" spans="1:17" x14ac:dyDescent="0.35">
      <c r="A113" s="23">
        <v>1016621</v>
      </c>
      <c r="B113" s="23">
        <v>1</v>
      </c>
      <c r="C113" s="23">
        <v>1016624</v>
      </c>
      <c r="D113" s="23" t="s">
        <v>1862</v>
      </c>
      <c r="E113" s="5">
        <v>45</v>
      </c>
      <c r="F113" s="23">
        <v>3</v>
      </c>
      <c r="G113" s="23">
        <v>0</v>
      </c>
      <c r="H113" s="23">
        <v>0</v>
      </c>
      <c r="I113" s="23" t="s">
        <v>24</v>
      </c>
      <c r="J113" s="23" t="s">
        <v>597</v>
      </c>
      <c r="K113" s="23" t="s">
        <v>1864</v>
      </c>
      <c r="L113" s="24">
        <v>45815</v>
      </c>
      <c r="M113" s="28">
        <v>3.125E-2</v>
      </c>
      <c r="N113" s="3">
        <v>45803</v>
      </c>
      <c r="O113">
        <v>182553</v>
      </c>
      <c r="P113">
        <v>45</v>
      </c>
      <c r="Q113" s="23" t="s">
        <v>2170</v>
      </c>
    </row>
    <row r="114" spans="1:17" x14ac:dyDescent="0.35">
      <c r="A114" s="23">
        <v>1016622</v>
      </c>
      <c r="B114" s="23">
        <v>1</v>
      </c>
      <c r="C114" s="23">
        <v>1016624</v>
      </c>
      <c r="D114" s="23" t="s">
        <v>1862</v>
      </c>
      <c r="E114" s="5">
        <v>45</v>
      </c>
      <c r="F114" s="23">
        <v>3</v>
      </c>
      <c r="G114" s="23">
        <v>0</v>
      </c>
      <c r="H114" s="23">
        <v>0</v>
      </c>
      <c r="I114" s="23" t="s">
        <v>24</v>
      </c>
      <c r="J114" s="23" t="s">
        <v>597</v>
      </c>
      <c r="K114" s="23" t="s">
        <v>1864</v>
      </c>
      <c r="L114" s="23">
        <v>45815</v>
      </c>
      <c r="M114" s="28">
        <v>3.125E-2</v>
      </c>
      <c r="N114" s="3">
        <v>45803</v>
      </c>
      <c r="O114">
        <v>182553</v>
      </c>
      <c r="P114">
        <v>45</v>
      </c>
      <c r="Q114" s="23" t="s">
        <v>2171</v>
      </c>
    </row>
    <row r="115" spans="1:17" x14ac:dyDescent="0.35">
      <c r="A115" s="23">
        <v>1018313</v>
      </c>
      <c r="B115" s="23">
        <v>1</v>
      </c>
      <c r="C115" s="23">
        <v>1018370</v>
      </c>
      <c r="D115" s="23" t="s">
        <v>1865</v>
      </c>
      <c r="E115" s="5">
        <v>15</v>
      </c>
      <c r="F115" s="23">
        <v>1</v>
      </c>
      <c r="G115" s="23">
        <v>0</v>
      </c>
      <c r="H115" s="23">
        <v>0</v>
      </c>
      <c r="I115" s="23" t="s">
        <v>24</v>
      </c>
      <c r="J115" s="23" t="s">
        <v>597</v>
      </c>
      <c r="K115" s="23" t="s">
        <v>1866</v>
      </c>
      <c r="L115" s="24">
        <v>45820</v>
      </c>
      <c r="M115" s="28">
        <v>1.0416666666666666E-2</v>
      </c>
      <c r="N115" s="3">
        <v>45803</v>
      </c>
      <c r="O115">
        <v>180182</v>
      </c>
      <c r="P115">
        <v>45</v>
      </c>
      <c r="Q115" s="23" t="s">
        <v>2172</v>
      </c>
    </row>
    <row r="116" spans="1:17" x14ac:dyDescent="0.35">
      <c r="A116" s="23">
        <v>1018313</v>
      </c>
      <c r="B116" s="23">
        <v>1</v>
      </c>
      <c r="C116" s="23">
        <v>1018388</v>
      </c>
      <c r="D116" s="23" t="s">
        <v>979</v>
      </c>
      <c r="E116" s="5">
        <v>10</v>
      </c>
      <c r="F116" s="23">
        <v>1</v>
      </c>
      <c r="G116" s="23">
        <v>0</v>
      </c>
      <c r="H116" s="23">
        <v>0</v>
      </c>
      <c r="I116" s="23" t="s">
        <v>24</v>
      </c>
      <c r="J116" s="23" t="s">
        <v>597</v>
      </c>
      <c r="K116" s="23" t="s">
        <v>1866</v>
      </c>
      <c r="L116" s="24">
        <v>45820</v>
      </c>
      <c r="M116" s="28">
        <v>6.9444444444444441E-3</v>
      </c>
      <c r="N116" s="3">
        <v>45803</v>
      </c>
      <c r="O116">
        <v>180200</v>
      </c>
      <c r="P116">
        <v>45</v>
      </c>
      <c r="Q116" s="23" t="s">
        <v>2173</v>
      </c>
    </row>
    <row r="117" spans="1:17" x14ac:dyDescent="0.35">
      <c r="A117" s="23">
        <v>1018650</v>
      </c>
      <c r="B117" s="23">
        <v>1</v>
      </c>
      <c r="C117" s="23">
        <v>1018634</v>
      </c>
      <c r="D117" s="23" t="s">
        <v>1052</v>
      </c>
      <c r="E117" s="5">
        <v>50</v>
      </c>
      <c r="F117" s="23">
        <v>1</v>
      </c>
      <c r="G117" s="23">
        <v>0</v>
      </c>
      <c r="H117" s="23">
        <v>0</v>
      </c>
      <c r="I117" s="23" t="s">
        <v>24</v>
      </c>
      <c r="J117" s="23" t="s">
        <v>597</v>
      </c>
      <c r="K117" s="23" t="s">
        <v>1867</v>
      </c>
      <c r="L117" s="24">
        <v>45821</v>
      </c>
      <c r="M117" s="28">
        <v>3.4722222222222224E-2</v>
      </c>
      <c r="N117" s="3">
        <v>45803</v>
      </c>
      <c r="O117">
        <v>190453</v>
      </c>
      <c r="P117">
        <v>45</v>
      </c>
      <c r="Q117" s="23" t="s">
        <v>2174</v>
      </c>
    </row>
    <row r="118" spans="1:17" x14ac:dyDescent="0.35">
      <c r="A118" s="23">
        <v>1020045</v>
      </c>
      <c r="B118" s="23">
        <v>1</v>
      </c>
      <c r="C118" s="23">
        <v>1020090</v>
      </c>
      <c r="D118" s="23" t="s">
        <v>1767</v>
      </c>
      <c r="E118" s="5">
        <v>30</v>
      </c>
      <c r="F118" s="23">
        <v>1</v>
      </c>
      <c r="G118" s="23">
        <v>0</v>
      </c>
      <c r="H118" s="23">
        <v>0</v>
      </c>
      <c r="I118" s="23" t="s">
        <v>24</v>
      </c>
      <c r="J118" s="23" t="s">
        <v>597</v>
      </c>
      <c r="K118" s="23" t="s">
        <v>1868</v>
      </c>
      <c r="L118" s="23">
        <v>45822</v>
      </c>
      <c r="M118" s="28">
        <v>2.0833333333333332E-2</v>
      </c>
      <c r="N118" s="3">
        <v>45803</v>
      </c>
      <c r="O118">
        <v>151167</v>
      </c>
      <c r="P118">
        <v>45</v>
      </c>
      <c r="Q118" s="23" t="s">
        <v>2175</v>
      </c>
    </row>
    <row r="119" spans="1:17" x14ac:dyDescent="0.35">
      <c r="A119" s="23">
        <v>1020045</v>
      </c>
      <c r="B119" s="23">
        <v>1</v>
      </c>
      <c r="C119" s="23">
        <v>1020091</v>
      </c>
      <c r="D119" s="23" t="s">
        <v>1766</v>
      </c>
      <c r="E119" s="5">
        <v>30</v>
      </c>
      <c r="F119" s="23">
        <v>1</v>
      </c>
      <c r="G119" s="23">
        <v>0</v>
      </c>
      <c r="H119" s="23">
        <v>0</v>
      </c>
      <c r="I119" s="23" t="s">
        <v>24</v>
      </c>
      <c r="J119" s="23" t="s">
        <v>597</v>
      </c>
      <c r="K119" s="23" t="s">
        <v>1868</v>
      </c>
      <c r="L119" s="24">
        <v>45822</v>
      </c>
      <c r="M119" s="28">
        <v>2.0833333333333332E-2</v>
      </c>
      <c r="N119" s="3">
        <v>45803</v>
      </c>
      <c r="O119">
        <v>151168</v>
      </c>
      <c r="P119">
        <v>45</v>
      </c>
      <c r="Q119" s="23" t="s">
        <v>2176</v>
      </c>
    </row>
    <row r="120" spans="1:17" x14ac:dyDescent="0.35">
      <c r="A120" s="23">
        <v>1020045</v>
      </c>
      <c r="B120" s="23">
        <v>1</v>
      </c>
      <c r="C120" s="23">
        <v>1020099</v>
      </c>
      <c r="D120" s="23" t="s">
        <v>1609</v>
      </c>
      <c r="E120" s="5">
        <v>50</v>
      </c>
      <c r="F120" s="23">
        <v>2</v>
      </c>
      <c r="G120" s="23">
        <v>0</v>
      </c>
      <c r="H120" s="23">
        <v>0</v>
      </c>
      <c r="I120" s="23" t="s">
        <v>24</v>
      </c>
      <c r="J120" s="23" t="s">
        <v>597</v>
      </c>
      <c r="K120" s="23" t="s">
        <v>1868</v>
      </c>
      <c r="L120" s="24">
        <v>45822</v>
      </c>
      <c r="M120" s="28">
        <v>3.4722222222222224E-2</v>
      </c>
      <c r="N120" s="3">
        <v>45803</v>
      </c>
      <c r="O120">
        <v>151176</v>
      </c>
      <c r="P120">
        <v>45</v>
      </c>
      <c r="Q120" s="23" t="s">
        <v>2177</v>
      </c>
    </row>
    <row r="121" spans="1:17" x14ac:dyDescent="0.35">
      <c r="A121" s="23">
        <v>1021509</v>
      </c>
      <c r="B121" s="23">
        <v>1</v>
      </c>
      <c r="C121" s="23">
        <v>1021566</v>
      </c>
      <c r="D121" s="23" t="s">
        <v>1865</v>
      </c>
      <c r="E121" s="5">
        <v>15</v>
      </c>
      <c r="F121" s="23">
        <v>1</v>
      </c>
      <c r="G121" s="23">
        <v>0</v>
      </c>
      <c r="H121" s="23">
        <v>0</v>
      </c>
      <c r="I121" s="23" t="s">
        <v>24</v>
      </c>
      <c r="J121" s="23" t="s">
        <v>597</v>
      </c>
      <c r="K121" s="23" t="s">
        <v>1869</v>
      </c>
      <c r="L121" s="24">
        <v>45820</v>
      </c>
      <c r="M121" s="28">
        <v>1.0416666666666666E-2</v>
      </c>
      <c r="N121" s="3">
        <v>45803</v>
      </c>
      <c r="O121">
        <v>180182</v>
      </c>
      <c r="P121">
        <v>45</v>
      </c>
      <c r="Q121" s="23" t="s">
        <v>2178</v>
      </c>
    </row>
    <row r="122" spans="1:17" x14ac:dyDescent="0.35">
      <c r="A122" s="23">
        <v>1024565</v>
      </c>
      <c r="B122" s="23">
        <v>8</v>
      </c>
      <c r="C122" s="23">
        <v>1024560</v>
      </c>
      <c r="D122" s="23" t="s">
        <v>239</v>
      </c>
      <c r="E122" s="5">
        <v>80</v>
      </c>
      <c r="F122" s="23">
        <v>8</v>
      </c>
      <c r="G122" s="23">
        <v>5</v>
      </c>
      <c r="H122" s="23">
        <v>50</v>
      </c>
      <c r="I122" s="23" t="s">
        <v>24</v>
      </c>
      <c r="J122" s="23" t="s">
        <v>597</v>
      </c>
      <c r="K122" s="23" t="s">
        <v>1870</v>
      </c>
      <c r="L122" s="24">
        <v>45819</v>
      </c>
      <c r="M122" s="28">
        <v>5.5555555555555552E-2</v>
      </c>
      <c r="N122" s="3">
        <v>45803</v>
      </c>
      <c r="O122">
        <v>155692</v>
      </c>
      <c r="P122">
        <v>45</v>
      </c>
      <c r="Q122" s="23" t="s">
        <v>2179</v>
      </c>
    </row>
    <row r="123" spans="1:17" x14ac:dyDescent="0.35">
      <c r="A123" s="23">
        <v>1024565</v>
      </c>
      <c r="B123" s="23">
        <v>8</v>
      </c>
      <c r="C123" s="23">
        <v>1024546</v>
      </c>
      <c r="D123" s="23" t="s">
        <v>243</v>
      </c>
      <c r="E123" s="5">
        <v>80</v>
      </c>
      <c r="F123" s="23">
        <v>8</v>
      </c>
      <c r="G123" s="23">
        <v>0</v>
      </c>
      <c r="H123" s="23">
        <v>0</v>
      </c>
      <c r="I123" s="23" t="s">
        <v>24</v>
      </c>
      <c r="J123" s="23" t="s">
        <v>597</v>
      </c>
      <c r="K123" s="23" t="s">
        <v>1870</v>
      </c>
      <c r="L123" s="24">
        <v>45819</v>
      </c>
      <c r="M123" s="28">
        <v>5.5555555555555552E-2</v>
      </c>
      <c r="N123" s="3">
        <v>45803</v>
      </c>
      <c r="O123">
        <v>155678</v>
      </c>
      <c r="P123">
        <v>45</v>
      </c>
      <c r="Q123" s="23" t="s">
        <v>2180</v>
      </c>
    </row>
    <row r="124" spans="1:17" x14ac:dyDescent="0.35">
      <c r="A124" s="23">
        <v>1027505</v>
      </c>
      <c r="B124" s="23">
        <v>1</v>
      </c>
      <c r="C124" s="23">
        <v>1027506</v>
      </c>
      <c r="D124" s="23" t="s">
        <v>1079</v>
      </c>
      <c r="E124" s="5">
        <v>80</v>
      </c>
      <c r="F124" s="23">
        <v>2</v>
      </c>
      <c r="G124" s="23">
        <v>0</v>
      </c>
      <c r="H124" s="23">
        <v>0</v>
      </c>
      <c r="I124" s="23" t="s">
        <v>24</v>
      </c>
      <c r="J124" s="23" t="s">
        <v>597</v>
      </c>
      <c r="K124" s="23" t="s">
        <v>1871</v>
      </c>
      <c r="L124" s="24">
        <v>45820</v>
      </c>
      <c r="M124" s="28">
        <v>5.5555555555555552E-2</v>
      </c>
      <c r="N124" s="3">
        <v>45804</v>
      </c>
      <c r="O124">
        <v>175379</v>
      </c>
      <c r="P124">
        <v>45</v>
      </c>
      <c r="Q124" s="23" t="s">
        <v>2181</v>
      </c>
    </row>
    <row r="125" spans="1:17" x14ac:dyDescent="0.35">
      <c r="A125" s="23">
        <v>1027509</v>
      </c>
      <c r="B125" s="23">
        <v>4</v>
      </c>
      <c r="C125" s="23">
        <v>1027510</v>
      </c>
      <c r="D125" s="23" t="s">
        <v>1079</v>
      </c>
      <c r="E125" s="5">
        <v>320</v>
      </c>
      <c r="F125" s="23">
        <v>8</v>
      </c>
      <c r="G125" s="23">
        <v>0</v>
      </c>
      <c r="H125" s="23">
        <v>0</v>
      </c>
      <c r="I125" s="23" t="s">
        <v>24</v>
      </c>
      <c r="J125" s="23" t="s">
        <v>597</v>
      </c>
      <c r="K125" s="23" t="s">
        <v>1872</v>
      </c>
      <c r="L125" s="24">
        <v>45820</v>
      </c>
      <c r="M125" s="28">
        <v>0.22222222222222221</v>
      </c>
      <c r="N125" s="3">
        <v>45804</v>
      </c>
      <c r="O125">
        <v>175379</v>
      </c>
      <c r="P125">
        <v>45</v>
      </c>
      <c r="Q125" s="23" t="s">
        <v>2182</v>
      </c>
    </row>
    <row r="126" spans="1:17" x14ac:dyDescent="0.35">
      <c r="A126" s="23">
        <v>1012730</v>
      </c>
      <c r="B126" s="23">
        <v>1</v>
      </c>
      <c r="C126" s="23">
        <v>1012731</v>
      </c>
      <c r="D126" s="23" t="s">
        <v>1131</v>
      </c>
      <c r="E126" s="5">
        <v>65</v>
      </c>
      <c r="F126" s="23">
        <v>1</v>
      </c>
      <c r="G126" s="23">
        <v>0</v>
      </c>
      <c r="H126" s="23">
        <v>0</v>
      </c>
      <c r="I126" s="23" t="s">
        <v>24</v>
      </c>
      <c r="J126" s="23" t="s">
        <v>597</v>
      </c>
      <c r="K126" s="23" t="s">
        <v>1873</v>
      </c>
      <c r="L126" s="24">
        <v>45819</v>
      </c>
      <c r="M126" s="28">
        <v>4.5138888888888888E-2</v>
      </c>
      <c r="N126" s="3">
        <v>45805</v>
      </c>
      <c r="O126">
        <v>190052</v>
      </c>
      <c r="P126">
        <v>45</v>
      </c>
      <c r="Q126" s="23" t="s">
        <v>2183</v>
      </c>
    </row>
    <row r="127" spans="1:17" x14ac:dyDescent="0.35">
      <c r="A127" s="23">
        <v>1028129</v>
      </c>
      <c r="B127" s="23">
        <v>1</v>
      </c>
      <c r="C127" s="23">
        <v>1028135</v>
      </c>
      <c r="D127" s="23" t="s">
        <v>1874</v>
      </c>
      <c r="E127" s="5">
        <v>30</v>
      </c>
      <c r="F127" s="23">
        <v>2</v>
      </c>
      <c r="G127" s="23">
        <v>0</v>
      </c>
      <c r="H127" s="23">
        <v>0</v>
      </c>
      <c r="I127" s="23" t="s">
        <v>24</v>
      </c>
      <c r="J127" s="23" t="s">
        <v>597</v>
      </c>
      <c r="K127" s="23" t="s">
        <v>1875</v>
      </c>
      <c r="L127" s="24">
        <v>45826</v>
      </c>
      <c r="M127" s="28">
        <v>2.0833333333333332E-2</v>
      </c>
      <c r="N127" s="3">
        <v>45807</v>
      </c>
      <c r="O127">
        <v>232942</v>
      </c>
      <c r="P127">
        <v>45</v>
      </c>
      <c r="Q127" s="23" t="s">
        <v>2184</v>
      </c>
    </row>
    <row r="128" spans="1:17" x14ac:dyDescent="0.35">
      <c r="A128" s="23">
        <v>1002939</v>
      </c>
      <c r="B128" s="23">
        <v>1</v>
      </c>
      <c r="C128" s="23">
        <v>1002940</v>
      </c>
      <c r="D128" s="23" t="s">
        <v>1876</v>
      </c>
      <c r="E128" s="5">
        <v>30</v>
      </c>
      <c r="F128" s="23">
        <v>1</v>
      </c>
      <c r="G128" s="23">
        <v>0</v>
      </c>
      <c r="H128" s="23">
        <v>0</v>
      </c>
      <c r="I128" s="23" t="s">
        <v>24</v>
      </c>
      <c r="J128" s="23" t="s">
        <v>597</v>
      </c>
      <c r="K128" s="23" t="s">
        <v>1877</v>
      </c>
      <c r="L128" s="24">
        <v>45838</v>
      </c>
      <c r="M128" s="28">
        <v>2.0833333333333332E-2</v>
      </c>
      <c r="N128" s="3">
        <v>45810</v>
      </c>
      <c r="O128">
        <v>180676</v>
      </c>
      <c r="P128">
        <v>45</v>
      </c>
      <c r="Q128" s="23" t="s">
        <v>2185</v>
      </c>
    </row>
    <row r="129" spans="1:17" x14ac:dyDescent="0.35">
      <c r="A129" s="23">
        <v>1002949</v>
      </c>
      <c r="B129" s="23">
        <v>1</v>
      </c>
      <c r="C129" s="23">
        <v>1002950</v>
      </c>
      <c r="D129" s="23" t="s">
        <v>1878</v>
      </c>
      <c r="E129" s="5">
        <v>30</v>
      </c>
      <c r="F129" s="23">
        <v>1</v>
      </c>
      <c r="G129" s="23">
        <v>0</v>
      </c>
      <c r="H129" s="23">
        <v>0</v>
      </c>
      <c r="I129" s="23" t="s">
        <v>24</v>
      </c>
      <c r="J129" s="23" t="s">
        <v>597</v>
      </c>
      <c r="K129" s="23" t="s">
        <v>1879</v>
      </c>
      <c r="L129" s="24">
        <v>45838</v>
      </c>
      <c r="M129" s="28">
        <v>2.0833333333333332E-2</v>
      </c>
      <c r="N129" s="3">
        <v>45810</v>
      </c>
      <c r="O129">
        <v>180685</v>
      </c>
      <c r="P129">
        <v>45</v>
      </c>
      <c r="Q129" s="23" t="s">
        <v>2186</v>
      </c>
    </row>
    <row r="130" spans="1:17" x14ac:dyDescent="0.35">
      <c r="A130" s="23">
        <v>1003756</v>
      </c>
      <c r="B130" s="23">
        <v>2</v>
      </c>
      <c r="C130" s="23">
        <v>1003804</v>
      </c>
      <c r="D130" s="23" t="s">
        <v>1755</v>
      </c>
      <c r="E130" s="5">
        <v>101.53846153846155</v>
      </c>
      <c r="F130" s="23">
        <v>12</v>
      </c>
      <c r="G130" s="23">
        <v>0</v>
      </c>
      <c r="H130" s="23">
        <v>0</v>
      </c>
      <c r="I130" s="23" t="s">
        <v>24</v>
      </c>
      <c r="J130" s="23" t="s">
        <v>597</v>
      </c>
      <c r="K130" s="23" t="s">
        <v>1880</v>
      </c>
      <c r="L130" s="24">
        <v>45820</v>
      </c>
      <c r="M130" s="28">
        <v>7.0512820512820512E-2</v>
      </c>
      <c r="N130" s="3">
        <v>45810</v>
      </c>
      <c r="O130">
        <v>227566</v>
      </c>
      <c r="P130">
        <v>45</v>
      </c>
      <c r="Q130" s="23" t="s">
        <v>2187</v>
      </c>
    </row>
    <row r="131" spans="1:17" x14ac:dyDescent="0.35">
      <c r="A131" s="23">
        <v>1003756</v>
      </c>
      <c r="B131" s="23">
        <v>2</v>
      </c>
      <c r="C131" s="23">
        <v>1003788</v>
      </c>
      <c r="D131" s="23" t="s">
        <v>1754</v>
      </c>
      <c r="E131" s="5">
        <v>18.461538461538463</v>
      </c>
      <c r="F131" s="23">
        <v>12</v>
      </c>
      <c r="G131" s="23">
        <v>0</v>
      </c>
      <c r="H131" s="23">
        <v>0</v>
      </c>
      <c r="I131" s="23" t="s">
        <v>24</v>
      </c>
      <c r="J131" s="23" t="s">
        <v>597</v>
      </c>
      <c r="K131" s="23" t="s">
        <v>1880</v>
      </c>
      <c r="L131" s="23">
        <v>45820</v>
      </c>
      <c r="M131" s="28">
        <v>1.282051282051282E-2</v>
      </c>
      <c r="N131" s="3">
        <v>45810</v>
      </c>
      <c r="O131">
        <v>227549</v>
      </c>
      <c r="P131">
        <v>45</v>
      </c>
      <c r="Q131" s="23" t="s">
        <v>2188</v>
      </c>
    </row>
    <row r="132" spans="1:17" x14ac:dyDescent="0.35">
      <c r="A132" s="23">
        <v>1003757</v>
      </c>
      <c r="B132" s="23">
        <v>1</v>
      </c>
      <c r="C132" s="23">
        <v>1003804</v>
      </c>
      <c r="D132" s="23" t="s">
        <v>1755</v>
      </c>
      <c r="E132" s="5">
        <v>50.769230769230774</v>
      </c>
      <c r="F132" s="23">
        <v>12</v>
      </c>
      <c r="G132" s="23">
        <v>0</v>
      </c>
      <c r="H132" s="23">
        <v>0</v>
      </c>
      <c r="I132" s="23" t="s">
        <v>24</v>
      </c>
      <c r="J132" s="23" t="s">
        <v>597</v>
      </c>
      <c r="K132" s="23" t="s">
        <v>1880</v>
      </c>
      <c r="L132" s="24">
        <v>45820</v>
      </c>
      <c r="M132" s="28">
        <v>3.5256410256410256E-2</v>
      </c>
      <c r="N132" s="3">
        <v>45810</v>
      </c>
      <c r="O132">
        <v>227566</v>
      </c>
      <c r="P132">
        <v>45</v>
      </c>
      <c r="Q132" s="23" t="s">
        <v>2189</v>
      </c>
    </row>
    <row r="133" spans="1:17" x14ac:dyDescent="0.35">
      <c r="A133" s="23">
        <v>1003757</v>
      </c>
      <c r="B133" s="23">
        <v>1</v>
      </c>
      <c r="C133" s="23">
        <v>1003788</v>
      </c>
      <c r="D133" s="23" t="s">
        <v>1754</v>
      </c>
      <c r="E133" s="5">
        <v>9.2307692307692317</v>
      </c>
      <c r="F133" s="23">
        <v>12</v>
      </c>
      <c r="G133" s="23">
        <v>0</v>
      </c>
      <c r="H133" s="23">
        <v>0</v>
      </c>
      <c r="I133" s="23" t="s">
        <v>24</v>
      </c>
      <c r="J133" s="23" t="s">
        <v>597</v>
      </c>
      <c r="K133" s="23" t="s">
        <v>1880</v>
      </c>
      <c r="L133" s="24">
        <v>45820</v>
      </c>
      <c r="M133" s="28">
        <v>6.41025641025641E-3</v>
      </c>
      <c r="N133" s="3">
        <v>45810</v>
      </c>
      <c r="O133">
        <v>227549</v>
      </c>
      <c r="P133">
        <v>45</v>
      </c>
      <c r="Q133" s="23" t="s">
        <v>2190</v>
      </c>
    </row>
    <row r="134" spans="1:17" x14ac:dyDescent="0.35">
      <c r="A134" s="23">
        <v>1003758</v>
      </c>
      <c r="B134" s="23">
        <v>1</v>
      </c>
      <c r="C134" s="23">
        <v>1003804</v>
      </c>
      <c r="D134" s="23" t="s">
        <v>1755</v>
      </c>
      <c r="E134" s="5">
        <v>50.769230769230774</v>
      </c>
      <c r="F134" s="23">
        <v>12</v>
      </c>
      <c r="G134" s="23">
        <v>0</v>
      </c>
      <c r="H134" s="23">
        <v>0</v>
      </c>
      <c r="I134" s="23" t="s">
        <v>24</v>
      </c>
      <c r="J134" s="23" t="s">
        <v>597</v>
      </c>
      <c r="K134" s="23" t="s">
        <v>1880</v>
      </c>
      <c r="L134" s="24">
        <v>45820</v>
      </c>
      <c r="M134" s="28">
        <v>3.5256410256410256E-2</v>
      </c>
      <c r="N134" s="3">
        <v>45810</v>
      </c>
      <c r="O134">
        <v>227566</v>
      </c>
      <c r="P134">
        <v>45</v>
      </c>
      <c r="Q134" s="23" t="s">
        <v>2191</v>
      </c>
    </row>
    <row r="135" spans="1:17" x14ac:dyDescent="0.35">
      <c r="A135" s="23">
        <v>1003758</v>
      </c>
      <c r="B135" s="23">
        <v>1</v>
      </c>
      <c r="C135" s="23">
        <v>1003788</v>
      </c>
      <c r="D135" s="23" t="s">
        <v>1754</v>
      </c>
      <c r="E135" s="5">
        <v>9.2307692307692317</v>
      </c>
      <c r="F135" s="23">
        <v>12</v>
      </c>
      <c r="G135" s="23">
        <v>0</v>
      </c>
      <c r="H135" s="23">
        <v>0</v>
      </c>
      <c r="I135" s="23" t="s">
        <v>24</v>
      </c>
      <c r="J135" s="23" t="s">
        <v>597</v>
      </c>
      <c r="K135" s="23" t="s">
        <v>1880</v>
      </c>
      <c r="L135" s="24">
        <v>45820</v>
      </c>
      <c r="M135" s="28">
        <v>6.41025641025641E-3</v>
      </c>
      <c r="N135" s="3">
        <v>45810</v>
      </c>
      <c r="O135">
        <v>227549</v>
      </c>
      <c r="P135">
        <v>45</v>
      </c>
      <c r="Q135" s="23" t="s">
        <v>2192</v>
      </c>
    </row>
    <row r="136" spans="1:17" x14ac:dyDescent="0.35">
      <c r="A136" s="23">
        <v>1003759</v>
      </c>
      <c r="B136" s="23">
        <v>1</v>
      </c>
      <c r="C136" s="23">
        <v>1003804</v>
      </c>
      <c r="D136" s="23" t="s">
        <v>1755</v>
      </c>
      <c r="E136" s="5">
        <v>50.769230769230774</v>
      </c>
      <c r="F136" s="23">
        <v>12</v>
      </c>
      <c r="G136" s="23">
        <v>0</v>
      </c>
      <c r="H136" s="23">
        <v>0</v>
      </c>
      <c r="I136" s="23" t="s">
        <v>24</v>
      </c>
      <c r="J136" s="23" t="s">
        <v>597</v>
      </c>
      <c r="K136" s="23" t="s">
        <v>1880</v>
      </c>
      <c r="L136" s="24">
        <v>45820</v>
      </c>
      <c r="M136" s="28">
        <v>3.5256410256410256E-2</v>
      </c>
      <c r="N136" s="3">
        <v>45810</v>
      </c>
      <c r="O136">
        <v>227566</v>
      </c>
      <c r="P136">
        <v>45</v>
      </c>
      <c r="Q136" s="23" t="s">
        <v>2193</v>
      </c>
    </row>
    <row r="137" spans="1:17" x14ac:dyDescent="0.35">
      <c r="A137" s="23">
        <v>1003759</v>
      </c>
      <c r="B137" s="23">
        <v>1</v>
      </c>
      <c r="C137" s="23">
        <v>1003788</v>
      </c>
      <c r="D137" s="23" t="s">
        <v>1754</v>
      </c>
      <c r="E137" s="5">
        <v>9.2307692307692317</v>
      </c>
      <c r="F137" s="23">
        <v>12</v>
      </c>
      <c r="G137" s="23">
        <v>0</v>
      </c>
      <c r="H137" s="23">
        <v>0</v>
      </c>
      <c r="I137" s="23" t="s">
        <v>24</v>
      </c>
      <c r="J137" s="23" t="s">
        <v>597</v>
      </c>
      <c r="K137" s="23" t="s">
        <v>1880</v>
      </c>
      <c r="L137" s="24">
        <v>45820</v>
      </c>
      <c r="M137" s="28">
        <v>6.41025641025641E-3</v>
      </c>
      <c r="N137" s="3">
        <v>45810</v>
      </c>
      <c r="O137">
        <v>227549</v>
      </c>
      <c r="P137">
        <v>45</v>
      </c>
      <c r="Q137" s="23" t="s">
        <v>2194</v>
      </c>
    </row>
    <row r="138" spans="1:17" x14ac:dyDescent="0.35">
      <c r="A138" s="23">
        <v>1003760</v>
      </c>
      <c r="B138" s="23">
        <v>1</v>
      </c>
      <c r="C138" s="23">
        <v>1003804</v>
      </c>
      <c r="D138" s="23" t="s">
        <v>1755</v>
      </c>
      <c r="E138" s="5">
        <v>50.769230769230774</v>
      </c>
      <c r="F138" s="23">
        <v>12</v>
      </c>
      <c r="G138" s="23">
        <v>0</v>
      </c>
      <c r="H138" s="23">
        <v>0</v>
      </c>
      <c r="I138" s="23" t="s">
        <v>24</v>
      </c>
      <c r="J138" s="23" t="s">
        <v>597</v>
      </c>
      <c r="K138" s="23" t="s">
        <v>1880</v>
      </c>
      <c r="L138" s="24">
        <v>45820</v>
      </c>
      <c r="M138" s="28">
        <v>3.5256410256410256E-2</v>
      </c>
      <c r="N138" s="3">
        <v>45810</v>
      </c>
      <c r="O138">
        <v>227566</v>
      </c>
      <c r="P138">
        <v>45</v>
      </c>
      <c r="Q138" s="23" t="s">
        <v>2195</v>
      </c>
    </row>
    <row r="139" spans="1:17" x14ac:dyDescent="0.35">
      <c r="A139" s="23">
        <v>1003760</v>
      </c>
      <c r="B139" s="23">
        <v>1</v>
      </c>
      <c r="C139" s="23">
        <v>1003788</v>
      </c>
      <c r="D139" s="23" t="s">
        <v>1754</v>
      </c>
      <c r="E139" s="5">
        <v>9.2307692307692317</v>
      </c>
      <c r="F139" s="23">
        <v>12</v>
      </c>
      <c r="G139" s="23">
        <v>0</v>
      </c>
      <c r="H139" s="23">
        <v>0</v>
      </c>
      <c r="I139" s="23" t="s">
        <v>24</v>
      </c>
      <c r="J139" s="23" t="s">
        <v>597</v>
      </c>
      <c r="K139" s="23" t="s">
        <v>1880</v>
      </c>
      <c r="L139" s="24">
        <v>45820</v>
      </c>
      <c r="M139" s="28">
        <v>6.41025641025641E-3</v>
      </c>
      <c r="N139" s="3">
        <v>45810</v>
      </c>
      <c r="O139">
        <v>227549</v>
      </c>
      <c r="P139">
        <v>45</v>
      </c>
      <c r="Q139" s="23" t="s">
        <v>2196</v>
      </c>
    </row>
    <row r="140" spans="1:17" x14ac:dyDescent="0.35">
      <c r="A140" s="23">
        <v>1003761</v>
      </c>
      <c r="B140" s="23">
        <v>1</v>
      </c>
      <c r="C140" s="23">
        <v>1003788</v>
      </c>
      <c r="D140" s="23" t="s">
        <v>1754</v>
      </c>
      <c r="E140" s="5">
        <v>9.2307692307692317</v>
      </c>
      <c r="F140" s="23">
        <v>12</v>
      </c>
      <c r="G140" s="23">
        <v>0</v>
      </c>
      <c r="H140" s="23">
        <v>0</v>
      </c>
      <c r="I140" s="23" t="s">
        <v>24</v>
      </c>
      <c r="J140" s="23" t="s">
        <v>597</v>
      </c>
      <c r="K140" s="23" t="s">
        <v>1880</v>
      </c>
      <c r="L140" s="24">
        <v>45820</v>
      </c>
      <c r="M140" s="28">
        <v>6.41025641025641E-3</v>
      </c>
      <c r="N140" s="3">
        <v>45810</v>
      </c>
      <c r="O140">
        <v>227549</v>
      </c>
      <c r="P140">
        <v>45</v>
      </c>
      <c r="Q140" s="23" t="s">
        <v>2197</v>
      </c>
    </row>
    <row r="141" spans="1:17" x14ac:dyDescent="0.35">
      <c r="A141" s="23">
        <v>1003761</v>
      </c>
      <c r="B141" s="23">
        <v>1</v>
      </c>
      <c r="C141" s="23">
        <v>1003804</v>
      </c>
      <c r="D141" s="23" t="s">
        <v>1755</v>
      </c>
      <c r="E141" s="5">
        <v>50.769230769230774</v>
      </c>
      <c r="F141" s="23">
        <v>12</v>
      </c>
      <c r="G141" s="23">
        <v>0</v>
      </c>
      <c r="H141" s="23">
        <v>0</v>
      </c>
      <c r="I141" s="23" t="s">
        <v>24</v>
      </c>
      <c r="J141" s="23" t="s">
        <v>597</v>
      </c>
      <c r="K141" s="23" t="s">
        <v>1880</v>
      </c>
      <c r="L141" s="24">
        <v>45820</v>
      </c>
      <c r="M141" s="28">
        <v>3.5256410256410256E-2</v>
      </c>
      <c r="N141" s="3">
        <v>45810</v>
      </c>
      <c r="O141">
        <v>227566</v>
      </c>
      <c r="P141">
        <v>45</v>
      </c>
      <c r="Q141" s="23" t="s">
        <v>2198</v>
      </c>
    </row>
    <row r="142" spans="1:17" x14ac:dyDescent="0.35">
      <c r="A142" s="23">
        <v>1003762</v>
      </c>
      <c r="B142" s="23">
        <v>1</v>
      </c>
      <c r="C142" s="23">
        <v>1003804</v>
      </c>
      <c r="D142" s="23" t="s">
        <v>1755</v>
      </c>
      <c r="E142" s="5">
        <v>50.769230769230774</v>
      </c>
      <c r="F142" s="23">
        <v>12</v>
      </c>
      <c r="G142" s="23">
        <v>0</v>
      </c>
      <c r="H142" s="23">
        <v>0</v>
      </c>
      <c r="I142" s="23" t="s">
        <v>24</v>
      </c>
      <c r="J142" s="23" t="s">
        <v>597</v>
      </c>
      <c r="K142" s="23" t="s">
        <v>1880</v>
      </c>
      <c r="L142" s="24">
        <v>45820</v>
      </c>
      <c r="M142" s="28">
        <v>3.5256410256410256E-2</v>
      </c>
      <c r="N142" s="3">
        <v>45810</v>
      </c>
      <c r="O142">
        <v>227566</v>
      </c>
      <c r="P142">
        <v>45</v>
      </c>
      <c r="Q142" s="23" t="s">
        <v>2199</v>
      </c>
    </row>
    <row r="143" spans="1:17" x14ac:dyDescent="0.35">
      <c r="A143" s="23">
        <v>1003762</v>
      </c>
      <c r="B143" s="23">
        <v>1</v>
      </c>
      <c r="C143" s="23">
        <v>1003788</v>
      </c>
      <c r="D143" s="23" t="s">
        <v>1754</v>
      </c>
      <c r="E143" s="5">
        <v>9.2307692307692317</v>
      </c>
      <c r="F143" s="23">
        <v>12</v>
      </c>
      <c r="G143" s="23">
        <v>0</v>
      </c>
      <c r="H143" s="23">
        <v>0</v>
      </c>
      <c r="I143" s="23" t="s">
        <v>24</v>
      </c>
      <c r="J143" s="23" t="s">
        <v>597</v>
      </c>
      <c r="K143" s="23" t="s">
        <v>1880</v>
      </c>
      <c r="L143" s="24">
        <v>45820</v>
      </c>
      <c r="M143" s="28">
        <v>6.41025641025641E-3</v>
      </c>
      <c r="N143" s="3">
        <v>45810</v>
      </c>
      <c r="O143">
        <v>227549</v>
      </c>
      <c r="P143">
        <v>45</v>
      </c>
      <c r="Q143" s="23" t="s">
        <v>2200</v>
      </c>
    </row>
    <row r="144" spans="1:17" x14ac:dyDescent="0.35">
      <c r="A144" s="23">
        <v>1003763</v>
      </c>
      <c r="B144" s="23">
        <v>1</v>
      </c>
      <c r="C144" s="23">
        <v>1003788</v>
      </c>
      <c r="D144" s="23" t="s">
        <v>1754</v>
      </c>
      <c r="E144" s="5">
        <v>9.2307692307692317</v>
      </c>
      <c r="F144" s="23">
        <v>12</v>
      </c>
      <c r="G144" s="23">
        <v>0</v>
      </c>
      <c r="H144" s="23">
        <v>0</v>
      </c>
      <c r="I144" s="23" t="s">
        <v>24</v>
      </c>
      <c r="J144" s="23" t="s">
        <v>597</v>
      </c>
      <c r="K144" s="23" t="s">
        <v>1880</v>
      </c>
      <c r="L144" s="24">
        <v>45820</v>
      </c>
      <c r="M144" s="28">
        <v>6.41025641025641E-3</v>
      </c>
      <c r="N144" s="3">
        <v>45810</v>
      </c>
      <c r="O144">
        <v>227549</v>
      </c>
      <c r="P144">
        <v>45</v>
      </c>
      <c r="Q144" s="23" t="s">
        <v>2201</v>
      </c>
    </row>
    <row r="145" spans="1:17" x14ac:dyDescent="0.35">
      <c r="A145" s="23">
        <v>1003763</v>
      </c>
      <c r="B145" s="23">
        <v>1</v>
      </c>
      <c r="C145" s="23">
        <v>1003804</v>
      </c>
      <c r="D145" s="23" t="s">
        <v>1755</v>
      </c>
      <c r="E145" s="5">
        <v>50.769230769230774</v>
      </c>
      <c r="F145" s="23">
        <v>12</v>
      </c>
      <c r="G145" s="23">
        <v>0</v>
      </c>
      <c r="H145" s="23">
        <v>0</v>
      </c>
      <c r="I145" s="23" t="s">
        <v>24</v>
      </c>
      <c r="J145" s="23" t="s">
        <v>597</v>
      </c>
      <c r="K145" s="23" t="s">
        <v>1880</v>
      </c>
      <c r="L145" s="24">
        <v>45820</v>
      </c>
      <c r="M145" s="28">
        <v>3.5256410256410256E-2</v>
      </c>
      <c r="N145" s="3">
        <v>45810</v>
      </c>
      <c r="O145">
        <v>227566</v>
      </c>
      <c r="P145">
        <v>45</v>
      </c>
      <c r="Q145" s="23" t="s">
        <v>2202</v>
      </c>
    </row>
    <row r="146" spans="1:17" x14ac:dyDescent="0.35">
      <c r="A146" s="23">
        <v>1003764</v>
      </c>
      <c r="B146" s="23">
        <v>1</v>
      </c>
      <c r="C146" s="23">
        <v>1003804</v>
      </c>
      <c r="D146" s="23" t="s">
        <v>1755</v>
      </c>
      <c r="E146" s="5">
        <v>50.769230769230774</v>
      </c>
      <c r="F146" s="23">
        <v>12</v>
      </c>
      <c r="G146" s="23">
        <v>0</v>
      </c>
      <c r="H146" s="23">
        <v>0</v>
      </c>
      <c r="I146" s="23" t="s">
        <v>24</v>
      </c>
      <c r="J146" s="23" t="s">
        <v>597</v>
      </c>
      <c r="K146" s="23" t="s">
        <v>1880</v>
      </c>
      <c r="L146" s="24">
        <v>45820</v>
      </c>
      <c r="M146" s="28">
        <v>3.5256410256410256E-2</v>
      </c>
      <c r="N146" s="3">
        <v>45810</v>
      </c>
      <c r="O146">
        <v>227566</v>
      </c>
      <c r="P146">
        <v>45</v>
      </c>
      <c r="Q146" s="23" t="s">
        <v>2203</v>
      </c>
    </row>
    <row r="147" spans="1:17" x14ac:dyDescent="0.35">
      <c r="A147" s="23">
        <v>1003764</v>
      </c>
      <c r="B147" s="23">
        <v>1</v>
      </c>
      <c r="C147" s="23">
        <v>1003788</v>
      </c>
      <c r="D147" s="23" t="s">
        <v>1754</v>
      </c>
      <c r="E147" s="5">
        <v>9.2307692307692317</v>
      </c>
      <c r="F147" s="23">
        <v>12</v>
      </c>
      <c r="G147" s="23">
        <v>0</v>
      </c>
      <c r="H147" s="23">
        <v>0</v>
      </c>
      <c r="I147" s="23" t="s">
        <v>24</v>
      </c>
      <c r="J147" s="23" t="s">
        <v>597</v>
      </c>
      <c r="K147" s="23" t="s">
        <v>1880</v>
      </c>
      <c r="L147" s="24">
        <v>45820</v>
      </c>
      <c r="M147" s="28">
        <v>6.41025641025641E-3</v>
      </c>
      <c r="N147" s="3">
        <v>45810</v>
      </c>
      <c r="O147">
        <v>227549</v>
      </c>
      <c r="P147">
        <v>45</v>
      </c>
      <c r="Q147" s="23" t="s">
        <v>2204</v>
      </c>
    </row>
    <row r="148" spans="1:17" x14ac:dyDescent="0.35">
      <c r="A148" s="23">
        <v>1003765</v>
      </c>
      <c r="B148" s="23">
        <v>1</v>
      </c>
      <c r="C148" s="23">
        <v>1003788</v>
      </c>
      <c r="D148" s="23" t="s">
        <v>1754</v>
      </c>
      <c r="E148" s="5">
        <v>9.2307692307692317</v>
      </c>
      <c r="F148" s="23">
        <v>12</v>
      </c>
      <c r="G148" s="23">
        <v>0</v>
      </c>
      <c r="H148" s="23">
        <v>0</v>
      </c>
      <c r="I148" s="23" t="s">
        <v>24</v>
      </c>
      <c r="J148" s="23" t="s">
        <v>597</v>
      </c>
      <c r="K148" s="23" t="s">
        <v>1880</v>
      </c>
      <c r="L148" s="24">
        <v>45820</v>
      </c>
      <c r="M148" s="28">
        <v>6.41025641025641E-3</v>
      </c>
      <c r="N148" s="3">
        <v>45810</v>
      </c>
      <c r="O148">
        <v>227549</v>
      </c>
      <c r="P148">
        <v>45</v>
      </c>
      <c r="Q148" s="23" t="s">
        <v>2205</v>
      </c>
    </row>
    <row r="149" spans="1:17" x14ac:dyDescent="0.35">
      <c r="A149" s="23">
        <v>1003765</v>
      </c>
      <c r="B149" s="23">
        <v>1</v>
      </c>
      <c r="C149" s="23">
        <v>1003804</v>
      </c>
      <c r="D149" s="23" t="s">
        <v>1755</v>
      </c>
      <c r="E149" s="5">
        <v>50.769230769230774</v>
      </c>
      <c r="F149" s="23">
        <v>12</v>
      </c>
      <c r="G149" s="23">
        <v>0</v>
      </c>
      <c r="H149" s="23">
        <v>0</v>
      </c>
      <c r="I149" s="23" t="s">
        <v>24</v>
      </c>
      <c r="J149" s="23" t="s">
        <v>597</v>
      </c>
      <c r="K149" s="23" t="s">
        <v>1880</v>
      </c>
      <c r="L149" s="24">
        <v>45820</v>
      </c>
      <c r="M149" s="28">
        <v>3.5256410256410256E-2</v>
      </c>
      <c r="N149" s="3">
        <v>45810</v>
      </c>
      <c r="O149">
        <v>227566</v>
      </c>
      <c r="P149">
        <v>45</v>
      </c>
      <c r="Q149" s="23" t="s">
        <v>2206</v>
      </c>
    </row>
    <row r="150" spans="1:17" x14ac:dyDescent="0.35">
      <c r="A150" s="23">
        <v>1003766</v>
      </c>
      <c r="B150" s="23">
        <v>1</v>
      </c>
      <c r="C150" s="23">
        <v>1003804</v>
      </c>
      <c r="D150" s="23" t="s">
        <v>1755</v>
      </c>
      <c r="E150" s="5">
        <v>50.769230769230774</v>
      </c>
      <c r="F150" s="23">
        <v>12</v>
      </c>
      <c r="G150" s="23">
        <v>0</v>
      </c>
      <c r="H150" s="23">
        <v>0</v>
      </c>
      <c r="I150" s="23" t="s">
        <v>24</v>
      </c>
      <c r="J150" s="23" t="s">
        <v>597</v>
      </c>
      <c r="K150" s="23" t="s">
        <v>1880</v>
      </c>
      <c r="L150" s="24">
        <v>45820</v>
      </c>
      <c r="M150" s="28">
        <v>3.5256410256410256E-2</v>
      </c>
      <c r="N150" s="3">
        <v>45810</v>
      </c>
      <c r="O150">
        <v>227566</v>
      </c>
      <c r="P150">
        <v>45</v>
      </c>
      <c r="Q150" s="23" t="s">
        <v>2207</v>
      </c>
    </row>
    <row r="151" spans="1:17" x14ac:dyDescent="0.35">
      <c r="A151" s="23">
        <v>1003766</v>
      </c>
      <c r="B151" s="23">
        <v>1</v>
      </c>
      <c r="C151" s="23">
        <v>1003788</v>
      </c>
      <c r="D151" s="23" t="s">
        <v>1754</v>
      </c>
      <c r="E151" s="5">
        <v>9.2307692307692317</v>
      </c>
      <c r="F151" s="23">
        <v>12</v>
      </c>
      <c r="G151" s="23">
        <v>0</v>
      </c>
      <c r="H151" s="23">
        <v>0</v>
      </c>
      <c r="I151" s="23" t="s">
        <v>24</v>
      </c>
      <c r="J151" s="23" t="s">
        <v>597</v>
      </c>
      <c r="K151" s="23" t="s">
        <v>1880</v>
      </c>
      <c r="L151" s="24">
        <v>45820</v>
      </c>
      <c r="M151" s="28">
        <v>6.41025641025641E-3</v>
      </c>
      <c r="N151" s="3">
        <v>45810</v>
      </c>
      <c r="O151">
        <v>227549</v>
      </c>
      <c r="P151">
        <v>45</v>
      </c>
      <c r="Q151" s="23" t="s">
        <v>2208</v>
      </c>
    </row>
    <row r="152" spans="1:17" x14ac:dyDescent="0.35">
      <c r="A152" s="23">
        <v>1003767</v>
      </c>
      <c r="B152" s="23">
        <v>1</v>
      </c>
      <c r="C152" s="23">
        <v>1003804</v>
      </c>
      <c r="D152" s="23" t="s">
        <v>1755</v>
      </c>
      <c r="E152" s="5">
        <v>50.769230769230774</v>
      </c>
      <c r="F152" s="23">
        <v>12</v>
      </c>
      <c r="G152" s="23">
        <v>0</v>
      </c>
      <c r="H152" s="23">
        <v>0</v>
      </c>
      <c r="I152" s="23" t="s">
        <v>24</v>
      </c>
      <c r="J152" s="23" t="s">
        <v>597</v>
      </c>
      <c r="K152" s="23" t="s">
        <v>1880</v>
      </c>
      <c r="L152" s="24">
        <v>45820</v>
      </c>
      <c r="M152" s="28">
        <v>3.5256410256410256E-2</v>
      </c>
      <c r="N152" s="3">
        <v>45810</v>
      </c>
      <c r="O152">
        <v>227566</v>
      </c>
      <c r="P152">
        <v>45</v>
      </c>
      <c r="Q152" s="23" t="s">
        <v>2209</v>
      </c>
    </row>
    <row r="153" spans="1:17" x14ac:dyDescent="0.35">
      <c r="A153" s="23">
        <v>1003767</v>
      </c>
      <c r="B153" s="23">
        <v>1</v>
      </c>
      <c r="C153" s="23">
        <v>1003788</v>
      </c>
      <c r="D153" s="23" t="s">
        <v>1754</v>
      </c>
      <c r="E153" s="5">
        <v>9.2307692307692317</v>
      </c>
      <c r="F153" s="23">
        <v>12</v>
      </c>
      <c r="G153" s="23">
        <v>0</v>
      </c>
      <c r="H153" s="23">
        <v>0</v>
      </c>
      <c r="I153" s="23" t="s">
        <v>24</v>
      </c>
      <c r="J153" s="23" t="s">
        <v>597</v>
      </c>
      <c r="K153" s="23" t="s">
        <v>1880</v>
      </c>
      <c r="L153" s="24">
        <v>45820</v>
      </c>
      <c r="M153" s="28">
        <v>6.41025641025641E-3</v>
      </c>
      <c r="N153" s="3">
        <v>45810</v>
      </c>
      <c r="O153">
        <v>227549</v>
      </c>
      <c r="P153">
        <v>45</v>
      </c>
      <c r="Q153" s="23" t="s">
        <v>2210</v>
      </c>
    </row>
    <row r="154" spans="1:17" x14ac:dyDescent="0.35">
      <c r="A154" s="23">
        <v>1004126</v>
      </c>
      <c r="B154" s="23">
        <v>1</v>
      </c>
      <c r="C154" s="23">
        <v>1004155</v>
      </c>
      <c r="D154" s="23" t="s">
        <v>1495</v>
      </c>
      <c r="E154" s="5">
        <v>30</v>
      </c>
      <c r="F154" s="23">
        <v>12</v>
      </c>
      <c r="G154" s="23">
        <v>0</v>
      </c>
      <c r="H154" s="23">
        <v>0</v>
      </c>
      <c r="I154" s="23" t="s">
        <v>24</v>
      </c>
      <c r="J154" s="23" t="s">
        <v>597</v>
      </c>
      <c r="K154" s="23" t="s">
        <v>1881</v>
      </c>
      <c r="L154" s="24">
        <v>45820</v>
      </c>
      <c r="M154" s="28">
        <v>2.0833333333333332E-2</v>
      </c>
      <c r="N154" s="3">
        <v>45810</v>
      </c>
      <c r="O154">
        <v>220643</v>
      </c>
      <c r="P154">
        <v>45</v>
      </c>
      <c r="Q154" s="23" t="s">
        <v>2211</v>
      </c>
    </row>
    <row r="155" spans="1:17" x14ac:dyDescent="0.35">
      <c r="A155" s="23">
        <v>1004126</v>
      </c>
      <c r="B155" s="23">
        <v>1</v>
      </c>
      <c r="C155" s="23">
        <v>1004154</v>
      </c>
      <c r="D155" s="23" t="s">
        <v>1802</v>
      </c>
      <c r="E155" s="5">
        <v>20</v>
      </c>
      <c r="F155" s="23">
        <v>12</v>
      </c>
      <c r="G155" s="23">
        <v>0</v>
      </c>
      <c r="H155" s="23">
        <v>0</v>
      </c>
      <c r="I155" s="23" t="s">
        <v>24</v>
      </c>
      <c r="J155" s="23" t="s">
        <v>597</v>
      </c>
      <c r="K155" s="23" t="s">
        <v>1881</v>
      </c>
      <c r="L155" s="24">
        <v>45820</v>
      </c>
      <c r="M155" s="28">
        <v>1.3888888888888888E-2</v>
      </c>
      <c r="N155" s="3">
        <v>45810</v>
      </c>
      <c r="O155">
        <v>220642</v>
      </c>
      <c r="P155">
        <v>45</v>
      </c>
      <c r="Q155" s="23" t="s">
        <v>2212</v>
      </c>
    </row>
    <row r="156" spans="1:17" x14ac:dyDescent="0.35">
      <c r="A156" s="23">
        <v>1004128</v>
      </c>
      <c r="B156" s="23">
        <v>1</v>
      </c>
      <c r="C156" s="23">
        <v>1004154</v>
      </c>
      <c r="D156" s="23" t="s">
        <v>1802</v>
      </c>
      <c r="E156" s="5">
        <v>20</v>
      </c>
      <c r="F156" s="23">
        <v>12</v>
      </c>
      <c r="G156" s="23">
        <v>0</v>
      </c>
      <c r="H156" s="23">
        <v>0</v>
      </c>
      <c r="I156" s="23" t="s">
        <v>24</v>
      </c>
      <c r="J156" s="23" t="s">
        <v>597</v>
      </c>
      <c r="K156" s="23" t="s">
        <v>1881</v>
      </c>
      <c r="L156" s="24">
        <v>45820</v>
      </c>
      <c r="M156" s="28">
        <v>1.3888888888888888E-2</v>
      </c>
      <c r="N156" s="3">
        <v>45810</v>
      </c>
      <c r="O156">
        <v>220642</v>
      </c>
      <c r="P156">
        <v>45</v>
      </c>
      <c r="Q156" s="23" t="s">
        <v>2213</v>
      </c>
    </row>
    <row r="157" spans="1:17" x14ac:dyDescent="0.35">
      <c r="A157" s="23">
        <v>1004128</v>
      </c>
      <c r="B157" s="23">
        <v>1</v>
      </c>
      <c r="C157" s="23">
        <v>1004155</v>
      </c>
      <c r="D157" s="23" t="s">
        <v>1495</v>
      </c>
      <c r="E157" s="5">
        <v>30</v>
      </c>
      <c r="F157" s="23">
        <v>12</v>
      </c>
      <c r="G157" s="23">
        <v>0</v>
      </c>
      <c r="H157" s="23">
        <v>0</v>
      </c>
      <c r="I157" s="23" t="s">
        <v>24</v>
      </c>
      <c r="J157" s="23" t="s">
        <v>597</v>
      </c>
      <c r="K157" s="23" t="s">
        <v>1881</v>
      </c>
      <c r="L157" s="24">
        <v>45820</v>
      </c>
      <c r="M157" s="28">
        <v>2.0833333333333332E-2</v>
      </c>
      <c r="N157" s="3">
        <v>45810</v>
      </c>
      <c r="O157">
        <v>220643</v>
      </c>
      <c r="P157">
        <v>45</v>
      </c>
      <c r="Q157" s="23" t="s">
        <v>2214</v>
      </c>
    </row>
    <row r="158" spans="1:17" x14ac:dyDescent="0.35">
      <c r="A158" s="23">
        <v>1004129</v>
      </c>
      <c r="B158" s="23">
        <v>1</v>
      </c>
      <c r="C158" s="23">
        <v>1004154</v>
      </c>
      <c r="D158" s="23" t="s">
        <v>1802</v>
      </c>
      <c r="E158" s="5">
        <v>20</v>
      </c>
      <c r="F158" s="23">
        <v>12</v>
      </c>
      <c r="G158" s="23">
        <v>0</v>
      </c>
      <c r="H158" s="23">
        <v>0</v>
      </c>
      <c r="I158" s="23" t="s">
        <v>24</v>
      </c>
      <c r="J158" s="23" t="s">
        <v>597</v>
      </c>
      <c r="K158" s="23" t="s">
        <v>1881</v>
      </c>
      <c r="L158" s="24">
        <v>45820</v>
      </c>
      <c r="M158" s="28">
        <v>1.3888888888888888E-2</v>
      </c>
      <c r="N158" s="3">
        <v>45810</v>
      </c>
      <c r="O158">
        <v>220642</v>
      </c>
      <c r="P158">
        <v>45</v>
      </c>
      <c r="Q158" s="23" t="s">
        <v>2215</v>
      </c>
    </row>
    <row r="159" spans="1:17" x14ac:dyDescent="0.35">
      <c r="A159" s="23">
        <v>1004129</v>
      </c>
      <c r="B159" s="23">
        <v>1</v>
      </c>
      <c r="C159" s="23">
        <v>1004155</v>
      </c>
      <c r="D159" s="23" t="s">
        <v>1495</v>
      </c>
      <c r="E159" s="5">
        <v>30</v>
      </c>
      <c r="F159" s="23">
        <v>12</v>
      </c>
      <c r="G159" s="23">
        <v>0</v>
      </c>
      <c r="H159" s="23">
        <v>0</v>
      </c>
      <c r="I159" s="23" t="s">
        <v>24</v>
      </c>
      <c r="J159" s="23" t="s">
        <v>597</v>
      </c>
      <c r="K159" s="23" t="s">
        <v>1881</v>
      </c>
      <c r="L159" s="24">
        <v>45820</v>
      </c>
      <c r="M159" s="28">
        <v>2.0833333333333332E-2</v>
      </c>
      <c r="N159" s="3">
        <v>45810</v>
      </c>
      <c r="O159">
        <v>220643</v>
      </c>
      <c r="P159">
        <v>45</v>
      </c>
      <c r="Q159" s="23" t="s">
        <v>2216</v>
      </c>
    </row>
    <row r="160" spans="1:17" x14ac:dyDescent="0.35">
      <c r="A160" s="23">
        <v>1004130</v>
      </c>
      <c r="B160" s="23">
        <v>1</v>
      </c>
      <c r="C160" s="23">
        <v>1004155</v>
      </c>
      <c r="D160" s="23" t="s">
        <v>1495</v>
      </c>
      <c r="E160" s="5">
        <v>30</v>
      </c>
      <c r="F160" s="23">
        <v>12</v>
      </c>
      <c r="G160" s="23">
        <v>0</v>
      </c>
      <c r="H160" s="23">
        <v>0</v>
      </c>
      <c r="I160" s="23" t="s">
        <v>24</v>
      </c>
      <c r="J160" s="23" t="s">
        <v>597</v>
      </c>
      <c r="K160" s="23" t="s">
        <v>1881</v>
      </c>
      <c r="L160" s="24">
        <v>45820</v>
      </c>
      <c r="M160" s="28">
        <v>2.0833333333333332E-2</v>
      </c>
      <c r="N160" s="3">
        <v>45810</v>
      </c>
      <c r="O160">
        <v>220643</v>
      </c>
      <c r="P160">
        <v>45</v>
      </c>
      <c r="Q160" s="23" t="s">
        <v>2217</v>
      </c>
    </row>
    <row r="161" spans="1:17" x14ac:dyDescent="0.35">
      <c r="A161" s="23">
        <v>1004130</v>
      </c>
      <c r="B161" s="23">
        <v>1</v>
      </c>
      <c r="C161" s="23">
        <v>1004154</v>
      </c>
      <c r="D161" s="23" t="s">
        <v>1802</v>
      </c>
      <c r="E161" s="5">
        <v>20</v>
      </c>
      <c r="F161" s="23">
        <v>12</v>
      </c>
      <c r="G161" s="23">
        <v>0</v>
      </c>
      <c r="H161" s="23">
        <v>0</v>
      </c>
      <c r="I161" s="23" t="s">
        <v>24</v>
      </c>
      <c r="J161" s="23" t="s">
        <v>597</v>
      </c>
      <c r="K161" s="23" t="s">
        <v>1881</v>
      </c>
      <c r="L161" s="24">
        <v>45820</v>
      </c>
      <c r="M161" s="28">
        <v>1.3888888888888888E-2</v>
      </c>
      <c r="N161" s="3">
        <v>45810</v>
      </c>
      <c r="O161">
        <v>220642</v>
      </c>
      <c r="P161">
        <v>45</v>
      </c>
      <c r="Q161" s="23" t="s">
        <v>2218</v>
      </c>
    </row>
    <row r="162" spans="1:17" x14ac:dyDescent="0.35">
      <c r="A162" s="23">
        <v>1004131</v>
      </c>
      <c r="B162" s="23">
        <v>1</v>
      </c>
      <c r="C162" s="23">
        <v>1004155</v>
      </c>
      <c r="D162" s="23" t="s">
        <v>1495</v>
      </c>
      <c r="E162" s="5">
        <v>30</v>
      </c>
      <c r="F162" s="23">
        <v>12</v>
      </c>
      <c r="G162" s="23">
        <v>0</v>
      </c>
      <c r="H162" s="23">
        <v>0</v>
      </c>
      <c r="I162" s="23" t="s">
        <v>24</v>
      </c>
      <c r="J162" s="23" t="s">
        <v>597</v>
      </c>
      <c r="K162" s="23" t="s">
        <v>1881</v>
      </c>
      <c r="L162" s="23">
        <v>45820</v>
      </c>
      <c r="M162" s="28">
        <v>2.0833333333333332E-2</v>
      </c>
      <c r="N162" s="3">
        <v>45810</v>
      </c>
      <c r="O162">
        <v>220643</v>
      </c>
      <c r="P162">
        <v>45</v>
      </c>
      <c r="Q162" s="23" t="s">
        <v>2219</v>
      </c>
    </row>
    <row r="163" spans="1:17" x14ac:dyDescent="0.35">
      <c r="A163" s="23">
        <v>1004131</v>
      </c>
      <c r="B163" s="23">
        <v>1</v>
      </c>
      <c r="C163" s="23">
        <v>1004154</v>
      </c>
      <c r="D163" s="23" t="s">
        <v>1802</v>
      </c>
      <c r="E163" s="5">
        <v>20</v>
      </c>
      <c r="F163" s="23">
        <v>12</v>
      </c>
      <c r="G163" s="23">
        <v>0</v>
      </c>
      <c r="H163" s="23">
        <v>0</v>
      </c>
      <c r="I163" s="23" t="s">
        <v>24</v>
      </c>
      <c r="J163" s="23" t="s">
        <v>597</v>
      </c>
      <c r="K163" s="23" t="s">
        <v>1881</v>
      </c>
      <c r="L163" s="23">
        <v>45820</v>
      </c>
      <c r="M163" s="28">
        <v>1.3888888888888888E-2</v>
      </c>
      <c r="N163" s="3">
        <v>45810</v>
      </c>
      <c r="O163">
        <v>220642</v>
      </c>
      <c r="P163">
        <v>45</v>
      </c>
      <c r="Q163" s="23" t="s">
        <v>2220</v>
      </c>
    </row>
    <row r="164" spans="1:17" x14ac:dyDescent="0.35">
      <c r="A164" s="23">
        <v>1004132</v>
      </c>
      <c r="B164" s="23">
        <v>1</v>
      </c>
      <c r="C164" s="23">
        <v>1004155</v>
      </c>
      <c r="D164" s="23" t="s">
        <v>1495</v>
      </c>
      <c r="E164" s="5">
        <v>30</v>
      </c>
      <c r="F164" s="23">
        <v>12</v>
      </c>
      <c r="G164" s="23">
        <v>0</v>
      </c>
      <c r="H164" s="23">
        <v>0</v>
      </c>
      <c r="I164" s="23" t="s">
        <v>24</v>
      </c>
      <c r="J164" s="23" t="s">
        <v>597</v>
      </c>
      <c r="K164" s="23" t="s">
        <v>1881</v>
      </c>
      <c r="L164" s="24">
        <v>45820</v>
      </c>
      <c r="M164" s="28">
        <v>2.0833333333333332E-2</v>
      </c>
      <c r="N164" s="3">
        <v>45810</v>
      </c>
      <c r="O164">
        <v>220643</v>
      </c>
      <c r="P164">
        <v>45</v>
      </c>
      <c r="Q164" s="23" t="s">
        <v>2221</v>
      </c>
    </row>
    <row r="165" spans="1:17" x14ac:dyDescent="0.35">
      <c r="A165" s="23">
        <v>1004132</v>
      </c>
      <c r="B165" s="23">
        <v>1</v>
      </c>
      <c r="C165" s="23">
        <v>1004154</v>
      </c>
      <c r="D165" s="23" t="s">
        <v>1802</v>
      </c>
      <c r="E165" s="5">
        <v>20</v>
      </c>
      <c r="F165" s="23">
        <v>12</v>
      </c>
      <c r="G165" s="23">
        <v>0</v>
      </c>
      <c r="H165" s="23">
        <v>0</v>
      </c>
      <c r="I165" s="23" t="s">
        <v>24</v>
      </c>
      <c r="J165" s="23" t="s">
        <v>597</v>
      </c>
      <c r="K165" s="23" t="s">
        <v>1881</v>
      </c>
      <c r="L165" s="23">
        <v>45820</v>
      </c>
      <c r="M165" s="28">
        <v>1.3888888888888888E-2</v>
      </c>
      <c r="N165" s="3">
        <v>45810</v>
      </c>
      <c r="O165">
        <v>220642</v>
      </c>
      <c r="P165">
        <v>45</v>
      </c>
      <c r="Q165" s="23" t="s">
        <v>2222</v>
      </c>
    </row>
    <row r="166" spans="1:17" x14ac:dyDescent="0.35">
      <c r="A166" s="23">
        <v>1004133</v>
      </c>
      <c r="B166" s="23">
        <v>1</v>
      </c>
      <c r="C166" s="23">
        <v>1004154</v>
      </c>
      <c r="D166" s="23" t="s">
        <v>1802</v>
      </c>
      <c r="E166" s="5">
        <v>20</v>
      </c>
      <c r="F166" s="23">
        <v>12</v>
      </c>
      <c r="G166" s="23">
        <v>0</v>
      </c>
      <c r="H166" s="23">
        <v>0</v>
      </c>
      <c r="I166" s="23" t="s">
        <v>24</v>
      </c>
      <c r="J166" s="23" t="s">
        <v>597</v>
      </c>
      <c r="K166" s="23" t="s">
        <v>1881</v>
      </c>
      <c r="L166" s="23">
        <v>45820</v>
      </c>
      <c r="M166" s="28">
        <v>1.3888888888888888E-2</v>
      </c>
      <c r="N166" s="3">
        <v>45810</v>
      </c>
      <c r="O166">
        <v>220642</v>
      </c>
      <c r="P166">
        <v>45</v>
      </c>
      <c r="Q166" s="23" t="s">
        <v>2223</v>
      </c>
    </row>
    <row r="167" spans="1:17" x14ac:dyDescent="0.35">
      <c r="A167" s="23">
        <v>1004133</v>
      </c>
      <c r="B167" s="23">
        <v>1</v>
      </c>
      <c r="C167" s="23">
        <v>1004155</v>
      </c>
      <c r="D167" s="23" t="s">
        <v>1495</v>
      </c>
      <c r="E167" s="5">
        <v>30</v>
      </c>
      <c r="F167" s="23">
        <v>12</v>
      </c>
      <c r="G167" s="23">
        <v>0</v>
      </c>
      <c r="H167" s="23">
        <v>0</v>
      </c>
      <c r="I167" s="23" t="s">
        <v>24</v>
      </c>
      <c r="J167" s="23" t="s">
        <v>597</v>
      </c>
      <c r="K167" s="23" t="s">
        <v>1881</v>
      </c>
      <c r="L167" s="23">
        <v>45820</v>
      </c>
      <c r="M167" s="28">
        <v>2.0833333333333332E-2</v>
      </c>
      <c r="N167" s="3">
        <v>45810</v>
      </c>
      <c r="O167">
        <v>220643</v>
      </c>
      <c r="P167">
        <v>45</v>
      </c>
      <c r="Q167" s="23" t="s">
        <v>2224</v>
      </c>
    </row>
    <row r="168" spans="1:17" x14ac:dyDescent="0.35">
      <c r="A168" s="23">
        <v>1004134</v>
      </c>
      <c r="B168" s="23">
        <v>1</v>
      </c>
      <c r="C168" s="23">
        <v>1004154</v>
      </c>
      <c r="D168" s="23" t="s">
        <v>1802</v>
      </c>
      <c r="E168" s="5">
        <v>20</v>
      </c>
      <c r="F168" s="23">
        <v>12</v>
      </c>
      <c r="G168" s="23">
        <v>0</v>
      </c>
      <c r="H168" s="23">
        <v>0</v>
      </c>
      <c r="I168" s="23" t="s">
        <v>24</v>
      </c>
      <c r="J168" s="23" t="s">
        <v>597</v>
      </c>
      <c r="K168" s="23" t="s">
        <v>1881</v>
      </c>
      <c r="L168" s="24">
        <v>45820</v>
      </c>
      <c r="M168" s="28">
        <v>1.3888888888888888E-2</v>
      </c>
      <c r="N168" s="3">
        <v>45810</v>
      </c>
      <c r="O168">
        <v>220642</v>
      </c>
      <c r="P168">
        <v>45</v>
      </c>
      <c r="Q168" s="23" t="s">
        <v>2225</v>
      </c>
    </row>
    <row r="169" spans="1:17" x14ac:dyDescent="0.35">
      <c r="A169" s="23">
        <v>1004134</v>
      </c>
      <c r="B169" s="23">
        <v>1</v>
      </c>
      <c r="C169" s="23">
        <v>1004155</v>
      </c>
      <c r="D169" s="23" t="s">
        <v>1495</v>
      </c>
      <c r="E169" s="5">
        <v>30</v>
      </c>
      <c r="F169" s="23">
        <v>12</v>
      </c>
      <c r="G169" s="23">
        <v>0</v>
      </c>
      <c r="H169" s="23">
        <v>0</v>
      </c>
      <c r="I169" s="23" t="s">
        <v>24</v>
      </c>
      <c r="J169" s="23" t="s">
        <v>597</v>
      </c>
      <c r="K169" s="23" t="s">
        <v>1881</v>
      </c>
      <c r="L169" s="24">
        <v>45820</v>
      </c>
      <c r="M169" s="28">
        <v>2.0833333333333332E-2</v>
      </c>
      <c r="N169" s="3">
        <v>45810</v>
      </c>
      <c r="O169">
        <v>220643</v>
      </c>
      <c r="P169">
        <v>45</v>
      </c>
      <c r="Q169" s="23" t="s">
        <v>2226</v>
      </c>
    </row>
    <row r="170" spans="1:17" x14ac:dyDescent="0.35">
      <c r="A170" s="23">
        <v>1004135</v>
      </c>
      <c r="B170" s="23">
        <v>1</v>
      </c>
      <c r="C170" s="23">
        <v>1004154</v>
      </c>
      <c r="D170" s="23" t="s">
        <v>1802</v>
      </c>
      <c r="E170" s="5">
        <v>20</v>
      </c>
      <c r="F170" s="23">
        <v>12</v>
      </c>
      <c r="G170" s="23">
        <v>0</v>
      </c>
      <c r="H170" s="23">
        <v>0</v>
      </c>
      <c r="I170" s="23" t="s">
        <v>24</v>
      </c>
      <c r="J170" s="23" t="s">
        <v>597</v>
      </c>
      <c r="K170" s="23" t="s">
        <v>1881</v>
      </c>
      <c r="L170" s="24">
        <v>45820</v>
      </c>
      <c r="M170" s="28">
        <v>1.3888888888888888E-2</v>
      </c>
      <c r="N170" s="3">
        <v>45810</v>
      </c>
      <c r="O170">
        <v>220642</v>
      </c>
      <c r="P170">
        <v>45</v>
      </c>
      <c r="Q170" s="23" t="s">
        <v>2227</v>
      </c>
    </row>
    <row r="171" spans="1:17" x14ac:dyDescent="0.35">
      <c r="A171" s="23">
        <v>1004135</v>
      </c>
      <c r="B171" s="23">
        <v>1</v>
      </c>
      <c r="C171" s="23">
        <v>1004155</v>
      </c>
      <c r="D171" s="23" t="s">
        <v>1495</v>
      </c>
      <c r="E171" s="5">
        <v>30</v>
      </c>
      <c r="F171" s="23">
        <v>12</v>
      </c>
      <c r="G171" s="23">
        <v>0</v>
      </c>
      <c r="H171" s="23">
        <v>0</v>
      </c>
      <c r="I171" s="23" t="s">
        <v>24</v>
      </c>
      <c r="J171" s="23" t="s">
        <v>597</v>
      </c>
      <c r="K171" s="23" t="s">
        <v>1881</v>
      </c>
      <c r="L171" s="23">
        <v>45820</v>
      </c>
      <c r="M171" s="28">
        <v>2.0833333333333332E-2</v>
      </c>
      <c r="N171" s="3">
        <v>45810</v>
      </c>
      <c r="O171">
        <v>220643</v>
      </c>
      <c r="P171">
        <v>45</v>
      </c>
      <c r="Q171" s="23" t="s">
        <v>2228</v>
      </c>
    </row>
    <row r="172" spans="1:17" x14ac:dyDescent="0.35">
      <c r="A172" s="23">
        <v>1004136</v>
      </c>
      <c r="B172" s="23">
        <v>1</v>
      </c>
      <c r="C172" s="23">
        <v>1004154</v>
      </c>
      <c r="D172" s="23" t="s">
        <v>1802</v>
      </c>
      <c r="E172" s="5">
        <v>20</v>
      </c>
      <c r="F172" s="23">
        <v>12</v>
      </c>
      <c r="G172" s="23">
        <v>0</v>
      </c>
      <c r="H172" s="23">
        <v>0</v>
      </c>
      <c r="I172" s="23" t="s">
        <v>24</v>
      </c>
      <c r="J172" s="23" t="s">
        <v>597</v>
      </c>
      <c r="K172" s="23" t="s">
        <v>1881</v>
      </c>
      <c r="L172" s="24">
        <v>45820</v>
      </c>
      <c r="M172" s="28">
        <v>1.3888888888888888E-2</v>
      </c>
      <c r="N172" s="3">
        <v>45810</v>
      </c>
      <c r="O172">
        <v>220642</v>
      </c>
      <c r="P172">
        <v>45</v>
      </c>
      <c r="Q172" s="23" t="s">
        <v>2229</v>
      </c>
    </row>
    <row r="173" spans="1:17" x14ac:dyDescent="0.35">
      <c r="A173" s="23">
        <v>1004136</v>
      </c>
      <c r="B173" s="23">
        <v>1</v>
      </c>
      <c r="C173" s="23">
        <v>1004155</v>
      </c>
      <c r="D173" s="23" t="s">
        <v>1495</v>
      </c>
      <c r="E173" s="5">
        <v>30</v>
      </c>
      <c r="F173" s="23">
        <v>12</v>
      </c>
      <c r="G173" s="23">
        <v>0</v>
      </c>
      <c r="H173" s="23">
        <v>0</v>
      </c>
      <c r="I173" s="23" t="s">
        <v>24</v>
      </c>
      <c r="J173" s="23" t="s">
        <v>597</v>
      </c>
      <c r="K173" s="23" t="s">
        <v>1881</v>
      </c>
      <c r="L173" s="24">
        <v>45820</v>
      </c>
      <c r="M173" s="28">
        <v>2.0833333333333332E-2</v>
      </c>
      <c r="N173" s="3">
        <v>45810</v>
      </c>
      <c r="O173">
        <v>220643</v>
      </c>
      <c r="P173">
        <v>45</v>
      </c>
      <c r="Q173" s="23" t="s">
        <v>2230</v>
      </c>
    </row>
    <row r="174" spans="1:17" x14ac:dyDescent="0.35">
      <c r="A174" s="23">
        <v>1004137</v>
      </c>
      <c r="B174" s="23">
        <v>1</v>
      </c>
      <c r="C174" s="23">
        <v>1004154</v>
      </c>
      <c r="D174" s="23" t="s">
        <v>1802</v>
      </c>
      <c r="E174" s="5">
        <v>20</v>
      </c>
      <c r="F174" s="23">
        <v>12</v>
      </c>
      <c r="G174" s="23">
        <v>0</v>
      </c>
      <c r="H174" s="23">
        <v>0</v>
      </c>
      <c r="I174" s="23" t="s">
        <v>24</v>
      </c>
      <c r="J174" s="23" t="s">
        <v>597</v>
      </c>
      <c r="K174" s="23" t="s">
        <v>1881</v>
      </c>
      <c r="L174" s="24">
        <v>45820</v>
      </c>
      <c r="M174" s="28">
        <v>1.3888888888888888E-2</v>
      </c>
      <c r="N174" s="3">
        <v>45810</v>
      </c>
      <c r="O174">
        <v>220642</v>
      </c>
      <c r="P174">
        <v>45</v>
      </c>
      <c r="Q174" s="23" t="s">
        <v>2231</v>
      </c>
    </row>
    <row r="175" spans="1:17" x14ac:dyDescent="0.35">
      <c r="A175" s="23">
        <v>1004137</v>
      </c>
      <c r="B175" s="23">
        <v>1</v>
      </c>
      <c r="C175" s="23">
        <v>1004155</v>
      </c>
      <c r="D175" s="23" t="s">
        <v>1495</v>
      </c>
      <c r="E175" s="5">
        <v>30</v>
      </c>
      <c r="F175" s="23">
        <v>12</v>
      </c>
      <c r="G175" s="23">
        <v>0</v>
      </c>
      <c r="H175" s="23">
        <v>0</v>
      </c>
      <c r="I175" s="23" t="s">
        <v>24</v>
      </c>
      <c r="J175" s="23" t="s">
        <v>597</v>
      </c>
      <c r="K175" s="23" t="s">
        <v>1881</v>
      </c>
      <c r="L175" s="24">
        <v>45820</v>
      </c>
      <c r="M175" s="28">
        <v>2.0833333333333332E-2</v>
      </c>
      <c r="N175" s="3">
        <v>45810</v>
      </c>
      <c r="O175">
        <v>220643</v>
      </c>
      <c r="P175">
        <v>45</v>
      </c>
      <c r="Q175" s="23" t="s">
        <v>2232</v>
      </c>
    </row>
    <row r="176" spans="1:17" x14ac:dyDescent="0.35">
      <c r="A176" s="23">
        <v>1014986</v>
      </c>
      <c r="B176" s="23">
        <v>1</v>
      </c>
      <c r="C176" s="23">
        <v>1014986</v>
      </c>
      <c r="D176" s="23" t="s">
        <v>1882</v>
      </c>
      <c r="E176" s="5">
        <v>75</v>
      </c>
      <c r="F176" s="23">
        <v>1</v>
      </c>
      <c r="G176" s="23">
        <v>0</v>
      </c>
      <c r="H176" s="23">
        <v>0</v>
      </c>
      <c r="I176" s="23" t="s">
        <v>24</v>
      </c>
      <c r="J176" s="23" t="s">
        <v>597</v>
      </c>
      <c r="K176" s="23" t="s">
        <v>1883</v>
      </c>
      <c r="L176" s="23">
        <v>45834</v>
      </c>
      <c r="M176" s="28">
        <v>5.2083333333333336E-2</v>
      </c>
      <c r="N176" s="3">
        <v>45810</v>
      </c>
      <c r="O176">
        <v>216056</v>
      </c>
      <c r="P176">
        <v>45</v>
      </c>
      <c r="Q176" s="23" t="s">
        <v>2233</v>
      </c>
    </row>
    <row r="177" spans="1:17" x14ac:dyDescent="0.35">
      <c r="A177" s="23">
        <v>1014987</v>
      </c>
      <c r="B177" s="23">
        <v>1</v>
      </c>
      <c r="C177" s="23">
        <v>1014988</v>
      </c>
      <c r="D177" s="23" t="s">
        <v>1884</v>
      </c>
      <c r="E177" s="5">
        <v>10</v>
      </c>
      <c r="F177" s="23">
        <v>1</v>
      </c>
      <c r="G177" s="23">
        <v>0</v>
      </c>
      <c r="H177" s="23">
        <v>0</v>
      </c>
      <c r="I177" s="23" t="s">
        <v>24</v>
      </c>
      <c r="J177" s="23" t="s">
        <v>597</v>
      </c>
      <c r="K177" s="23" t="s">
        <v>1885</v>
      </c>
      <c r="L177" s="23">
        <v>45834</v>
      </c>
      <c r="M177" s="28">
        <v>6.9444444444444441E-3</v>
      </c>
      <c r="N177" s="3">
        <v>45810</v>
      </c>
      <c r="O177">
        <v>217587</v>
      </c>
      <c r="P177">
        <v>45</v>
      </c>
      <c r="Q177" s="23" t="s">
        <v>2234</v>
      </c>
    </row>
    <row r="178" spans="1:17" x14ac:dyDescent="0.35">
      <c r="A178" s="23">
        <v>1014987</v>
      </c>
      <c r="B178" s="23">
        <v>1</v>
      </c>
      <c r="C178" s="23">
        <v>1014989</v>
      </c>
      <c r="D178" s="23" t="s">
        <v>1627</v>
      </c>
      <c r="E178" s="5">
        <v>20</v>
      </c>
      <c r="F178" s="23">
        <v>1</v>
      </c>
      <c r="G178" s="23">
        <v>0</v>
      </c>
      <c r="H178" s="23">
        <v>0</v>
      </c>
      <c r="I178" s="23" t="s">
        <v>24</v>
      </c>
      <c r="J178" s="23" t="s">
        <v>597</v>
      </c>
      <c r="K178" s="23" t="s">
        <v>1885</v>
      </c>
      <c r="L178" s="24">
        <v>45834</v>
      </c>
      <c r="M178" s="28">
        <v>1.3888888888888888E-2</v>
      </c>
      <c r="N178" s="3">
        <v>45810</v>
      </c>
      <c r="O178">
        <v>217588</v>
      </c>
      <c r="P178">
        <v>45</v>
      </c>
      <c r="Q178" s="23" t="s">
        <v>2235</v>
      </c>
    </row>
    <row r="179" spans="1:17" x14ac:dyDescent="0.35">
      <c r="A179" s="23">
        <v>1014995</v>
      </c>
      <c r="B179" s="23">
        <v>1</v>
      </c>
      <c r="C179" s="23">
        <v>1014997</v>
      </c>
      <c r="D179" s="23" t="s">
        <v>1629</v>
      </c>
      <c r="E179" s="5">
        <v>10</v>
      </c>
      <c r="F179" s="23">
        <v>1</v>
      </c>
      <c r="G179" s="23">
        <v>0</v>
      </c>
      <c r="H179" s="23">
        <v>0</v>
      </c>
      <c r="I179" s="23" t="s">
        <v>24</v>
      </c>
      <c r="J179" s="23" t="s">
        <v>597</v>
      </c>
      <c r="K179" s="23" t="s">
        <v>1886</v>
      </c>
      <c r="L179" s="24">
        <v>45834</v>
      </c>
      <c r="M179" s="28">
        <v>6.9444444444444441E-3</v>
      </c>
      <c r="N179" s="3">
        <v>45810</v>
      </c>
      <c r="O179">
        <v>217657</v>
      </c>
      <c r="P179">
        <v>45</v>
      </c>
      <c r="Q179" s="23" t="s">
        <v>2236</v>
      </c>
    </row>
    <row r="180" spans="1:17" x14ac:dyDescent="0.35">
      <c r="A180" s="23">
        <v>1014995</v>
      </c>
      <c r="B180" s="23">
        <v>1</v>
      </c>
      <c r="C180" s="23">
        <v>1014996</v>
      </c>
      <c r="D180" s="23" t="s">
        <v>1628</v>
      </c>
      <c r="E180" s="5">
        <v>20</v>
      </c>
      <c r="F180" s="23">
        <v>1</v>
      </c>
      <c r="G180" s="23">
        <v>0</v>
      </c>
      <c r="H180" s="23">
        <v>0</v>
      </c>
      <c r="I180" s="23" t="s">
        <v>24</v>
      </c>
      <c r="J180" s="23" t="s">
        <v>597</v>
      </c>
      <c r="K180" s="23" t="s">
        <v>1886</v>
      </c>
      <c r="L180" s="24">
        <v>45834</v>
      </c>
      <c r="M180" s="28">
        <v>1.3888888888888888E-2</v>
      </c>
      <c r="N180" s="3">
        <v>45810</v>
      </c>
      <c r="O180">
        <v>217656</v>
      </c>
      <c r="P180">
        <v>45</v>
      </c>
      <c r="Q180" s="23" t="s">
        <v>2237</v>
      </c>
    </row>
    <row r="181" spans="1:17" x14ac:dyDescent="0.35">
      <c r="A181" s="23">
        <v>1017215</v>
      </c>
      <c r="B181" s="23">
        <v>1</v>
      </c>
      <c r="C181" s="23">
        <v>1017311</v>
      </c>
      <c r="D181" s="23" t="s">
        <v>453</v>
      </c>
      <c r="E181" s="5">
        <v>30</v>
      </c>
      <c r="F181" s="23">
        <v>1</v>
      </c>
      <c r="G181" s="23">
        <v>0</v>
      </c>
      <c r="H181" s="23">
        <v>0</v>
      </c>
      <c r="I181" s="23" t="s">
        <v>24</v>
      </c>
      <c r="J181" s="23" t="s">
        <v>597</v>
      </c>
      <c r="K181" s="23" t="s">
        <v>1887</v>
      </c>
      <c r="L181" s="23">
        <v>45828</v>
      </c>
      <c r="M181" s="28">
        <v>2.0833333333333332E-2</v>
      </c>
      <c r="N181" s="3">
        <v>45810</v>
      </c>
      <c r="O181">
        <v>175904</v>
      </c>
      <c r="P181">
        <v>45</v>
      </c>
      <c r="Q181" s="23" t="s">
        <v>2238</v>
      </c>
    </row>
    <row r="182" spans="1:17" x14ac:dyDescent="0.35">
      <c r="A182" s="23">
        <v>1017215</v>
      </c>
      <c r="B182" s="23">
        <v>1</v>
      </c>
      <c r="C182" s="23">
        <v>1017305</v>
      </c>
      <c r="D182" s="23" t="s">
        <v>1888</v>
      </c>
      <c r="E182" s="5">
        <v>25</v>
      </c>
      <c r="F182" s="23">
        <v>1</v>
      </c>
      <c r="G182" s="23">
        <v>0</v>
      </c>
      <c r="H182" s="23">
        <v>0</v>
      </c>
      <c r="I182" s="23" t="s">
        <v>24</v>
      </c>
      <c r="J182" s="23" t="s">
        <v>597</v>
      </c>
      <c r="K182" s="23" t="s">
        <v>1887</v>
      </c>
      <c r="L182" s="24">
        <v>45828</v>
      </c>
      <c r="M182" s="28">
        <v>1.7361111111111112E-2</v>
      </c>
      <c r="N182" s="3">
        <v>45810</v>
      </c>
      <c r="O182">
        <v>175898</v>
      </c>
      <c r="P182">
        <v>45</v>
      </c>
      <c r="Q182" s="23" t="s">
        <v>2239</v>
      </c>
    </row>
    <row r="183" spans="1:17" x14ac:dyDescent="0.35">
      <c r="A183" s="23">
        <v>1017567</v>
      </c>
      <c r="B183" s="23">
        <v>1</v>
      </c>
      <c r="C183" s="23">
        <v>1017638</v>
      </c>
      <c r="D183" s="23" t="s">
        <v>1832</v>
      </c>
      <c r="E183" s="5">
        <v>7</v>
      </c>
      <c r="F183" s="23">
        <v>1</v>
      </c>
      <c r="G183" s="23">
        <v>0</v>
      </c>
      <c r="H183" s="23">
        <v>0</v>
      </c>
      <c r="I183" s="23" t="s">
        <v>24</v>
      </c>
      <c r="J183" s="23" t="s">
        <v>597</v>
      </c>
      <c r="K183" s="23" t="s">
        <v>1889</v>
      </c>
      <c r="L183" s="24">
        <v>45825</v>
      </c>
      <c r="M183" s="28">
        <v>4.8611111111111112E-3</v>
      </c>
      <c r="N183" s="3">
        <v>45810</v>
      </c>
      <c r="O183">
        <v>179986</v>
      </c>
      <c r="P183">
        <v>45</v>
      </c>
      <c r="Q183" s="23" t="s">
        <v>2240</v>
      </c>
    </row>
    <row r="184" spans="1:17" x14ac:dyDescent="0.35">
      <c r="A184" s="23">
        <v>1017567</v>
      </c>
      <c r="B184" s="23">
        <v>1</v>
      </c>
      <c r="C184" s="23">
        <v>1017612</v>
      </c>
      <c r="D184" s="23" t="s">
        <v>1860</v>
      </c>
      <c r="E184" s="5">
        <v>60</v>
      </c>
      <c r="F184" s="23">
        <v>1</v>
      </c>
      <c r="G184" s="23">
        <v>0</v>
      </c>
      <c r="H184" s="23">
        <v>0</v>
      </c>
      <c r="I184" s="23" t="s">
        <v>24</v>
      </c>
      <c r="J184" s="23" t="s">
        <v>597</v>
      </c>
      <c r="K184" s="23" t="s">
        <v>1889</v>
      </c>
      <c r="L184" s="24">
        <v>45825</v>
      </c>
      <c r="M184" s="28">
        <v>4.1666666666666664E-2</v>
      </c>
      <c r="N184" s="3">
        <v>45810</v>
      </c>
      <c r="O184">
        <v>179960</v>
      </c>
      <c r="P184">
        <v>45</v>
      </c>
      <c r="Q184" s="23" t="s">
        <v>2241</v>
      </c>
    </row>
    <row r="185" spans="1:17" x14ac:dyDescent="0.35">
      <c r="A185" s="23">
        <v>1017567</v>
      </c>
      <c r="B185" s="23">
        <v>1</v>
      </c>
      <c r="C185" s="23">
        <v>1017592</v>
      </c>
      <c r="D185" s="23" t="s">
        <v>1861</v>
      </c>
      <c r="E185" s="5">
        <v>60</v>
      </c>
      <c r="F185" s="23">
        <v>1</v>
      </c>
      <c r="G185" s="23">
        <v>0</v>
      </c>
      <c r="H185" s="23">
        <v>0</v>
      </c>
      <c r="I185" s="23" t="s">
        <v>24</v>
      </c>
      <c r="J185" s="23" t="s">
        <v>597</v>
      </c>
      <c r="K185" s="23" t="s">
        <v>1889</v>
      </c>
      <c r="L185" s="24">
        <v>45825</v>
      </c>
      <c r="M185" s="28">
        <v>4.1666666666666664E-2</v>
      </c>
      <c r="N185" s="3">
        <v>45810</v>
      </c>
      <c r="O185">
        <v>179940</v>
      </c>
      <c r="P185">
        <v>45</v>
      </c>
      <c r="Q185" s="23" t="s">
        <v>2242</v>
      </c>
    </row>
    <row r="186" spans="1:17" x14ac:dyDescent="0.35">
      <c r="A186" s="23">
        <v>1018116</v>
      </c>
      <c r="B186" s="23">
        <v>10</v>
      </c>
      <c r="C186" s="23">
        <v>1018120</v>
      </c>
      <c r="D186" s="23" t="s">
        <v>225</v>
      </c>
      <c r="E186" s="5">
        <v>250</v>
      </c>
      <c r="F186" s="23">
        <v>10</v>
      </c>
      <c r="G186" s="23">
        <v>0</v>
      </c>
      <c r="H186" s="23">
        <v>0</v>
      </c>
      <c r="I186" s="23" t="s">
        <v>24</v>
      </c>
      <c r="J186" s="23" t="s">
        <v>597</v>
      </c>
      <c r="K186" s="23" t="s">
        <v>1890</v>
      </c>
      <c r="L186" s="23">
        <v>45839</v>
      </c>
      <c r="M186" s="28">
        <v>0.1736111111111111</v>
      </c>
      <c r="N186" s="3">
        <v>45810</v>
      </c>
      <c r="O186">
        <v>138053</v>
      </c>
      <c r="P186">
        <v>45</v>
      </c>
      <c r="Q186" s="23" t="s">
        <v>2243</v>
      </c>
    </row>
    <row r="187" spans="1:17" x14ac:dyDescent="0.35">
      <c r="A187" s="23">
        <v>1018483</v>
      </c>
      <c r="B187" s="23">
        <v>1</v>
      </c>
      <c r="C187" s="23">
        <v>1018540</v>
      </c>
      <c r="D187" s="23" t="s">
        <v>1865</v>
      </c>
      <c r="E187" s="5">
        <v>15</v>
      </c>
      <c r="F187" s="23">
        <v>1</v>
      </c>
      <c r="G187" s="23">
        <v>0</v>
      </c>
      <c r="H187" s="23">
        <v>0</v>
      </c>
      <c r="I187" s="23" t="s">
        <v>24</v>
      </c>
      <c r="J187" s="23" t="s">
        <v>597</v>
      </c>
      <c r="K187" s="23" t="s">
        <v>1891</v>
      </c>
      <c r="L187" s="23">
        <v>45820</v>
      </c>
      <c r="M187" s="28">
        <v>1.0416666666666666E-2</v>
      </c>
      <c r="N187" s="3">
        <v>45810</v>
      </c>
      <c r="O187">
        <v>180182</v>
      </c>
      <c r="P187">
        <v>45</v>
      </c>
      <c r="Q187" s="23" t="s">
        <v>2244</v>
      </c>
    </row>
    <row r="188" spans="1:17" x14ac:dyDescent="0.35">
      <c r="A188" s="23">
        <v>1021655</v>
      </c>
      <c r="B188" s="23">
        <v>1</v>
      </c>
      <c r="C188" s="23">
        <v>1021700</v>
      </c>
      <c r="D188" s="23" t="s">
        <v>1860</v>
      </c>
      <c r="E188" s="5">
        <v>60</v>
      </c>
      <c r="F188" s="23">
        <v>1</v>
      </c>
      <c r="G188" s="23">
        <v>0</v>
      </c>
      <c r="H188" s="23">
        <v>0</v>
      </c>
      <c r="I188" s="23" t="s">
        <v>24</v>
      </c>
      <c r="J188" s="23" t="s">
        <v>597</v>
      </c>
      <c r="K188" s="23" t="s">
        <v>1892</v>
      </c>
      <c r="L188" s="24">
        <v>45825</v>
      </c>
      <c r="M188" s="28">
        <v>4.1666666666666664E-2</v>
      </c>
      <c r="N188" s="3">
        <v>45810</v>
      </c>
      <c r="O188">
        <v>179960</v>
      </c>
      <c r="P188">
        <v>45</v>
      </c>
      <c r="Q188" s="23" t="s">
        <v>2245</v>
      </c>
    </row>
    <row r="189" spans="1:17" x14ac:dyDescent="0.35">
      <c r="A189" s="23">
        <v>1021655</v>
      </c>
      <c r="B189" s="23">
        <v>1</v>
      </c>
      <c r="C189" s="23">
        <v>1021680</v>
      </c>
      <c r="D189" s="23" t="s">
        <v>1861</v>
      </c>
      <c r="E189" s="5">
        <v>60</v>
      </c>
      <c r="F189" s="23">
        <v>1</v>
      </c>
      <c r="G189" s="23">
        <v>0</v>
      </c>
      <c r="H189" s="23">
        <v>0</v>
      </c>
      <c r="I189" s="23" t="s">
        <v>24</v>
      </c>
      <c r="J189" s="23" t="s">
        <v>597</v>
      </c>
      <c r="K189" s="23" t="s">
        <v>1892</v>
      </c>
      <c r="L189" s="24">
        <v>45825</v>
      </c>
      <c r="M189" s="28">
        <v>4.1666666666666664E-2</v>
      </c>
      <c r="N189" s="3">
        <v>45810</v>
      </c>
      <c r="O189">
        <v>179940</v>
      </c>
      <c r="P189">
        <v>45</v>
      </c>
      <c r="Q189" s="23" t="s">
        <v>2246</v>
      </c>
    </row>
    <row r="190" spans="1:17" x14ac:dyDescent="0.35">
      <c r="A190" s="23">
        <v>1021655</v>
      </c>
      <c r="B190" s="23">
        <v>1</v>
      </c>
      <c r="C190" s="23">
        <v>1021726</v>
      </c>
      <c r="D190" s="23" t="s">
        <v>1832</v>
      </c>
      <c r="E190" s="5">
        <v>7</v>
      </c>
      <c r="F190" s="23">
        <v>1</v>
      </c>
      <c r="G190" s="23">
        <v>0</v>
      </c>
      <c r="H190" s="23">
        <v>0</v>
      </c>
      <c r="I190" s="23" t="s">
        <v>24</v>
      </c>
      <c r="J190" s="23" t="s">
        <v>597</v>
      </c>
      <c r="K190" s="23" t="s">
        <v>1892</v>
      </c>
      <c r="L190" s="24">
        <v>45825</v>
      </c>
      <c r="M190" s="28">
        <v>4.8611111111111112E-3</v>
      </c>
      <c r="N190" s="3">
        <v>45810</v>
      </c>
      <c r="O190">
        <v>179986</v>
      </c>
      <c r="P190">
        <v>45</v>
      </c>
      <c r="Q190" s="23" t="s">
        <v>2247</v>
      </c>
    </row>
    <row r="191" spans="1:17" x14ac:dyDescent="0.35">
      <c r="A191" s="23">
        <v>1021769</v>
      </c>
      <c r="B191" s="23">
        <v>1</v>
      </c>
      <c r="C191" s="23">
        <v>1021762</v>
      </c>
      <c r="D191" s="23" t="s">
        <v>949</v>
      </c>
      <c r="E191" s="5">
        <v>10</v>
      </c>
      <c r="F191" s="23">
        <v>1</v>
      </c>
      <c r="G191" s="23">
        <v>0</v>
      </c>
      <c r="H191" s="23">
        <v>0</v>
      </c>
      <c r="I191" s="23" t="s">
        <v>24</v>
      </c>
      <c r="J191" s="23" t="s">
        <v>597</v>
      </c>
      <c r="K191" s="23" t="s">
        <v>1893</v>
      </c>
      <c r="L191" s="24">
        <v>45817</v>
      </c>
      <c r="M191" s="28">
        <v>6.9444444444444441E-3</v>
      </c>
      <c r="N191" s="3">
        <v>45810</v>
      </c>
      <c r="O191">
        <v>190462</v>
      </c>
      <c r="P191">
        <v>45</v>
      </c>
      <c r="Q191" s="23" t="s">
        <v>2248</v>
      </c>
    </row>
    <row r="192" spans="1:17" x14ac:dyDescent="0.35">
      <c r="A192" s="23">
        <v>1021769</v>
      </c>
      <c r="B192" s="23">
        <v>1</v>
      </c>
      <c r="C192" s="23">
        <v>1021753</v>
      </c>
      <c r="D192" s="23" t="s">
        <v>1052</v>
      </c>
      <c r="E192" s="5">
        <v>50</v>
      </c>
      <c r="F192" s="23">
        <v>1</v>
      </c>
      <c r="G192" s="23">
        <v>0</v>
      </c>
      <c r="H192" s="23">
        <v>0</v>
      </c>
      <c r="I192" s="23" t="s">
        <v>24</v>
      </c>
      <c r="J192" s="23" t="s">
        <v>597</v>
      </c>
      <c r="K192" s="23" t="s">
        <v>1893</v>
      </c>
      <c r="L192" s="24">
        <v>45817</v>
      </c>
      <c r="M192" s="28">
        <v>3.4722222222222224E-2</v>
      </c>
      <c r="N192" s="3">
        <v>45810</v>
      </c>
      <c r="O192">
        <v>190453</v>
      </c>
      <c r="P192">
        <v>45</v>
      </c>
      <c r="Q192" s="23" t="s">
        <v>2249</v>
      </c>
    </row>
    <row r="193" spans="1:17" x14ac:dyDescent="0.35">
      <c r="A193" s="23">
        <v>1022657</v>
      </c>
      <c r="B193" s="23">
        <v>1</v>
      </c>
      <c r="C193" s="23">
        <v>1022670</v>
      </c>
      <c r="D193" s="23" t="s">
        <v>1794</v>
      </c>
      <c r="E193" s="5">
        <v>20</v>
      </c>
      <c r="F193" s="23">
        <v>3</v>
      </c>
      <c r="G193" s="23">
        <v>0</v>
      </c>
      <c r="H193" s="23">
        <v>0</v>
      </c>
      <c r="I193" s="23" t="s">
        <v>24</v>
      </c>
      <c r="J193" s="23" t="s">
        <v>597</v>
      </c>
      <c r="K193" s="23" t="s">
        <v>1894</v>
      </c>
      <c r="L193" s="23">
        <v>45840</v>
      </c>
      <c r="M193" s="28">
        <v>1.3888888888888888E-2</v>
      </c>
      <c r="N193" s="3">
        <v>45810</v>
      </c>
      <c r="O193">
        <v>175594</v>
      </c>
      <c r="P193">
        <v>45</v>
      </c>
      <c r="Q193" s="23" t="s">
        <v>2250</v>
      </c>
    </row>
    <row r="194" spans="1:17" x14ac:dyDescent="0.35">
      <c r="A194" s="23">
        <v>1022657</v>
      </c>
      <c r="B194" s="23">
        <v>1</v>
      </c>
      <c r="C194" s="23">
        <v>1022710</v>
      </c>
      <c r="D194" s="23" t="s">
        <v>1798</v>
      </c>
      <c r="E194" s="5">
        <v>30</v>
      </c>
      <c r="F194" s="23">
        <v>3</v>
      </c>
      <c r="G194" s="23">
        <v>0</v>
      </c>
      <c r="H194" s="23">
        <v>0</v>
      </c>
      <c r="I194" s="23" t="s">
        <v>24</v>
      </c>
      <c r="J194" s="23" t="s">
        <v>597</v>
      </c>
      <c r="K194" s="23" t="s">
        <v>1894</v>
      </c>
      <c r="L194" s="24">
        <v>45840</v>
      </c>
      <c r="M194" s="28">
        <v>2.0833333333333332E-2</v>
      </c>
      <c r="N194" s="3">
        <v>45810</v>
      </c>
      <c r="O194">
        <v>175634</v>
      </c>
      <c r="P194">
        <v>45</v>
      </c>
      <c r="Q194" s="23" t="s">
        <v>2251</v>
      </c>
    </row>
    <row r="195" spans="1:17" x14ac:dyDescent="0.35">
      <c r="A195" s="23">
        <v>1022657</v>
      </c>
      <c r="B195" s="23">
        <v>1</v>
      </c>
      <c r="C195" s="23">
        <v>1022707</v>
      </c>
      <c r="D195" s="23" t="s">
        <v>1309</v>
      </c>
      <c r="E195" s="5">
        <v>15</v>
      </c>
      <c r="F195" s="23">
        <v>3</v>
      </c>
      <c r="G195" s="23">
        <v>0</v>
      </c>
      <c r="H195" s="23">
        <v>0</v>
      </c>
      <c r="I195" s="23" t="s">
        <v>24</v>
      </c>
      <c r="J195" s="23" t="s">
        <v>597</v>
      </c>
      <c r="K195" s="23" t="s">
        <v>1894</v>
      </c>
      <c r="L195" s="24">
        <v>45840</v>
      </c>
      <c r="M195" s="28">
        <v>1.0416666666666666E-2</v>
      </c>
      <c r="N195" s="3">
        <v>45810</v>
      </c>
      <c r="O195">
        <v>175631</v>
      </c>
      <c r="P195">
        <v>45</v>
      </c>
      <c r="Q195" s="23" t="s">
        <v>2252</v>
      </c>
    </row>
    <row r="196" spans="1:17" x14ac:dyDescent="0.35">
      <c r="A196" s="23">
        <v>1022657</v>
      </c>
      <c r="B196" s="23">
        <v>1</v>
      </c>
      <c r="C196" s="23">
        <v>1022703</v>
      </c>
      <c r="D196" s="23" t="s">
        <v>1796</v>
      </c>
      <c r="E196" s="5">
        <v>35</v>
      </c>
      <c r="F196" s="23">
        <v>3</v>
      </c>
      <c r="G196" s="23">
        <v>0</v>
      </c>
      <c r="H196" s="23">
        <v>0</v>
      </c>
      <c r="I196" s="23" t="s">
        <v>24</v>
      </c>
      <c r="J196" s="23" t="s">
        <v>597</v>
      </c>
      <c r="K196" s="23" t="s">
        <v>1894</v>
      </c>
      <c r="L196" s="24">
        <v>45840</v>
      </c>
      <c r="M196" s="28">
        <v>2.4305555555555556E-2</v>
      </c>
      <c r="N196" s="3">
        <v>45810</v>
      </c>
      <c r="O196">
        <v>175627</v>
      </c>
      <c r="P196">
        <v>45</v>
      </c>
      <c r="Q196" s="23" t="s">
        <v>2253</v>
      </c>
    </row>
    <row r="197" spans="1:17" x14ac:dyDescent="0.35">
      <c r="A197" s="23">
        <v>1022657</v>
      </c>
      <c r="B197" s="23">
        <v>1</v>
      </c>
      <c r="C197" s="23">
        <v>1022706</v>
      </c>
      <c r="D197" s="23" t="s">
        <v>1797</v>
      </c>
      <c r="E197" s="5">
        <v>90</v>
      </c>
      <c r="F197" s="23">
        <v>6</v>
      </c>
      <c r="G197" s="23">
        <v>0</v>
      </c>
      <c r="H197" s="23">
        <v>0</v>
      </c>
      <c r="I197" s="23" t="s">
        <v>24</v>
      </c>
      <c r="J197" s="23" t="s">
        <v>597</v>
      </c>
      <c r="K197" s="23" t="s">
        <v>1894</v>
      </c>
      <c r="L197" s="24">
        <v>45840</v>
      </c>
      <c r="M197" s="28">
        <v>6.25E-2</v>
      </c>
      <c r="N197" s="3">
        <v>45810</v>
      </c>
      <c r="O197">
        <v>175630</v>
      </c>
      <c r="P197">
        <v>45</v>
      </c>
      <c r="Q197" s="23" t="s">
        <v>2254</v>
      </c>
    </row>
    <row r="198" spans="1:17" x14ac:dyDescent="0.35">
      <c r="A198" s="23">
        <v>1022657</v>
      </c>
      <c r="B198" s="23">
        <v>1</v>
      </c>
      <c r="C198" s="23">
        <v>1022676</v>
      </c>
      <c r="D198" s="23" t="s">
        <v>1795</v>
      </c>
      <c r="E198" s="5">
        <v>25</v>
      </c>
      <c r="F198" s="23">
        <v>3</v>
      </c>
      <c r="G198" s="23">
        <v>0</v>
      </c>
      <c r="H198" s="23">
        <v>0</v>
      </c>
      <c r="I198" s="23" t="s">
        <v>24</v>
      </c>
      <c r="J198" s="23" t="s">
        <v>597</v>
      </c>
      <c r="K198" s="23" t="s">
        <v>1894</v>
      </c>
      <c r="L198" s="24">
        <v>45840</v>
      </c>
      <c r="M198" s="28">
        <v>1.7361111111111112E-2</v>
      </c>
      <c r="N198" s="3">
        <v>45810</v>
      </c>
      <c r="O198">
        <v>175600</v>
      </c>
      <c r="P198">
        <v>45</v>
      </c>
      <c r="Q198" s="23" t="s">
        <v>2255</v>
      </c>
    </row>
    <row r="199" spans="1:17" x14ac:dyDescent="0.35">
      <c r="A199" s="23">
        <v>1022658</v>
      </c>
      <c r="B199" s="23">
        <v>1</v>
      </c>
      <c r="C199" s="23">
        <v>1022676</v>
      </c>
      <c r="D199" s="23" t="s">
        <v>1795</v>
      </c>
      <c r="E199" s="5">
        <v>25</v>
      </c>
      <c r="F199" s="23">
        <v>3</v>
      </c>
      <c r="G199" s="23">
        <v>0</v>
      </c>
      <c r="H199" s="23">
        <v>0</v>
      </c>
      <c r="I199" s="23" t="s">
        <v>24</v>
      </c>
      <c r="J199" s="23" t="s">
        <v>597</v>
      </c>
      <c r="K199" s="23" t="s">
        <v>1894</v>
      </c>
      <c r="L199" s="24">
        <v>45840</v>
      </c>
      <c r="M199" s="28">
        <v>1.7361111111111112E-2</v>
      </c>
      <c r="N199" s="3">
        <v>45810</v>
      </c>
      <c r="O199">
        <v>175600</v>
      </c>
      <c r="P199">
        <v>45</v>
      </c>
      <c r="Q199" s="23" t="s">
        <v>2256</v>
      </c>
    </row>
    <row r="200" spans="1:17" x14ac:dyDescent="0.35">
      <c r="A200" s="23">
        <v>1022658</v>
      </c>
      <c r="B200" s="23">
        <v>1</v>
      </c>
      <c r="C200" s="23">
        <v>1022710</v>
      </c>
      <c r="D200" s="23" t="s">
        <v>1798</v>
      </c>
      <c r="E200" s="5">
        <v>30</v>
      </c>
      <c r="F200" s="23">
        <v>3</v>
      </c>
      <c r="G200" s="23">
        <v>0</v>
      </c>
      <c r="H200" s="23">
        <v>0</v>
      </c>
      <c r="I200" s="23" t="s">
        <v>24</v>
      </c>
      <c r="J200" s="23" t="s">
        <v>597</v>
      </c>
      <c r="K200" s="23" t="s">
        <v>1894</v>
      </c>
      <c r="L200" s="23">
        <v>45840</v>
      </c>
      <c r="M200" s="28">
        <v>2.0833333333333332E-2</v>
      </c>
      <c r="N200" s="3">
        <v>45810</v>
      </c>
      <c r="O200">
        <v>175634</v>
      </c>
      <c r="P200">
        <v>45</v>
      </c>
      <c r="Q200" s="23" t="s">
        <v>2257</v>
      </c>
    </row>
    <row r="201" spans="1:17" x14ac:dyDescent="0.35">
      <c r="A201" s="23">
        <v>1022658</v>
      </c>
      <c r="B201" s="23">
        <v>1</v>
      </c>
      <c r="C201" s="23">
        <v>1022706</v>
      </c>
      <c r="D201" s="23" t="s">
        <v>1797</v>
      </c>
      <c r="E201" s="5">
        <v>90</v>
      </c>
      <c r="F201" s="23">
        <v>6</v>
      </c>
      <c r="G201" s="23">
        <v>0</v>
      </c>
      <c r="H201" s="23">
        <v>0</v>
      </c>
      <c r="I201" s="23" t="s">
        <v>24</v>
      </c>
      <c r="J201" s="23" t="s">
        <v>597</v>
      </c>
      <c r="K201" s="23" t="s">
        <v>1894</v>
      </c>
      <c r="L201" s="24">
        <v>45840</v>
      </c>
      <c r="M201" s="28">
        <v>6.25E-2</v>
      </c>
      <c r="N201" s="3">
        <v>45810</v>
      </c>
      <c r="O201">
        <v>175630</v>
      </c>
      <c r="P201">
        <v>45</v>
      </c>
      <c r="Q201" s="23" t="s">
        <v>2258</v>
      </c>
    </row>
    <row r="202" spans="1:17" x14ac:dyDescent="0.35">
      <c r="A202" s="23">
        <v>1022658</v>
      </c>
      <c r="B202" s="23">
        <v>1</v>
      </c>
      <c r="C202" s="23">
        <v>1022703</v>
      </c>
      <c r="D202" s="23" t="s">
        <v>1796</v>
      </c>
      <c r="E202" s="5">
        <v>35</v>
      </c>
      <c r="F202" s="23">
        <v>3</v>
      </c>
      <c r="G202" s="23">
        <v>0</v>
      </c>
      <c r="H202" s="23">
        <v>0</v>
      </c>
      <c r="I202" s="23" t="s">
        <v>24</v>
      </c>
      <c r="J202" s="23" t="s">
        <v>597</v>
      </c>
      <c r="K202" s="23" t="s">
        <v>1894</v>
      </c>
      <c r="L202" s="23">
        <v>45840</v>
      </c>
      <c r="M202" s="28">
        <v>2.4305555555555556E-2</v>
      </c>
      <c r="N202" s="3">
        <v>45810</v>
      </c>
      <c r="O202">
        <v>175627</v>
      </c>
      <c r="P202">
        <v>45</v>
      </c>
      <c r="Q202" s="23" t="s">
        <v>2259</v>
      </c>
    </row>
    <row r="203" spans="1:17" x14ac:dyDescent="0.35">
      <c r="A203" s="23">
        <v>1022658</v>
      </c>
      <c r="B203" s="23">
        <v>1</v>
      </c>
      <c r="C203" s="23">
        <v>1022707</v>
      </c>
      <c r="D203" s="23" t="s">
        <v>1309</v>
      </c>
      <c r="E203" s="5">
        <v>15</v>
      </c>
      <c r="F203" s="23">
        <v>3</v>
      </c>
      <c r="G203" s="23">
        <v>0</v>
      </c>
      <c r="H203" s="23">
        <v>0</v>
      </c>
      <c r="I203" s="23" t="s">
        <v>24</v>
      </c>
      <c r="J203" s="23" t="s">
        <v>597</v>
      </c>
      <c r="K203" s="23" t="s">
        <v>1894</v>
      </c>
      <c r="L203" s="24">
        <v>45840</v>
      </c>
      <c r="M203" s="28">
        <v>1.0416666666666666E-2</v>
      </c>
      <c r="N203" s="3">
        <v>45810</v>
      </c>
      <c r="O203">
        <v>175631</v>
      </c>
      <c r="P203">
        <v>45</v>
      </c>
      <c r="Q203" s="23" t="s">
        <v>2260</v>
      </c>
    </row>
    <row r="204" spans="1:17" x14ac:dyDescent="0.35">
      <c r="A204" s="23">
        <v>1022658</v>
      </c>
      <c r="B204" s="23">
        <v>1</v>
      </c>
      <c r="C204" s="23">
        <v>1022670</v>
      </c>
      <c r="D204" s="23" t="s">
        <v>1794</v>
      </c>
      <c r="E204" s="5">
        <v>20</v>
      </c>
      <c r="F204" s="23">
        <v>3</v>
      </c>
      <c r="G204" s="23">
        <v>0</v>
      </c>
      <c r="H204" s="23">
        <v>0</v>
      </c>
      <c r="I204" s="23" t="s">
        <v>24</v>
      </c>
      <c r="J204" s="23" t="s">
        <v>597</v>
      </c>
      <c r="K204" s="23" t="s">
        <v>1894</v>
      </c>
      <c r="L204" s="23">
        <v>45840</v>
      </c>
      <c r="M204" s="28">
        <v>1.3888888888888888E-2</v>
      </c>
      <c r="N204" s="3">
        <v>45810</v>
      </c>
      <c r="O204">
        <v>175594</v>
      </c>
      <c r="P204">
        <v>45</v>
      </c>
      <c r="Q204" s="23" t="s">
        <v>2261</v>
      </c>
    </row>
    <row r="205" spans="1:17" x14ac:dyDescent="0.35">
      <c r="A205" s="23">
        <v>1022659</v>
      </c>
      <c r="B205" s="23">
        <v>1</v>
      </c>
      <c r="C205" s="23">
        <v>1022710</v>
      </c>
      <c r="D205" s="23" t="s">
        <v>1798</v>
      </c>
      <c r="E205" s="5">
        <v>30</v>
      </c>
      <c r="F205" s="23">
        <v>3</v>
      </c>
      <c r="G205" s="23">
        <v>0</v>
      </c>
      <c r="H205" s="23">
        <v>0</v>
      </c>
      <c r="I205" s="23" t="s">
        <v>24</v>
      </c>
      <c r="J205" s="23" t="s">
        <v>597</v>
      </c>
      <c r="K205" s="23" t="s">
        <v>1894</v>
      </c>
      <c r="L205" s="24">
        <v>45840</v>
      </c>
      <c r="M205" s="28">
        <v>2.0833333333333332E-2</v>
      </c>
      <c r="N205" s="3">
        <v>45810</v>
      </c>
      <c r="O205">
        <v>175634</v>
      </c>
      <c r="P205">
        <v>45</v>
      </c>
      <c r="Q205" s="23" t="s">
        <v>2262</v>
      </c>
    </row>
    <row r="206" spans="1:17" x14ac:dyDescent="0.35">
      <c r="A206" s="23">
        <v>1022659</v>
      </c>
      <c r="B206" s="23">
        <v>1</v>
      </c>
      <c r="C206" s="23">
        <v>1022707</v>
      </c>
      <c r="D206" s="23" t="s">
        <v>1309</v>
      </c>
      <c r="E206" s="5">
        <v>15</v>
      </c>
      <c r="F206" s="23">
        <v>3</v>
      </c>
      <c r="G206" s="23">
        <v>0</v>
      </c>
      <c r="H206" s="23">
        <v>0</v>
      </c>
      <c r="I206" s="23" t="s">
        <v>24</v>
      </c>
      <c r="J206" s="23" t="s">
        <v>597</v>
      </c>
      <c r="K206" s="23" t="s">
        <v>1894</v>
      </c>
      <c r="L206" s="24">
        <v>45840</v>
      </c>
      <c r="M206" s="28">
        <v>1.0416666666666666E-2</v>
      </c>
      <c r="N206" s="3">
        <v>45810</v>
      </c>
      <c r="O206">
        <v>175631</v>
      </c>
      <c r="P206">
        <v>45</v>
      </c>
      <c r="Q206" s="23" t="s">
        <v>2263</v>
      </c>
    </row>
    <row r="207" spans="1:17" x14ac:dyDescent="0.35">
      <c r="A207" s="23">
        <v>1022659</v>
      </c>
      <c r="B207" s="23">
        <v>1</v>
      </c>
      <c r="C207" s="23">
        <v>1022706</v>
      </c>
      <c r="D207" s="23" t="s">
        <v>1797</v>
      </c>
      <c r="E207" s="5">
        <v>90</v>
      </c>
      <c r="F207" s="23">
        <v>6</v>
      </c>
      <c r="G207" s="23">
        <v>0</v>
      </c>
      <c r="H207" s="23">
        <v>0</v>
      </c>
      <c r="I207" s="23" t="s">
        <v>24</v>
      </c>
      <c r="J207" s="23" t="s">
        <v>597</v>
      </c>
      <c r="K207" s="23" t="s">
        <v>1894</v>
      </c>
      <c r="L207" s="24">
        <v>45840</v>
      </c>
      <c r="M207" s="28">
        <v>6.25E-2</v>
      </c>
      <c r="N207" s="3">
        <v>45810</v>
      </c>
      <c r="O207">
        <v>175630</v>
      </c>
      <c r="P207">
        <v>45</v>
      </c>
      <c r="Q207" s="23" t="s">
        <v>2264</v>
      </c>
    </row>
    <row r="208" spans="1:17" x14ac:dyDescent="0.35">
      <c r="A208" s="23">
        <v>1022659</v>
      </c>
      <c r="B208" s="23">
        <v>1</v>
      </c>
      <c r="C208" s="23">
        <v>1022703</v>
      </c>
      <c r="D208" s="23" t="s">
        <v>1796</v>
      </c>
      <c r="E208" s="5">
        <v>35</v>
      </c>
      <c r="F208" s="23">
        <v>3</v>
      </c>
      <c r="G208" s="23">
        <v>0</v>
      </c>
      <c r="H208" s="23">
        <v>0</v>
      </c>
      <c r="I208" s="23" t="s">
        <v>24</v>
      </c>
      <c r="J208" s="23" t="s">
        <v>597</v>
      </c>
      <c r="K208" s="23" t="s">
        <v>1894</v>
      </c>
      <c r="L208" s="24">
        <v>45840</v>
      </c>
      <c r="M208" s="28">
        <v>2.4305555555555556E-2</v>
      </c>
      <c r="N208" s="3">
        <v>45810</v>
      </c>
      <c r="O208">
        <v>175627</v>
      </c>
      <c r="P208">
        <v>45</v>
      </c>
      <c r="Q208" s="23" t="s">
        <v>2265</v>
      </c>
    </row>
    <row r="209" spans="1:17" x14ac:dyDescent="0.35">
      <c r="A209" s="23">
        <v>1022659</v>
      </c>
      <c r="B209" s="23">
        <v>1</v>
      </c>
      <c r="C209" s="23">
        <v>1022676</v>
      </c>
      <c r="D209" s="23" t="s">
        <v>1795</v>
      </c>
      <c r="E209" s="5">
        <v>25</v>
      </c>
      <c r="F209" s="23">
        <v>3</v>
      </c>
      <c r="G209" s="23">
        <v>0</v>
      </c>
      <c r="H209" s="23">
        <v>0</v>
      </c>
      <c r="I209" s="23" t="s">
        <v>24</v>
      </c>
      <c r="J209" s="23" t="s">
        <v>597</v>
      </c>
      <c r="K209" s="23" t="s">
        <v>1894</v>
      </c>
      <c r="L209" s="24">
        <v>45840</v>
      </c>
      <c r="M209" s="28">
        <v>1.7361111111111112E-2</v>
      </c>
      <c r="N209" s="3">
        <v>45810</v>
      </c>
      <c r="O209">
        <v>175600</v>
      </c>
      <c r="P209">
        <v>45</v>
      </c>
      <c r="Q209" s="23" t="s">
        <v>2266</v>
      </c>
    </row>
    <row r="210" spans="1:17" x14ac:dyDescent="0.35">
      <c r="A210" s="23">
        <v>1022659</v>
      </c>
      <c r="B210" s="23">
        <v>1</v>
      </c>
      <c r="C210" s="23">
        <v>1022670</v>
      </c>
      <c r="D210" s="23" t="s">
        <v>1794</v>
      </c>
      <c r="E210" s="5">
        <v>20</v>
      </c>
      <c r="F210" s="23">
        <v>3</v>
      </c>
      <c r="G210" s="23">
        <v>0</v>
      </c>
      <c r="H210" s="23">
        <v>0</v>
      </c>
      <c r="I210" s="23" t="s">
        <v>24</v>
      </c>
      <c r="J210" s="23" t="s">
        <v>597</v>
      </c>
      <c r="K210" s="23" t="s">
        <v>1894</v>
      </c>
      <c r="L210" s="23">
        <v>45840</v>
      </c>
      <c r="M210" s="28">
        <v>1.3888888888888888E-2</v>
      </c>
      <c r="N210" s="3">
        <v>45810</v>
      </c>
      <c r="O210">
        <v>175594</v>
      </c>
      <c r="P210">
        <v>45</v>
      </c>
      <c r="Q210" s="23" t="s">
        <v>2267</v>
      </c>
    </row>
    <row r="211" spans="1:17" x14ac:dyDescent="0.35">
      <c r="A211" s="23">
        <v>1024093</v>
      </c>
      <c r="B211" s="23">
        <v>1</v>
      </c>
      <c r="C211" s="23">
        <v>1024119</v>
      </c>
      <c r="D211" s="23" t="s">
        <v>1895</v>
      </c>
      <c r="E211" s="5">
        <v>15</v>
      </c>
      <c r="F211" s="23">
        <v>1</v>
      </c>
      <c r="G211" s="23">
        <v>0</v>
      </c>
      <c r="H211" s="23">
        <v>0</v>
      </c>
      <c r="I211" s="23" t="s">
        <v>24</v>
      </c>
      <c r="J211" s="23" t="s">
        <v>597</v>
      </c>
      <c r="K211" s="23" t="s">
        <v>1896</v>
      </c>
      <c r="L211" s="24">
        <v>45825</v>
      </c>
      <c r="M211" s="28">
        <v>1.0416666666666666E-2</v>
      </c>
      <c r="N211" s="3">
        <v>45810</v>
      </c>
      <c r="O211">
        <v>177508</v>
      </c>
      <c r="P211">
        <v>45</v>
      </c>
      <c r="Q211" s="23" t="s">
        <v>2268</v>
      </c>
    </row>
    <row r="212" spans="1:17" x14ac:dyDescent="0.35">
      <c r="A212" s="23">
        <v>1024093</v>
      </c>
      <c r="B212" s="23">
        <v>1</v>
      </c>
      <c r="C212" s="23">
        <v>1024120</v>
      </c>
      <c r="D212" s="23" t="s">
        <v>1897</v>
      </c>
      <c r="E212" s="5">
        <v>5</v>
      </c>
      <c r="F212" s="23">
        <v>1</v>
      </c>
      <c r="G212" s="23">
        <v>0</v>
      </c>
      <c r="H212" s="23">
        <v>0</v>
      </c>
      <c r="I212" s="23" t="s">
        <v>24</v>
      </c>
      <c r="J212" s="23" t="s">
        <v>597</v>
      </c>
      <c r="K212" s="23" t="s">
        <v>1896</v>
      </c>
      <c r="L212" s="24">
        <v>45825</v>
      </c>
      <c r="M212" s="28">
        <v>3.472222222222222E-3</v>
      </c>
      <c r="N212" s="3">
        <v>45810</v>
      </c>
      <c r="O212">
        <v>177509</v>
      </c>
      <c r="P212">
        <v>45</v>
      </c>
      <c r="Q212" s="23" t="s">
        <v>2269</v>
      </c>
    </row>
    <row r="213" spans="1:17" x14ac:dyDescent="0.35">
      <c r="A213" s="23">
        <v>1024093</v>
      </c>
      <c r="B213" s="23">
        <v>1</v>
      </c>
      <c r="C213" s="23">
        <v>1024117</v>
      </c>
      <c r="D213" s="23" t="s">
        <v>1898</v>
      </c>
      <c r="E213" s="5">
        <v>15</v>
      </c>
      <c r="F213" s="23">
        <v>1</v>
      </c>
      <c r="G213" s="23">
        <v>0</v>
      </c>
      <c r="H213" s="23">
        <v>0</v>
      </c>
      <c r="I213" s="23" t="s">
        <v>24</v>
      </c>
      <c r="J213" s="23" t="s">
        <v>597</v>
      </c>
      <c r="K213" s="23" t="s">
        <v>1896</v>
      </c>
      <c r="L213" s="24">
        <v>45825</v>
      </c>
      <c r="M213" s="28">
        <v>1.0416666666666666E-2</v>
      </c>
      <c r="N213" s="3">
        <v>45810</v>
      </c>
      <c r="O213">
        <v>177506</v>
      </c>
      <c r="P213">
        <v>45</v>
      </c>
      <c r="Q213" s="23" t="s">
        <v>2270</v>
      </c>
    </row>
    <row r="214" spans="1:17" x14ac:dyDescent="0.35">
      <c r="A214" s="23">
        <v>1024488</v>
      </c>
      <c r="B214" s="23">
        <v>1</v>
      </c>
      <c r="C214" s="23">
        <v>1024498</v>
      </c>
      <c r="D214" s="23" t="s">
        <v>1256</v>
      </c>
      <c r="E214" s="5">
        <v>60</v>
      </c>
      <c r="F214" s="23">
        <v>2</v>
      </c>
      <c r="G214" s="23">
        <v>0</v>
      </c>
      <c r="H214" s="23">
        <v>0</v>
      </c>
      <c r="I214" s="23" t="s">
        <v>24</v>
      </c>
      <c r="J214" s="23" t="s">
        <v>597</v>
      </c>
      <c r="K214" s="23" t="s">
        <v>1899</v>
      </c>
      <c r="L214" s="23">
        <v>45833</v>
      </c>
      <c r="M214" s="28">
        <v>4.1666666666666664E-2</v>
      </c>
      <c r="N214" s="3">
        <v>45810</v>
      </c>
      <c r="O214">
        <v>206485</v>
      </c>
      <c r="P214">
        <v>45</v>
      </c>
      <c r="Q214" s="23" t="s">
        <v>2271</v>
      </c>
    </row>
    <row r="215" spans="1:17" x14ac:dyDescent="0.35">
      <c r="A215" s="23">
        <v>1027156</v>
      </c>
      <c r="B215" s="23">
        <v>1</v>
      </c>
      <c r="C215" s="23">
        <v>1027142</v>
      </c>
      <c r="D215" s="23" t="s">
        <v>669</v>
      </c>
      <c r="E215" s="5">
        <v>90</v>
      </c>
      <c r="F215" s="23">
        <v>2</v>
      </c>
      <c r="G215" s="23">
        <v>0</v>
      </c>
      <c r="H215" s="23">
        <v>0</v>
      </c>
      <c r="I215" s="23" t="s">
        <v>24</v>
      </c>
      <c r="J215" s="23" t="s">
        <v>597</v>
      </c>
      <c r="K215" s="23" t="s">
        <v>1900</v>
      </c>
      <c r="L215" s="24">
        <v>45838</v>
      </c>
      <c r="M215" s="28">
        <v>6.25E-2</v>
      </c>
      <c r="N215" s="3">
        <v>45810</v>
      </c>
      <c r="O215">
        <v>166302</v>
      </c>
      <c r="P215">
        <v>45</v>
      </c>
      <c r="Q215" s="23" t="s">
        <v>2272</v>
      </c>
    </row>
    <row r="216" spans="1:17" x14ac:dyDescent="0.35">
      <c r="A216" s="23">
        <v>1027156</v>
      </c>
      <c r="B216" s="23">
        <v>1</v>
      </c>
      <c r="C216" s="23">
        <v>1027141</v>
      </c>
      <c r="D216" s="23" t="s">
        <v>1082</v>
      </c>
      <c r="E216" s="5">
        <v>75</v>
      </c>
      <c r="F216" s="23">
        <v>2</v>
      </c>
      <c r="G216" s="23">
        <v>0</v>
      </c>
      <c r="H216" s="23">
        <v>0</v>
      </c>
      <c r="I216" s="23" t="s">
        <v>24</v>
      </c>
      <c r="J216" s="23" t="s">
        <v>597</v>
      </c>
      <c r="K216" s="23" t="s">
        <v>1900</v>
      </c>
      <c r="L216" s="23">
        <v>45838</v>
      </c>
      <c r="M216" s="28">
        <v>5.2083333333333336E-2</v>
      </c>
      <c r="N216" s="3">
        <v>45810</v>
      </c>
      <c r="O216">
        <v>166301</v>
      </c>
      <c r="P216">
        <v>45</v>
      </c>
      <c r="Q216" s="23" t="s">
        <v>2273</v>
      </c>
    </row>
    <row r="217" spans="1:17" x14ac:dyDescent="0.35">
      <c r="A217" s="23">
        <v>1027156</v>
      </c>
      <c r="B217" s="23">
        <v>1</v>
      </c>
      <c r="C217" s="23">
        <v>1027143</v>
      </c>
      <c r="D217" s="23" t="s">
        <v>450</v>
      </c>
      <c r="E217" s="5">
        <v>360</v>
      </c>
      <c r="F217" s="23">
        <v>2</v>
      </c>
      <c r="G217" s="23">
        <v>0</v>
      </c>
      <c r="H217" s="23">
        <v>0</v>
      </c>
      <c r="I217" s="23" t="s">
        <v>24</v>
      </c>
      <c r="J217" s="23" t="s">
        <v>597</v>
      </c>
      <c r="K217" s="23" t="s">
        <v>1900</v>
      </c>
      <c r="L217" s="23">
        <v>45838</v>
      </c>
      <c r="M217" s="28">
        <v>0.25</v>
      </c>
      <c r="N217" s="3">
        <v>45810</v>
      </c>
      <c r="O217">
        <v>166303</v>
      </c>
      <c r="P217">
        <v>45</v>
      </c>
      <c r="Q217" s="23" t="s">
        <v>2274</v>
      </c>
    </row>
    <row r="218" spans="1:17" x14ac:dyDescent="0.35">
      <c r="A218" s="23">
        <v>1027157</v>
      </c>
      <c r="B218" s="23">
        <v>1</v>
      </c>
      <c r="C218" s="23">
        <v>1027141</v>
      </c>
      <c r="D218" s="23" t="s">
        <v>1082</v>
      </c>
      <c r="E218" s="5">
        <v>75</v>
      </c>
      <c r="F218" s="23">
        <v>2</v>
      </c>
      <c r="G218" s="23">
        <v>0</v>
      </c>
      <c r="H218" s="23">
        <v>0</v>
      </c>
      <c r="I218" s="23" t="s">
        <v>24</v>
      </c>
      <c r="J218" s="23" t="s">
        <v>597</v>
      </c>
      <c r="K218" s="23" t="s">
        <v>1900</v>
      </c>
      <c r="L218" s="24">
        <v>45838</v>
      </c>
      <c r="M218" s="28">
        <v>5.2083333333333336E-2</v>
      </c>
      <c r="N218" s="3">
        <v>45810</v>
      </c>
      <c r="O218">
        <v>166301</v>
      </c>
      <c r="P218">
        <v>45</v>
      </c>
      <c r="Q218" s="23" t="s">
        <v>2275</v>
      </c>
    </row>
    <row r="219" spans="1:17" x14ac:dyDescent="0.35">
      <c r="A219" s="23">
        <v>1027157</v>
      </c>
      <c r="B219" s="23">
        <v>1</v>
      </c>
      <c r="C219" s="23">
        <v>1027142</v>
      </c>
      <c r="D219" s="23" t="s">
        <v>669</v>
      </c>
      <c r="E219" s="5">
        <v>90</v>
      </c>
      <c r="F219" s="23">
        <v>2</v>
      </c>
      <c r="G219" s="23">
        <v>0</v>
      </c>
      <c r="H219" s="23">
        <v>0</v>
      </c>
      <c r="I219" s="23" t="s">
        <v>24</v>
      </c>
      <c r="J219" s="23" t="s">
        <v>597</v>
      </c>
      <c r="K219" s="23" t="s">
        <v>1900</v>
      </c>
      <c r="L219" s="24">
        <v>45838</v>
      </c>
      <c r="M219" s="28">
        <v>6.25E-2</v>
      </c>
      <c r="N219" s="3">
        <v>45810</v>
      </c>
      <c r="O219">
        <v>166302</v>
      </c>
      <c r="P219">
        <v>45</v>
      </c>
      <c r="Q219" s="23" t="s">
        <v>2276</v>
      </c>
    </row>
    <row r="220" spans="1:17" x14ac:dyDescent="0.35">
      <c r="A220" s="23">
        <v>1027157</v>
      </c>
      <c r="B220" s="23">
        <v>1</v>
      </c>
      <c r="C220" s="23">
        <v>1027143</v>
      </c>
      <c r="D220" s="23" t="s">
        <v>450</v>
      </c>
      <c r="E220" s="5">
        <v>360</v>
      </c>
      <c r="F220" s="23">
        <v>2</v>
      </c>
      <c r="G220" s="23">
        <v>0</v>
      </c>
      <c r="H220" s="23">
        <v>0</v>
      </c>
      <c r="I220" s="23" t="s">
        <v>24</v>
      </c>
      <c r="J220" s="23" t="s">
        <v>597</v>
      </c>
      <c r="K220" s="23" t="s">
        <v>1900</v>
      </c>
      <c r="L220" s="24">
        <v>45838</v>
      </c>
      <c r="M220" s="28">
        <v>0.25</v>
      </c>
      <c r="N220" s="3">
        <v>45810</v>
      </c>
      <c r="O220">
        <v>166303</v>
      </c>
      <c r="P220">
        <v>45</v>
      </c>
      <c r="Q220" s="23" t="s">
        <v>2277</v>
      </c>
    </row>
    <row r="221" spans="1:17" x14ac:dyDescent="0.35">
      <c r="A221" s="23">
        <v>1027372</v>
      </c>
      <c r="B221" s="23">
        <v>2</v>
      </c>
      <c r="C221" s="23">
        <v>1027377</v>
      </c>
      <c r="D221" s="23" t="s">
        <v>1791</v>
      </c>
      <c r="E221" s="5">
        <v>70</v>
      </c>
      <c r="F221" s="23">
        <v>2</v>
      </c>
      <c r="G221" s="23">
        <v>0</v>
      </c>
      <c r="H221" s="23">
        <v>0</v>
      </c>
      <c r="I221" s="23" t="s">
        <v>24</v>
      </c>
      <c r="J221" s="23" t="s">
        <v>597</v>
      </c>
      <c r="K221" s="23" t="s">
        <v>1901</v>
      </c>
      <c r="L221" s="24">
        <v>45835</v>
      </c>
      <c r="M221" s="28">
        <v>4.8611111111111112E-2</v>
      </c>
      <c r="N221" s="3">
        <v>45810</v>
      </c>
      <c r="O221">
        <v>159594</v>
      </c>
      <c r="P221">
        <v>45</v>
      </c>
      <c r="Q221" s="23" t="s">
        <v>2278</v>
      </c>
    </row>
    <row r="222" spans="1:17" x14ac:dyDescent="0.35">
      <c r="A222" s="23">
        <v>1027372</v>
      </c>
      <c r="B222" s="23">
        <v>2</v>
      </c>
      <c r="C222" s="23">
        <v>1027374</v>
      </c>
      <c r="D222" s="23" t="s">
        <v>1617</v>
      </c>
      <c r="E222" s="5">
        <v>40</v>
      </c>
      <c r="F222" s="23">
        <v>2</v>
      </c>
      <c r="G222" s="23">
        <v>0</v>
      </c>
      <c r="H222" s="23">
        <v>0</v>
      </c>
      <c r="I222" s="23" t="s">
        <v>24</v>
      </c>
      <c r="J222" s="23" t="s">
        <v>597</v>
      </c>
      <c r="K222" s="23" t="s">
        <v>1901</v>
      </c>
      <c r="L222" s="24">
        <v>45835</v>
      </c>
      <c r="M222" s="28">
        <v>2.7777777777777776E-2</v>
      </c>
      <c r="N222" s="3">
        <v>45810</v>
      </c>
      <c r="O222">
        <v>159591</v>
      </c>
      <c r="P222">
        <v>45</v>
      </c>
      <c r="Q222" s="23" t="s">
        <v>2279</v>
      </c>
    </row>
    <row r="223" spans="1:17" x14ac:dyDescent="0.35">
      <c r="A223" s="23">
        <v>1027372</v>
      </c>
      <c r="B223" s="23">
        <v>2</v>
      </c>
      <c r="C223" s="23">
        <v>1027375</v>
      </c>
      <c r="D223" s="23" t="s">
        <v>1793</v>
      </c>
      <c r="E223" s="5">
        <v>70</v>
      </c>
      <c r="F223" s="23">
        <v>2</v>
      </c>
      <c r="G223" s="23">
        <v>0</v>
      </c>
      <c r="H223" s="23">
        <v>0</v>
      </c>
      <c r="I223" s="23" t="s">
        <v>24</v>
      </c>
      <c r="J223" s="23" t="s">
        <v>597</v>
      </c>
      <c r="K223" s="23" t="s">
        <v>1901</v>
      </c>
      <c r="L223" s="23">
        <v>45835</v>
      </c>
      <c r="M223" s="28">
        <v>4.8611111111111112E-2</v>
      </c>
      <c r="N223" s="3">
        <v>45810</v>
      </c>
      <c r="O223">
        <v>159592</v>
      </c>
      <c r="P223">
        <v>45</v>
      </c>
      <c r="Q223" s="23" t="s">
        <v>2280</v>
      </c>
    </row>
    <row r="224" spans="1:17" x14ac:dyDescent="0.35">
      <c r="A224" s="23">
        <v>1027372</v>
      </c>
      <c r="B224" s="23">
        <v>2</v>
      </c>
      <c r="C224" s="23">
        <v>1027376</v>
      </c>
      <c r="D224" s="23" t="s">
        <v>1792</v>
      </c>
      <c r="E224" s="5">
        <v>90</v>
      </c>
      <c r="F224" s="23">
        <v>2</v>
      </c>
      <c r="G224" s="23">
        <v>0</v>
      </c>
      <c r="H224" s="23">
        <v>0</v>
      </c>
      <c r="I224" s="23" t="s">
        <v>24</v>
      </c>
      <c r="J224" s="23" t="s">
        <v>597</v>
      </c>
      <c r="K224" s="23" t="s">
        <v>1901</v>
      </c>
      <c r="L224" s="23">
        <v>45835</v>
      </c>
      <c r="M224" s="28">
        <v>6.25E-2</v>
      </c>
      <c r="N224" s="3">
        <v>45810</v>
      </c>
      <c r="O224">
        <v>159593</v>
      </c>
      <c r="P224">
        <v>45</v>
      </c>
      <c r="Q224" s="23" t="s">
        <v>2281</v>
      </c>
    </row>
    <row r="225" spans="1:17" x14ac:dyDescent="0.35">
      <c r="A225" s="23">
        <v>1027372</v>
      </c>
      <c r="B225" s="23">
        <v>2</v>
      </c>
      <c r="C225" s="23">
        <v>1027378</v>
      </c>
      <c r="D225" s="23" t="s">
        <v>1618</v>
      </c>
      <c r="E225" s="5">
        <v>50</v>
      </c>
      <c r="F225" s="23">
        <v>2</v>
      </c>
      <c r="G225" s="23">
        <v>0</v>
      </c>
      <c r="H225" s="23">
        <v>0</v>
      </c>
      <c r="I225" s="23" t="s">
        <v>24</v>
      </c>
      <c r="J225" s="23" t="s">
        <v>597</v>
      </c>
      <c r="K225" s="23" t="s">
        <v>1901</v>
      </c>
      <c r="L225" s="24">
        <v>45835</v>
      </c>
      <c r="M225" s="28">
        <v>3.4722222222222224E-2</v>
      </c>
      <c r="N225" s="3">
        <v>45810</v>
      </c>
      <c r="O225">
        <v>159595</v>
      </c>
      <c r="P225">
        <v>45</v>
      </c>
      <c r="Q225" s="23" t="s">
        <v>2282</v>
      </c>
    </row>
    <row r="226" spans="1:17" x14ac:dyDescent="0.35">
      <c r="A226" s="23">
        <v>1027372</v>
      </c>
      <c r="B226" s="23">
        <v>2</v>
      </c>
      <c r="C226" s="23">
        <v>1027380</v>
      </c>
      <c r="D226" s="23" t="s">
        <v>1312</v>
      </c>
      <c r="E226" s="5">
        <v>24</v>
      </c>
      <c r="F226" s="23">
        <v>2</v>
      </c>
      <c r="G226" s="23">
        <v>0</v>
      </c>
      <c r="H226" s="23">
        <v>0</v>
      </c>
      <c r="I226" s="23" t="s">
        <v>24</v>
      </c>
      <c r="J226" s="23" t="s">
        <v>597</v>
      </c>
      <c r="K226" s="23" t="s">
        <v>1901</v>
      </c>
      <c r="L226" s="23">
        <v>45835</v>
      </c>
      <c r="M226" s="28">
        <v>1.6666666666666666E-2</v>
      </c>
      <c r="N226" s="3">
        <v>45810</v>
      </c>
      <c r="O226">
        <v>159597</v>
      </c>
      <c r="P226">
        <v>45</v>
      </c>
      <c r="Q226" s="23" t="s">
        <v>2283</v>
      </c>
    </row>
    <row r="227" spans="1:17" x14ac:dyDescent="0.35">
      <c r="A227" s="23">
        <v>1028203</v>
      </c>
      <c r="B227" s="23">
        <v>1</v>
      </c>
      <c r="C227" s="23">
        <v>1028231</v>
      </c>
      <c r="D227" s="23" t="s">
        <v>1902</v>
      </c>
      <c r="E227" s="5">
        <v>15</v>
      </c>
      <c r="F227" s="23">
        <v>1</v>
      </c>
      <c r="G227" s="23">
        <v>0</v>
      </c>
      <c r="H227" s="23">
        <v>0</v>
      </c>
      <c r="I227" s="23" t="s">
        <v>24</v>
      </c>
      <c r="J227" s="23" t="s">
        <v>597</v>
      </c>
      <c r="K227" s="23" t="s">
        <v>1903</v>
      </c>
      <c r="L227" s="24">
        <v>45834</v>
      </c>
      <c r="M227" s="28">
        <v>1.0416666666666666E-2</v>
      </c>
      <c r="N227" s="3">
        <v>45810</v>
      </c>
      <c r="O227">
        <v>226174</v>
      </c>
      <c r="P227">
        <v>45</v>
      </c>
      <c r="Q227" s="23" t="s">
        <v>2284</v>
      </c>
    </row>
    <row r="228" spans="1:17" x14ac:dyDescent="0.35">
      <c r="A228" s="23">
        <v>1028203</v>
      </c>
      <c r="B228" s="23">
        <v>1</v>
      </c>
      <c r="C228" s="23">
        <v>1028205</v>
      </c>
      <c r="D228" s="23" t="s">
        <v>1904</v>
      </c>
      <c r="E228" s="5">
        <v>15</v>
      </c>
      <c r="F228" s="23">
        <v>1</v>
      </c>
      <c r="G228" s="23">
        <v>0</v>
      </c>
      <c r="H228" s="23">
        <v>0</v>
      </c>
      <c r="I228" s="23" t="s">
        <v>24</v>
      </c>
      <c r="J228" s="23" t="s">
        <v>597</v>
      </c>
      <c r="K228" s="23" t="s">
        <v>1903</v>
      </c>
      <c r="L228" s="24">
        <v>45834</v>
      </c>
      <c r="M228" s="28">
        <v>1.0416666666666666E-2</v>
      </c>
      <c r="N228" s="3">
        <v>45810</v>
      </c>
      <c r="O228">
        <v>226149</v>
      </c>
      <c r="P228">
        <v>45</v>
      </c>
      <c r="Q228" s="23" t="s">
        <v>2285</v>
      </c>
    </row>
    <row r="229" spans="1:17" x14ac:dyDescent="0.35">
      <c r="A229" s="23">
        <v>1028203</v>
      </c>
      <c r="B229" s="23">
        <v>1</v>
      </c>
      <c r="C229" s="23">
        <v>1028204</v>
      </c>
      <c r="D229" s="23" t="s">
        <v>1905</v>
      </c>
      <c r="E229" s="5">
        <v>15</v>
      </c>
      <c r="F229" s="23">
        <v>1</v>
      </c>
      <c r="G229" s="23">
        <v>0</v>
      </c>
      <c r="H229" s="23">
        <v>0</v>
      </c>
      <c r="I229" s="23" t="s">
        <v>24</v>
      </c>
      <c r="J229" s="23" t="s">
        <v>597</v>
      </c>
      <c r="K229" s="23" t="s">
        <v>1903</v>
      </c>
      <c r="L229" s="24">
        <v>45834</v>
      </c>
      <c r="M229" s="28">
        <v>1.0416666666666666E-2</v>
      </c>
      <c r="N229" s="3">
        <v>45810</v>
      </c>
      <c r="O229">
        <v>226148</v>
      </c>
      <c r="P229">
        <v>45</v>
      </c>
      <c r="Q229" s="23" t="s">
        <v>2286</v>
      </c>
    </row>
    <row r="230" spans="1:17" x14ac:dyDescent="0.35">
      <c r="A230" s="23">
        <v>1028669</v>
      </c>
      <c r="B230" s="23">
        <v>6</v>
      </c>
      <c r="C230" s="23">
        <v>1028671</v>
      </c>
      <c r="D230" s="23" t="s">
        <v>1906</v>
      </c>
      <c r="E230" s="5">
        <v>150</v>
      </c>
      <c r="F230" s="23">
        <v>6</v>
      </c>
      <c r="G230" s="23">
        <v>0</v>
      </c>
      <c r="H230" s="23">
        <v>0</v>
      </c>
      <c r="I230" s="23" t="s">
        <v>24</v>
      </c>
      <c r="J230" s="23" t="s">
        <v>597</v>
      </c>
      <c r="K230" s="23" t="s">
        <v>1907</v>
      </c>
      <c r="L230" s="24">
        <v>45838</v>
      </c>
      <c r="M230" s="28">
        <v>0.10416666666666667</v>
      </c>
      <c r="N230" s="3">
        <v>45810</v>
      </c>
      <c r="O230">
        <v>216452</v>
      </c>
      <c r="P230">
        <v>45</v>
      </c>
      <c r="Q230" s="23" t="s">
        <v>2287</v>
      </c>
    </row>
    <row r="231" spans="1:17" x14ac:dyDescent="0.35">
      <c r="A231" s="23">
        <v>1029336</v>
      </c>
      <c r="B231" s="23">
        <v>1</v>
      </c>
      <c r="C231" s="23">
        <v>1029337</v>
      </c>
      <c r="D231" s="23" t="s">
        <v>1908</v>
      </c>
      <c r="E231" s="5">
        <v>60</v>
      </c>
      <c r="F231" s="23">
        <v>2</v>
      </c>
      <c r="G231" s="23">
        <v>0</v>
      </c>
      <c r="H231" s="23">
        <v>0</v>
      </c>
      <c r="I231" s="23" t="s">
        <v>24</v>
      </c>
      <c r="J231" s="23" t="s">
        <v>597</v>
      </c>
      <c r="K231" s="23" t="s">
        <v>1909</v>
      </c>
      <c r="L231" s="24">
        <v>45835</v>
      </c>
      <c r="M231" s="28">
        <v>4.1666666666666664E-2</v>
      </c>
      <c r="N231" s="3">
        <v>45810</v>
      </c>
      <c r="O231">
        <v>233224</v>
      </c>
      <c r="P231">
        <v>45</v>
      </c>
      <c r="Q231" s="23" t="s">
        <v>2288</v>
      </c>
    </row>
    <row r="232" spans="1:17" x14ac:dyDescent="0.35">
      <c r="A232" s="23">
        <v>1029359</v>
      </c>
      <c r="B232" s="23">
        <v>1</v>
      </c>
      <c r="C232" s="23">
        <v>1029360</v>
      </c>
      <c r="D232" s="23" t="s">
        <v>1908</v>
      </c>
      <c r="E232" s="5">
        <v>60</v>
      </c>
      <c r="F232" s="23">
        <v>2</v>
      </c>
      <c r="G232" s="23">
        <v>0</v>
      </c>
      <c r="H232" s="23">
        <v>0</v>
      </c>
      <c r="I232" s="23" t="s">
        <v>24</v>
      </c>
      <c r="J232" s="23" t="s">
        <v>597</v>
      </c>
      <c r="K232" s="23" t="s">
        <v>1910</v>
      </c>
      <c r="L232" s="23">
        <v>45835</v>
      </c>
      <c r="M232" s="28">
        <v>4.1666666666666664E-2</v>
      </c>
      <c r="N232" s="3">
        <v>45810</v>
      </c>
      <c r="O232">
        <v>233224</v>
      </c>
      <c r="P232">
        <v>45</v>
      </c>
      <c r="Q232" s="23" t="s">
        <v>2289</v>
      </c>
    </row>
    <row r="233" spans="1:17" x14ac:dyDescent="0.35">
      <c r="A233" s="23">
        <v>1029382</v>
      </c>
      <c r="B233" s="23">
        <v>1</v>
      </c>
      <c r="C233" s="23">
        <v>1029383</v>
      </c>
      <c r="D233" s="23" t="s">
        <v>1908</v>
      </c>
      <c r="E233" s="5">
        <v>60</v>
      </c>
      <c r="F233" s="23">
        <v>2</v>
      </c>
      <c r="G233" s="23">
        <v>0</v>
      </c>
      <c r="H233" s="23">
        <v>0</v>
      </c>
      <c r="I233" s="23" t="s">
        <v>24</v>
      </c>
      <c r="J233" s="23" t="s">
        <v>597</v>
      </c>
      <c r="K233" s="23" t="s">
        <v>1911</v>
      </c>
      <c r="L233" s="24">
        <v>45835</v>
      </c>
      <c r="M233" s="28">
        <v>4.1666666666666664E-2</v>
      </c>
      <c r="N233" s="3">
        <v>45810</v>
      </c>
      <c r="O233">
        <v>233224</v>
      </c>
      <c r="P233">
        <v>45</v>
      </c>
      <c r="Q233" s="23" t="s">
        <v>2290</v>
      </c>
    </row>
    <row r="234" spans="1:17" x14ac:dyDescent="0.35">
      <c r="A234" s="23">
        <v>1029402</v>
      </c>
      <c r="B234" s="23">
        <v>1</v>
      </c>
      <c r="C234" s="23">
        <v>1029403</v>
      </c>
      <c r="D234" s="23" t="s">
        <v>1908</v>
      </c>
      <c r="E234" s="5">
        <v>60</v>
      </c>
      <c r="F234" s="23">
        <v>2</v>
      </c>
      <c r="G234" s="23">
        <v>0</v>
      </c>
      <c r="H234" s="23">
        <v>0</v>
      </c>
      <c r="I234" s="23" t="s">
        <v>24</v>
      </c>
      <c r="J234" s="23" t="s">
        <v>597</v>
      </c>
      <c r="K234" s="23" t="s">
        <v>1912</v>
      </c>
      <c r="L234" s="24">
        <v>45835</v>
      </c>
      <c r="M234" s="28">
        <v>4.1666666666666664E-2</v>
      </c>
      <c r="N234" s="3">
        <v>45810</v>
      </c>
      <c r="O234">
        <v>233224</v>
      </c>
      <c r="P234">
        <v>45</v>
      </c>
      <c r="Q234" s="23" t="s">
        <v>2291</v>
      </c>
    </row>
    <row r="235" spans="1:17" x14ac:dyDescent="0.35">
      <c r="A235" s="23">
        <v>1003849</v>
      </c>
      <c r="B235" s="23">
        <v>1</v>
      </c>
      <c r="C235" s="23">
        <v>1003881</v>
      </c>
      <c r="D235" s="23" t="s">
        <v>1754</v>
      </c>
      <c r="E235" s="5">
        <v>10</v>
      </c>
      <c r="F235" s="23">
        <v>12</v>
      </c>
      <c r="G235" s="23">
        <v>0</v>
      </c>
      <c r="H235" s="23">
        <v>0</v>
      </c>
      <c r="I235" s="23" t="s">
        <v>24</v>
      </c>
      <c r="J235" s="23" t="s">
        <v>597</v>
      </c>
      <c r="K235" s="23" t="s">
        <v>1913</v>
      </c>
      <c r="L235" s="24">
        <v>45826</v>
      </c>
      <c r="M235" s="28">
        <v>6.9444444444444441E-3</v>
      </c>
      <c r="N235" s="3">
        <v>45811</v>
      </c>
      <c r="O235">
        <v>227549</v>
      </c>
      <c r="P235">
        <v>45</v>
      </c>
      <c r="Q235" s="23" t="s">
        <v>2292</v>
      </c>
    </row>
    <row r="236" spans="1:17" x14ac:dyDescent="0.35">
      <c r="A236" s="23">
        <v>1003849</v>
      </c>
      <c r="B236" s="23">
        <v>1</v>
      </c>
      <c r="C236" s="23">
        <v>1003897</v>
      </c>
      <c r="D236" s="23" t="s">
        <v>1755</v>
      </c>
      <c r="E236" s="5">
        <v>55</v>
      </c>
      <c r="F236" s="23">
        <v>12</v>
      </c>
      <c r="G236" s="23">
        <v>0</v>
      </c>
      <c r="H236" s="23">
        <v>0</v>
      </c>
      <c r="I236" s="23" t="s">
        <v>24</v>
      </c>
      <c r="J236" s="23" t="s">
        <v>597</v>
      </c>
      <c r="K236" s="23" t="s">
        <v>1913</v>
      </c>
      <c r="L236" s="24">
        <v>45826</v>
      </c>
      <c r="M236" s="28">
        <v>3.8194444444444441E-2</v>
      </c>
      <c r="N236" s="3">
        <v>45811</v>
      </c>
      <c r="O236">
        <v>227566</v>
      </c>
      <c r="P236">
        <v>45</v>
      </c>
      <c r="Q236" s="23" t="s">
        <v>2293</v>
      </c>
    </row>
    <row r="237" spans="1:17" x14ac:dyDescent="0.35">
      <c r="A237" s="23">
        <v>1003850</v>
      </c>
      <c r="B237" s="23">
        <v>1</v>
      </c>
      <c r="C237" s="23">
        <v>1003897</v>
      </c>
      <c r="D237" s="23" t="s">
        <v>1755</v>
      </c>
      <c r="E237" s="5">
        <v>55</v>
      </c>
      <c r="F237" s="23">
        <v>12</v>
      </c>
      <c r="G237" s="23">
        <v>0</v>
      </c>
      <c r="H237" s="23">
        <v>0</v>
      </c>
      <c r="I237" s="23" t="s">
        <v>24</v>
      </c>
      <c r="J237" s="23" t="s">
        <v>597</v>
      </c>
      <c r="K237" s="23" t="s">
        <v>1913</v>
      </c>
      <c r="L237" s="24">
        <v>45826</v>
      </c>
      <c r="M237" s="28">
        <v>3.8194444444444441E-2</v>
      </c>
      <c r="N237" s="3">
        <v>45811</v>
      </c>
      <c r="O237">
        <v>227566</v>
      </c>
      <c r="P237">
        <v>45</v>
      </c>
      <c r="Q237" s="23" t="s">
        <v>2294</v>
      </c>
    </row>
    <row r="238" spans="1:17" x14ac:dyDescent="0.35">
      <c r="A238" s="23">
        <v>1003850</v>
      </c>
      <c r="B238" s="23">
        <v>1</v>
      </c>
      <c r="C238" s="23">
        <v>1003881</v>
      </c>
      <c r="D238" s="23" t="s">
        <v>1754</v>
      </c>
      <c r="E238" s="5">
        <v>10</v>
      </c>
      <c r="F238" s="23">
        <v>12</v>
      </c>
      <c r="G238" s="23">
        <v>0</v>
      </c>
      <c r="H238" s="23">
        <v>0</v>
      </c>
      <c r="I238" s="23" t="s">
        <v>24</v>
      </c>
      <c r="J238" s="23" t="s">
        <v>597</v>
      </c>
      <c r="K238" s="23" t="s">
        <v>1913</v>
      </c>
      <c r="L238" s="24">
        <v>45826</v>
      </c>
      <c r="M238" s="28">
        <v>6.9444444444444441E-3</v>
      </c>
      <c r="N238" s="3">
        <v>45811</v>
      </c>
      <c r="O238">
        <v>227549</v>
      </c>
      <c r="P238">
        <v>45</v>
      </c>
      <c r="Q238" s="23" t="s">
        <v>2295</v>
      </c>
    </row>
    <row r="239" spans="1:17" x14ac:dyDescent="0.35">
      <c r="A239" s="23">
        <v>1003851</v>
      </c>
      <c r="B239" s="23">
        <v>1</v>
      </c>
      <c r="C239" s="23">
        <v>1003881</v>
      </c>
      <c r="D239" s="23" t="s">
        <v>1754</v>
      </c>
      <c r="E239" s="5">
        <v>10</v>
      </c>
      <c r="F239" s="23">
        <v>12</v>
      </c>
      <c r="G239" s="23">
        <v>0</v>
      </c>
      <c r="H239" s="23">
        <v>0</v>
      </c>
      <c r="I239" s="23" t="s">
        <v>24</v>
      </c>
      <c r="J239" s="23" t="s">
        <v>597</v>
      </c>
      <c r="K239" s="23" t="s">
        <v>1913</v>
      </c>
      <c r="L239" s="24">
        <v>45826</v>
      </c>
      <c r="M239" s="28">
        <v>6.9444444444444441E-3</v>
      </c>
      <c r="N239" s="3">
        <v>45811</v>
      </c>
      <c r="O239">
        <v>227549</v>
      </c>
      <c r="P239">
        <v>45</v>
      </c>
      <c r="Q239" s="23" t="s">
        <v>2296</v>
      </c>
    </row>
    <row r="240" spans="1:17" x14ac:dyDescent="0.35">
      <c r="A240" s="23">
        <v>1003851</v>
      </c>
      <c r="B240" s="23">
        <v>1</v>
      </c>
      <c r="C240" s="23">
        <v>1003897</v>
      </c>
      <c r="D240" s="23" t="s">
        <v>1755</v>
      </c>
      <c r="E240" s="5">
        <v>55</v>
      </c>
      <c r="F240" s="23">
        <v>12</v>
      </c>
      <c r="G240" s="23">
        <v>0</v>
      </c>
      <c r="H240" s="23">
        <v>0</v>
      </c>
      <c r="I240" s="23" t="s">
        <v>24</v>
      </c>
      <c r="J240" s="23" t="s">
        <v>597</v>
      </c>
      <c r="K240" s="23" t="s">
        <v>1913</v>
      </c>
      <c r="L240" s="23">
        <v>45826</v>
      </c>
      <c r="M240" s="28">
        <v>3.8194444444444441E-2</v>
      </c>
      <c r="N240" s="3">
        <v>45811</v>
      </c>
      <c r="O240">
        <v>227566</v>
      </c>
      <c r="P240">
        <v>45</v>
      </c>
      <c r="Q240" s="23" t="s">
        <v>2297</v>
      </c>
    </row>
    <row r="241" spans="1:17" x14ac:dyDescent="0.35">
      <c r="A241" s="23">
        <v>1003852</v>
      </c>
      <c r="B241" s="23">
        <v>1</v>
      </c>
      <c r="C241" s="23">
        <v>1003881</v>
      </c>
      <c r="D241" s="23" t="s">
        <v>1754</v>
      </c>
      <c r="E241" s="5">
        <v>10</v>
      </c>
      <c r="F241" s="23">
        <v>12</v>
      </c>
      <c r="G241" s="23">
        <v>0</v>
      </c>
      <c r="H241" s="23">
        <v>0</v>
      </c>
      <c r="I241" s="23" t="s">
        <v>24</v>
      </c>
      <c r="J241" s="23" t="s">
        <v>597</v>
      </c>
      <c r="K241" s="23" t="s">
        <v>1913</v>
      </c>
      <c r="L241" s="24">
        <v>45826</v>
      </c>
      <c r="M241" s="28">
        <v>6.9444444444444441E-3</v>
      </c>
      <c r="N241" s="3">
        <v>45811</v>
      </c>
      <c r="O241">
        <v>227549</v>
      </c>
      <c r="P241">
        <v>45</v>
      </c>
      <c r="Q241" s="23" t="s">
        <v>2298</v>
      </c>
    </row>
    <row r="242" spans="1:17" x14ac:dyDescent="0.35">
      <c r="A242" s="23">
        <v>1003852</v>
      </c>
      <c r="B242" s="23">
        <v>1</v>
      </c>
      <c r="C242" s="23">
        <v>1003897</v>
      </c>
      <c r="D242" s="23" t="s">
        <v>1755</v>
      </c>
      <c r="E242" s="5">
        <v>55</v>
      </c>
      <c r="F242" s="23">
        <v>12</v>
      </c>
      <c r="G242" s="23">
        <v>0</v>
      </c>
      <c r="H242" s="23">
        <v>0</v>
      </c>
      <c r="I242" s="23" t="s">
        <v>24</v>
      </c>
      <c r="J242" s="23" t="s">
        <v>597</v>
      </c>
      <c r="K242" s="23" t="s">
        <v>1913</v>
      </c>
      <c r="L242" s="24">
        <v>45826</v>
      </c>
      <c r="M242" s="28">
        <v>3.8194444444444441E-2</v>
      </c>
      <c r="N242" s="3">
        <v>45811</v>
      </c>
      <c r="O242">
        <v>227566</v>
      </c>
      <c r="P242">
        <v>45</v>
      </c>
      <c r="Q242" s="23" t="s">
        <v>2299</v>
      </c>
    </row>
    <row r="243" spans="1:17" x14ac:dyDescent="0.35">
      <c r="A243" s="23">
        <v>1003853</v>
      </c>
      <c r="B243" s="23">
        <v>1</v>
      </c>
      <c r="C243" s="23">
        <v>1003897</v>
      </c>
      <c r="D243" s="23" t="s">
        <v>1755</v>
      </c>
      <c r="E243" s="5">
        <v>55</v>
      </c>
      <c r="F243" s="23">
        <v>12</v>
      </c>
      <c r="G243" s="23">
        <v>0</v>
      </c>
      <c r="H243" s="23">
        <v>0</v>
      </c>
      <c r="I243" s="23" t="s">
        <v>24</v>
      </c>
      <c r="J243" s="23" t="s">
        <v>597</v>
      </c>
      <c r="K243" s="23" t="s">
        <v>1913</v>
      </c>
      <c r="L243" s="24">
        <v>45826</v>
      </c>
      <c r="M243" s="28">
        <v>3.8194444444444441E-2</v>
      </c>
      <c r="N243" s="3">
        <v>45811</v>
      </c>
      <c r="O243">
        <v>227566</v>
      </c>
      <c r="P243">
        <v>45</v>
      </c>
      <c r="Q243" s="23" t="s">
        <v>2300</v>
      </c>
    </row>
    <row r="244" spans="1:17" x14ac:dyDescent="0.35">
      <c r="A244" s="23">
        <v>1003853</v>
      </c>
      <c r="B244" s="23">
        <v>1</v>
      </c>
      <c r="C244" s="23">
        <v>1003881</v>
      </c>
      <c r="D244" s="23" t="s">
        <v>1754</v>
      </c>
      <c r="E244" s="5">
        <v>10</v>
      </c>
      <c r="F244" s="23">
        <v>12</v>
      </c>
      <c r="G244" s="23">
        <v>0</v>
      </c>
      <c r="H244" s="23">
        <v>0</v>
      </c>
      <c r="I244" s="23" t="s">
        <v>24</v>
      </c>
      <c r="J244" s="23" t="s">
        <v>597</v>
      </c>
      <c r="K244" s="23" t="s">
        <v>1913</v>
      </c>
      <c r="L244" s="23">
        <v>45826</v>
      </c>
      <c r="M244" s="28">
        <v>6.9444444444444441E-3</v>
      </c>
      <c r="N244" s="3">
        <v>45811</v>
      </c>
      <c r="O244">
        <v>227549</v>
      </c>
      <c r="P244">
        <v>45</v>
      </c>
      <c r="Q244" s="23" t="s">
        <v>2301</v>
      </c>
    </row>
    <row r="245" spans="1:17" x14ac:dyDescent="0.35">
      <c r="A245" s="23">
        <v>1003854</v>
      </c>
      <c r="B245" s="23">
        <v>1</v>
      </c>
      <c r="C245" s="23">
        <v>1003881</v>
      </c>
      <c r="D245" s="23" t="s">
        <v>1754</v>
      </c>
      <c r="E245" s="5">
        <v>10</v>
      </c>
      <c r="F245" s="23">
        <v>12</v>
      </c>
      <c r="G245" s="23">
        <v>0</v>
      </c>
      <c r="H245" s="23">
        <v>0</v>
      </c>
      <c r="I245" s="23" t="s">
        <v>24</v>
      </c>
      <c r="J245" s="23" t="s">
        <v>597</v>
      </c>
      <c r="K245" s="23" t="s">
        <v>1913</v>
      </c>
      <c r="L245" s="23">
        <v>45826</v>
      </c>
      <c r="M245" s="28">
        <v>6.9444444444444441E-3</v>
      </c>
      <c r="N245" s="3">
        <v>45811</v>
      </c>
      <c r="O245">
        <v>227549</v>
      </c>
      <c r="P245">
        <v>45</v>
      </c>
      <c r="Q245" s="23" t="s">
        <v>2302</v>
      </c>
    </row>
    <row r="246" spans="1:17" x14ac:dyDescent="0.35">
      <c r="A246" s="23">
        <v>1003854</v>
      </c>
      <c r="B246" s="23">
        <v>1</v>
      </c>
      <c r="C246" s="23">
        <v>1003897</v>
      </c>
      <c r="D246" s="23" t="s">
        <v>1755</v>
      </c>
      <c r="E246" s="5">
        <v>55</v>
      </c>
      <c r="F246" s="23">
        <v>12</v>
      </c>
      <c r="G246" s="23">
        <v>0</v>
      </c>
      <c r="H246" s="23">
        <v>0</v>
      </c>
      <c r="I246" s="23" t="s">
        <v>24</v>
      </c>
      <c r="J246" s="23" t="s">
        <v>597</v>
      </c>
      <c r="K246" s="23" t="s">
        <v>1913</v>
      </c>
      <c r="L246" s="23">
        <v>45826</v>
      </c>
      <c r="M246" s="28">
        <v>3.8194444444444441E-2</v>
      </c>
      <c r="N246" s="3">
        <v>45811</v>
      </c>
      <c r="O246">
        <v>227566</v>
      </c>
      <c r="P246">
        <v>45</v>
      </c>
      <c r="Q246" s="23" t="s">
        <v>2303</v>
      </c>
    </row>
    <row r="247" spans="1:17" x14ac:dyDescent="0.35">
      <c r="A247" s="23">
        <v>1003855</v>
      </c>
      <c r="B247" s="23">
        <v>1</v>
      </c>
      <c r="C247" s="23">
        <v>1003881</v>
      </c>
      <c r="D247" s="23" t="s">
        <v>1754</v>
      </c>
      <c r="E247" s="5">
        <v>10</v>
      </c>
      <c r="F247" s="23">
        <v>12</v>
      </c>
      <c r="G247" s="23">
        <v>0</v>
      </c>
      <c r="H247" s="23">
        <v>0</v>
      </c>
      <c r="I247" s="23" t="s">
        <v>24</v>
      </c>
      <c r="J247" s="23" t="s">
        <v>597</v>
      </c>
      <c r="K247" s="23" t="s">
        <v>1913</v>
      </c>
      <c r="L247" s="23">
        <v>45826</v>
      </c>
      <c r="M247" s="28">
        <v>6.9444444444444441E-3</v>
      </c>
      <c r="N247" s="3">
        <v>45811</v>
      </c>
      <c r="O247">
        <v>227549</v>
      </c>
      <c r="P247">
        <v>45</v>
      </c>
      <c r="Q247" s="23" t="s">
        <v>2304</v>
      </c>
    </row>
    <row r="248" spans="1:17" x14ac:dyDescent="0.35">
      <c r="A248" s="23">
        <v>1003855</v>
      </c>
      <c r="B248" s="23">
        <v>1</v>
      </c>
      <c r="C248" s="23">
        <v>1003897</v>
      </c>
      <c r="D248" s="23" t="s">
        <v>1755</v>
      </c>
      <c r="E248" s="5">
        <v>55</v>
      </c>
      <c r="F248" s="23">
        <v>12</v>
      </c>
      <c r="G248" s="23">
        <v>0</v>
      </c>
      <c r="H248" s="23">
        <v>0</v>
      </c>
      <c r="I248" s="23" t="s">
        <v>24</v>
      </c>
      <c r="J248" s="23" t="s">
        <v>597</v>
      </c>
      <c r="K248" s="23" t="s">
        <v>1913</v>
      </c>
      <c r="L248" s="23">
        <v>45826</v>
      </c>
      <c r="M248" s="28">
        <v>3.8194444444444441E-2</v>
      </c>
      <c r="N248" s="3">
        <v>45811</v>
      </c>
      <c r="O248">
        <v>227566</v>
      </c>
      <c r="P248">
        <v>45</v>
      </c>
      <c r="Q248" s="23" t="s">
        <v>2305</v>
      </c>
    </row>
    <row r="249" spans="1:17" x14ac:dyDescent="0.35">
      <c r="A249" s="23">
        <v>1003856</v>
      </c>
      <c r="B249" s="23">
        <v>1</v>
      </c>
      <c r="C249" s="23">
        <v>1003881</v>
      </c>
      <c r="D249" s="23" t="s">
        <v>1754</v>
      </c>
      <c r="E249" s="5">
        <v>10</v>
      </c>
      <c r="F249" s="23">
        <v>12</v>
      </c>
      <c r="G249" s="23">
        <v>0</v>
      </c>
      <c r="H249" s="23">
        <v>0</v>
      </c>
      <c r="I249" s="23" t="s">
        <v>24</v>
      </c>
      <c r="J249" s="23" t="s">
        <v>597</v>
      </c>
      <c r="K249" s="23" t="s">
        <v>1913</v>
      </c>
      <c r="L249" s="24">
        <v>45826</v>
      </c>
      <c r="M249" s="28">
        <v>6.9444444444444441E-3</v>
      </c>
      <c r="N249" s="3">
        <v>45811</v>
      </c>
      <c r="O249">
        <v>227549</v>
      </c>
      <c r="P249">
        <v>45</v>
      </c>
      <c r="Q249" s="23" t="s">
        <v>2306</v>
      </c>
    </row>
    <row r="250" spans="1:17" x14ac:dyDescent="0.35">
      <c r="A250" s="23">
        <v>1003856</v>
      </c>
      <c r="B250" s="23">
        <v>1</v>
      </c>
      <c r="C250" s="23">
        <v>1003897</v>
      </c>
      <c r="D250" s="23" t="s">
        <v>1755</v>
      </c>
      <c r="E250" s="5">
        <v>55</v>
      </c>
      <c r="F250" s="23">
        <v>12</v>
      </c>
      <c r="G250" s="23">
        <v>0</v>
      </c>
      <c r="H250" s="23">
        <v>0</v>
      </c>
      <c r="I250" s="23" t="s">
        <v>24</v>
      </c>
      <c r="J250" s="23" t="s">
        <v>597</v>
      </c>
      <c r="K250" s="23" t="s">
        <v>1913</v>
      </c>
      <c r="L250" s="24">
        <v>45826</v>
      </c>
      <c r="M250" s="28">
        <v>3.8194444444444441E-2</v>
      </c>
      <c r="N250" s="3">
        <v>45811</v>
      </c>
      <c r="O250">
        <v>227566</v>
      </c>
      <c r="P250">
        <v>45</v>
      </c>
      <c r="Q250" s="23" t="s">
        <v>2307</v>
      </c>
    </row>
    <row r="251" spans="1:17" x14ac:dyDescent="0.35">
      <c r="A251" s="23">
        <v>1003857</v>
      </c>
      <c r="B251" s="23">
        <v>1</v>
      </c>
      <c r="C251" s="23">
        <v>1003897</v>
      </c>
      <c r="D251" s="23" t="s">
        <v>1755</v>
      </c>
      <c r="E251" s="5">
        <v>55</v>
      </c>
      <c r="F251" s="23">
        <v>12</v>
      </c>
      <c r="G251" s="23">
        <v>0</v>
      </c>
      <c r="H251" s="23">
        <v>0</v>
      </c>
      <c r="I251" s="23" t="s">
        <v>24</v>
      </c>
      <c r="J251" s="23" t="s">
        <v>597</v>
      </c>
      <c r="K251" s="23" t="s">
        <v>1913</v>
      </c>
      <c r="L251" s="23">
        <v>45826</v>
      </c>
      <c r="M251" s="28">
        <v>3.8194444444444441E-2</v>
      </c>
      <c r="N251" s="3">
        <v>45811</v>
      </c>
      <c r="O251">
        <v>227566</v>
      </c>
      <c r="P251">
        <v>45</v>
      </c>
      <c r="Q251" s="23" t="s">
        <v>2308</v>
      </c>
    </row>
    <row r="252" spans="1:17" x14ac:dyDescent="0.35">
      <c r="A252" s="23">
        <v>1003857</v>
      </c>
      <c r="B252" s="23">
        <v>1</v>
      </c>
      <c r="C252" s="23">
        <v>1003881</v>
      </c>
      <c r="D252" s="23" t="s">
        <v>1754</v>
      </c>
      <c r="E252" s="5">
        <v>10</v>
      </c>
      <c r="F252" s="23">
        <v>12</v>
      </c>
      <c r="G252" s="23">
        <v>0</v>
      </c>
      <c r="H252" s="23">
        <v>0</v>
      </c>
      <c r="I252" s="23" t="s">
        <v>24</v>
      </c>
      <c r="J252" s="23" t="s">
        <v>597</v>
      </c>
      <c r="K252" s="23" t="s">
        <v>1913</v>
      </c>
      <c r="L252" s="24">
        <v>45826</v>
      </c>
      <c r="M252" s="28">
        <v>6.9444444444444441E-3</v>
      </c>
      <c r="N252" s="3">
        <v>45811</v>
      </c>
      <c r="O252">
        <v>227549</v>
      </c>
      <c r="P252">
        <v>45</v>
      </c>
      <c r="Q252" s="23" t="s">
        <v>2309</v>
      </c>
    </row>
    <row r="253" spans="1:17" x14ac:dyDescent="0.35">
      <c r="A253" s="23">
        <v>1003858</v>
      </c>
      <c r="B253" s="23">
        <v>1</v>
      </c>
      <c r="C253" s="23">
        <v>1003881</v>
      </c>
      <c r="D253" s="23" t="s">
        <v>1754</v>
      </c>
      <c r="E253" s="5">
        <v>10</v>
      </c>
      <c r="F253" s="23">
        <v>12</v>
      </c>
      <c r="G253" s="23">
        <v>0</v>
      </c>
      <c r="H253" s="23">
        <v>0</v>
      </c>
      <c r="I253" s="23" t="s">
        <v>24</v>
      </c>
      <c r="J253" s="23" t="s">
        <v>597</v>
      </c>
      <c r="K253" s="23" t="s">
        <v>1913</v>
      </c>
      <c r="L253" s="23">
        <v>45826</v>
      </c>
      <c r="M253" s="28">
        <v>6.9444444444444441E-3</v>
      </c>
      <c r="N253" s="3">
        <v>45811</v>
      </c>
      <c r="O253">
        <v>227549</v>
      </c>
      <c r="P253">
        <v>45</v>
      </c>
      <c r="Q253" s="23" t="s">
        <v>2310</v>
      </c>
    </row>
    <row r="254" spans="1:17" x14ac:dyDescent="0.35">
      <c r="A254" s="23">
        <v>1003858</v>
      </c>
      <c r="B254" s="23">
        <v>1</v>
      </c>
      <c r="C254" s="23">
        <v>1003897</v>
      </c>
      <c r="D254" s="23" t="s">
        <v>1755</v>
      </c>
      <c r="E254" s="5">
        <v>55</v>
      </c>
      <c r="F254" s="23">
        <v>12</v>
      </c>
      <c r="G254" s="23">
        <v>0</v>
      </c>
      <c r="H254" s="23">
        <v>0</v>
      </c>
      <c r="I254" s="23" t="s">
        <v>24</v>
      </c>
      <c r="J254" s="23" t="s">
        <v>597</v>
      </c>
      <c r="K254" s="23" t="s">
        <v>1913</v>
      </c>
      <c r="L254" s="24">
        <v>45826</v>
      </c>
      <c r="M254" s="28">
        <v>3.8194444444444441E-2</v>
      </c>
      <c r="N254" s="3">
        <v>45811</v>
      </c>
      <c r="O254">
        <v>227566</v>
      </c>
      <c r="P254">
        <v>45</v>
      </c>
      <c r="Q254" s="23" t="s">
        <v>2311</v>
      </c>
    </row>
    <row r="255" spans="1:17" x14ac:dyDescent="0.35">
      <c r="A255" s="23">
        <v>1003859</v>
      </c>
      <c r="B255" s="23">
        <v>1</v>
      </c>
      <c r="C255" s="23">
        <v>1003881</v>
      </c>
      <c r="D255" s="23" t="s">
        <v>1754</v>
      </c>
      <c r="E255" s="5">
        <v>10</v>
      </c>
      <c r="F255" s="23">
        <v>12</v>
      </c>
      <c r="G255" s="23">
        <v>0</v>
      </c>
      <c r="H255" s="23">
        <v>0</v>
      </c>
      <c r="I255" s="23" t="s">
        <v>24</v>
      </c>
      <c r="J255" s="23" t="s">
        <v>597</v>
      </c>
      <c r="K255" s="23" t="s">
        <v>1913</v>
      </c>
      <c r="L255" s="23">
        <v>45826</v>
      </c>
      <c r="M255" s="28">
        <v>6.9444444444444441E-3</v>
      </c>
      <c r="N255" s="3">
        <v>45811</v>
      </c>
      <c r="O255">
        <v>227549</v>
      </c>
      <c r="P255">
        <v>45</v>
      </c>
      <c r="Q255" s="23" t="s">
        <v>2312</v>
      </c>
    </row>
    <row r="256" spans="1:17" x14ac:dyDescent="0.35">
      <c r="A256" s="23">
        <v>1003859</v>
      </c>
      <c r="B256" s="23">
        <v>1</v>
      </c>
      <c r="C256" s="23">
        <v>1003897</v>
      </c>
      <c r="D256" s="23" t="s">
        <v>1755</v>
      </c>
      <c r="E256" s="5">
        <v>55</v>
      </c>
      <c r="F256" s="23">
        <v>12</v>
      </c>
      <c r="G256" s="23">
        <v>0</v>
      </c>
      <c r="H256" s="23">
        <v>0</v>
      </c>
      <c r="I256" s="23" t="s">
        <v>24</v>
      </c>
      <c r="J256" s="23" t="s">
        <v>597</v>
      </c>
      <c r="K256" s="23" t="s">
        <v>1913</v>
      </c>
      <c r="L256" s="24">
        <v>45826</v>
      </c>
      <c r="M256" s="28">
        <v>3.8194444444444441E-2</v>
      </c>
      <c r="N256" s="3">
        <v>45811</v>
      </c>
      <c r="O256">
        <v>227566</v>
      </c>
      <c r="P256">
        <v>45</v>
      </c>
      <c r="Q256" s="23" t="s">
        <v>2313</v>
      </c>
    </row>
    <row r="257" spans="1:17" x14ac:dyDescent="0.35">
      <c r="A257" s="23">
        <v>1003860</v>
      </c>
      <c r="B257" s="23">
        <v>1</v>
      </c>
      <c r="C257" s="23">
        <v>1003881</v>
      </c>
      <c r="D257" s="23" t="s">
        <v>1754</v>
      </c>
      <c r="E257" s="5">
        <v>10</v>
      </c>
      <c r="F257" s="23">
        <v>12</v>
      </c>
      <c r="G257" s="23">
        <v>0</v>
      </c>
      <c r="H257" s="23">
        <v>0</v>
      </c>
      <c r="I257" s="23" t="s">
        <v>24</v>
      </c>
      <c r="J257" s="23" t="s">
        <v>597</v>
      </c>
      <c r="K257" s="23" t="s">
        <v>1913</v>
      </c>
      <c r="L257" s="24">
        <v>45826</v>
      </c>
      <c r="M257" s="28">
        <v>6.9444444444444441E-3</v>
      </c>
      <c r="N257" s="3">
        <v>45811</v>
      </c>
      <c r="O257">
        <v>227549</v>
      </c>
      <c r="P257">
        <v>45</v>
      </c>
      <c r="Q257" s="23" t="s">
        <v>2314</v>
      </c>
    </row>
    <row r="258" spans="1:17" x14ac:dyDescent="0.35">
      <c r="A258" s="23">
        <v>1003860</v>
      </c>
      <c r="B258" s="23">
        <v>1</v>
      </c>
      <c r="C258" s="23">
        <v>1003897</v>
      </c>
      <c r="D258" s="23" t="s">
        <v>1755</v>
      </c>
      <c r="E258" s="5">
        <v>55</v>
      </c>
      <c r="F258" s="23">
        <v>12</v>
      </c>
      <c r="G258" s="23">
        <v>0</v>
      </c>
      <c r="H258" s="23">
        <v>0</v>
      </c>
      <c r="I258" s="23" t="s">
        <v>24</v>
      </c>
      <c r="J258" s="23" t="s">
        <v>597</v>
      </c>
      <c r="K258" s="23" t="s">
        <v>1913</v>
      </c>
      <c r="L258" s="24">
        <v>45826</v>
      </c>
      <c r="M258" s="28">
        <v>3.8194444444444441E-2</v>
      </c>
      <c r="N258" s="3">
        <v>45811</v>
      </c>
      <c r="O258">
        <v>227566</v>
      </c>
      <c r="P258">
        <v>45</v>
      </c>
      <c r="Q258" s="23" t="s">
        <v>2315</v>
      </c>
    </row>
    <row r="259" spans="1:17" x14ac:dyDescent="0.35">
      <c r="A259" s="23">
        <v>1024358</v>
      </c>
      <c r="B259" s="23">
        <v>2</v>
      </c>
      <c r="C259" s="23">
        <v>1024353</v>
      </c>
      <c r="D259" s="23" t="s">
        <v>239</v>
      </c>
      <c r="E259" s="5">
        <v>20</v>
      </c>
      <c r="F259" s="23">
        <v>2</v>
      </c>
      <c r="G259" s="23">
        <v>0</v>
      </c>
      <c r="H259" s="23">
        <v>0</v>
      </c>
      <c r="I259" s="23" t="s">
        <v>24</v>
      </c>
      <c r="J259" s="23" t="s">
        <v>597</v>
      </c>
      <c r="K259" s="23" t="s">
        <v>1914</v>
      </c>
      <c r="L259" s="24">
        <v>45814</v>
      </c>
      <c r="M259" s="28">
        <v>1.3888888888888888E-2</v>
      </c>
      <c r="N259" s="3">
        <v>45811</v>
      </c>
      <c r="O259">
        <v>155692</v>
      </c>
      <c r="P259">
        <v>45</v>
      </c>
      <c r="Q259" s="23" t="s">
        <v>2316</v>
      </c>
    </row>
    <row r="260" spans="1:17" x14ac:dyDescent="0.35">
      <c r="A260" s="23">
        <v>1014246</v>
      </c>
      <c r="B260" s="23">
        <v>1</v>
      </c>
      <c r="C260" s="23">
        <v>1014265</v>
      </c>
      <c r="D260" s="23" t="s">
        <v>1915</v>
      </c>
      <c r="E260" s="5">
        <v>60</v>
      </c>
      <c r="F260" s="23">
        <v>2</v>
      </c>
      <c r="G260" s="23">
        <v>1</v>
      </c>
      <c r="H260" s="23">
        <v>30</v>
      </c>
      <c r="I260" s="23" t="s">
        <v>24</v>
      </c>
      <c r="J260" s="23" t="s">
        <v>597</v>
      </c>
      <c r="K260" s="23" t="s">
        <v>1916</v>
      </c>
      <c r="L260" s="24">
        <v>45832</v>
      </c>
      <c r="M260" s="28">
        <v>4.1666666666666664E-2</v>
      </c>
      <c r="N260" s="3">
        <v>45812</v>
      </c>
      <c r="O260">
        <v>122306</v>
      </c>
      <c r="P260">
        <v>45</v>
      </c>
      <c r="Q260" s="23" t="s">
        <v>2317</v>
      </c>
    </row>
    <row r="261" spans="1:17" x14ac:dyDescent="0.35">
      <c r="A261" s="23">
        <v>1014246</v>
      </c>
      <c r="B261" s="23">
        <v>1</v>
      </c>
      <c r="C261" s="23">
        <v>1014266</v>
      </c>
      <c r="D261" s="23" t="s">
        <v>1917</v>
      </c>
      <c r="E261" s="5">
        <v>50</v>
      </c>
      <c r="F261" s="23">
        <v>2</v>
      </c>
      <c r="G261" s="23">
        <v>1</v>
      </c>
      <c r="H261" s="23">
        <v>25</v>
      </c>
      <c r="I261" s="23" t="s">
        <v>24</v>
      </c>
      <c r="J261" s="23" t="s">
        <v>597</v>
      </c>
      <c r="K261" s="23" t="s">
        <v>1916</v>
      </c>
      <c r="L261" s="24">
        <v>45832</v>
      </c>
      <c r="M261" s="28">
        <v>3.4722222222222224E-2</v>
      </c>
      <c r="N261" s="3">
        <v>45812</v>
      </c>
      <c r="O261">
        <v>122307</v>
      </c>
      <c r="P261">
        <v>45</v>
      </c>
      <c r="Q261" s="23" t="s">
        <v>2318</v>
      </c>
    </row>
    <row r="262" spans="1:17" x14ac:dyDescent="0.35">
      <c r="A262" s="23">
        <v>1014246</v>
      </c>
      <c r="B262" s="23">
        <v>1</v>
      </c>
      <c r="C262" s="23">
        <v>1014252</v>
      </c>
      <c r="D262" s="23" t="s">
        <v>1918</v>
      </c>
      <c r="E262" s="5">
        <v>30</v>
      </c>
      <c r="F262" s="23">
        <v>1</v>
      </c>
      <c r="G262" s="23">
        <v>0</v>
      </c>
      <c r="H262" s="23">
        <v>0</v>
      </c>
      <c r="I262" s="23" t="s">
        <v>24</v>
      </c>
      <c r="J262" s="23" t="s">
        <v>597</v>
      </c>
      <c r="K262" s="23" t="s">
        <v>1916</v>
      </c>
      <c r="L262" s="24">
        <v>45832</v>
      </c>
      <c r="M262" s="28">
        <v>2.0833333333333332E-2</v>
      </c>
      <c r="N262" s="3">
        <v>45812</v>
      </c>
      <c r="O262">
        <v>122293</v>
      </c>
      <c r="P262">
        <v>45</v>
      </c>
      <c r="Q262" s="23" t="s">
        <v>2319</v>
      </c>
    </row>
    <row r="263" spans="1:17" x14ac:dyDescent="0.35">
      <c r="A263" s="23">
        <v>1014275</v>
      </c>
      <c r="B263" s="23">
        <v>1</v>
      </c>
      <c r="C263" s="23">
        <v>1014277</v>
      </c>
      <c r="D263" s="23" t="s">
        <v>340</v>
      </c>
      <c r="E263" s="5">
        <v>50</v>
      </c>
      <c r="F263" s="23">
        <v>1</v>
      </c>
      <c r="G263" s="23">
        <v>0</v>
      </c>
      <c r="H263" s="23">
        <v>0</v>
      </c>
      <c r="I263" s="23" t="s">
        <v>24</v>
      </c>
      <c r="J263" s="23" t="s">
        <v>597</v>
      </c>
      <c r="K263" s="23" t="s">
        <v>1919</v>
      </c>
      <c r="L263" s="24">
        <v>45832</v>
      </c>
      <c r="M263" s="28">
        <v>3.4722222222222224E-2</v>
      </c>
      <c r="N263" s="3">
        <v>45812</v>
      </c>
      <c r="O263">
        <v>144717</v>
      </c>
      <c r="P263">
        <v>45</v>
      </c>
      <c r="Q263" s="23" t="s">
        <v>2320</v>
      </c>
    </row>
    <row r="264" spans="1:17" x14ac:dyDescent="0.35">
      <c r="A264" s="23">
        <v>1017214</v>
      </c>
      <c r="B264" s="23">
        <v>7</v>
      </c>
      <c r="C264" s="23">
        <v>1017203</v>
      </c>
      <c r="D264" s="23" t="s">
        <v>1920</v>
      </c>
      <c r="E264" s="5">
        <v>630</v>
      </c>
      <c r="F264" s="23">
        <v>7</v>
      </c>
      <c r="G264" s="23">
        <v>0</v>
      </c>
      <c r="H264" s="23">
        <v>0</v>
      </c>
      <c r="I264" s="23" t="s">
        <v>24</v>
      </c>
      <c r="J264" s="23" t="s">
        <v>597</v>
      </c>
      <c r="K264" s="23" t="s">
        <v>1921</v>
      </c>
      <c r="L264" s="23">
        <v>45828</v>
      </c>
      <c r="M264" s="28">
        <v>0.4375</v>
      </c>
      <c r="N264" s="3">
        <v>45812</v>
      </c>
      <c r="O264">
        <v>197954</v>
      </c>
      <c r="P264">
        <v>45</v>
      </c>
      <c r="Q264" s="23" t="s">
        <v>2321</v>
      </c>
    </row>
    <row r="265" spans="1:17" x14ac:dyDescent="0.35">
      <c r="A265" s="23">
        <v>1003942</v>
      </c>
      <c r="B265" s="23">
        <v>1</v>
      </c>
      <c r="C265" s="23">
        <v>1003974</v>
      </c>
      <c r="D265" s="23" t="s">
        <v>1754</v>
      </c>
      <c r="E265" s="5">
        <v>10</v>
      </c>
      <c r="F265" s="23">
        <v>12</v>
      </c>
      <c r="G265" s="23">
        <v>0</v>
      </c>
      <c r="H265" s="23">
        <v>0</v>
      </c>
      <c r="I265" s="23" t="s">
        <v>24</v>
      </c>
      <c r="J265" s="23" t="s">
        <v>597</v>
      </c>
      <c r="K265" s="23" t="s">
        <v>1922</v>
      </c>
      <c r="L265" s="24">
        <v>45834</v>
      </c>
      <c r="M265" s="28">
        <v>6.9444444444444441E-3</v>
      </c>
      <c r="N265" s="3">
        <v>45817</v>
      </c>
      <c r="O265">
        <v>227549</v>
      </c>
      <c r="P265">
        <v>45</v>
      </c>
      <c r="Q265" s="23" t="s">
        <v>2322</v>
      </c>
    </row>
    <row r="266" spans="1:17" x14ac:dyDescent="0.35">
      <c r="A266" s="23">
        <v>1003942</v>
      </c>
      <c r="B266" s="23">
        <v>1</v>
      </c>
      <c r="C266" s="23">
        <v>1003990</v>
      </c>
      <c r="D266" s="23" t="s">
        <v>1755</v>
      </c>
      <c r="E266" s="5">
        <v>55</v>
      </c>
      <c r="F266" s="23">
        <v>12</v>
      </c>
      <c r="G266" s="23">
        <v>0</v>
      </c>
      <c r="H266" s="23">
        <v>0</v>
      </c>
      <c r="I266" s="23" t="s">
        <v>24</v>
      </c>
      <c r="J266" s="23" t="s">
        <v>597</v>
      </c>
      <c r="K266" s="23" t="s">
        <v>1922</v>
      </c>
      <c r="L266" s="24">
        <v>45834</v>
      </c>
      <c r="M266" s="28">
        <v>3.8194444444444441E-2</v>
      </c>
      <c r="N266" s="3">
        <v>45817</v>
      </c>
      <c r="O266">
        <v>227566</v>
      </c>
      <c r="P266">
        <v>45</v>
      </c>
      <c r="Q266" s="23" t="s">
        <v>2323</v>
      </c>
    </row>
    <row r="267" spans="1:17" x14ac:dyDescent="0.35">
      <c r="A267" s="23">
        <v>1003943</v>
      </c>
      <c r="B267" s="23">
        <v>1</v>
      </c>
      <c r="C267" s="23">
        <v>1003990</v>
      </c>
      <c r="D267" s="23" t="s">
        <v>1755</v>
      </c>
      <c r="E267" s="5">
        <v>55</v>
      </c>
      <c r="F267" s="23">
        <v>12</v>
      </c>
      <c r="G267" s="23">
        <v>0</v>
      </c>
      <c r="H267" s="23">
        <v>0</v>
      </c>
      <c r="I267" s="23" t="s">
        <v>24</v>
      </c>
      <c r="J267" s="23" t="s">
        <v>597</v>
      </c>
      <c r="K267" s="23" t="s">
        <v>1922</v>
      </c>
      <c r="L267" s="23">
        <v>45834</v>
      </c>
      <c r="M267" s="28">
        <v>3.8194444444444441E-2</v>
      </c>
      <c r="N267" s="3">
        <v>45817</v>
      </c>
      <c r="O267">
        <v>227566</v>
      </c>
      <c r="P267">
        <v>45</v>
      </c>
      <c r="Q267" s="23" t="s">
        <v>2324</v>
      </c>
    </row>
    <row r="268" spans="1:17" x14ac:dyDescent="0.35">
      <c r="A268" s="23">
        <v>1003943</v>
      </c>
      <c r="B268" s="23">
        <v>1</v>
      </c>
      <c r="C268" s="23">
        <v>1003974</v>
      </c>
      <c r="D268" s="23" t="s">
        <v>1754</v>
      </c>
      <c r="E268" s="5">
        <v>10</v>
      </c>
      <c r="F268" s="23">
        <v>12</v>
      </c>
      <c r="G268" s="23">
        <v>0</v>
      </c>
      <c r="H268" s="23">
        <v>0</v>
      </c>
      <c r="I268" s="23" t="s">
        <v>24</v>
      </c>
      <c r="J268" s="23" t="s">
        <v>597</v>
      </c>
      <c r="K268" s="23" t="s">
        <v>1922</v>
      </c>
      <c r="L268" s="23">
        <v>45834</v>
      </c>
      <c r="M268" s="28">
        <v>6.9444444444444441E-3</v>
      </c>
      <c r="N268" s="3">
        <v>45817</v>
      </c>
      <c r="O268">
        <v>227549</v>
      </c>
      <c r="P268">
        <v>45</v>
      </c>
      <c r="Q268" s="23" t="s">
        <v>2325</v>
      </c>
    </row>
    <row r="269" spans="1:17" x14ac:dyDescent="0.35">
      <c r="A269" s="23">
        <v>1003944</v>
      </c>
      <c r="B269" s="23">
        <v>1</v>
      </c>
      <c r="C269" s="23">
        <v>1003974</v>
      </c>
      <c r="D269" s="23" t="s">
        <v>1754</v>
      </c>
      <c r="E269" s="5">
        <v>10</v>
      </c>
      <c r="F269" s="23">
        <v>12</v>
      </c>
      <c r="G269" s="23">
        <v>0</v>
      </c>
      <c r="H269" s="23">
        <v>0</v>
      </c>
      <c r="I269" s="23" t="s">
        <v>24</v>
      </c>
      <c r="J269" s="23" t="s">
        <v>597</v>
      </c>
      <c r="K269" s="23" t="s">
        <v>1922</v>
      </c>
      <c r="L269" s="24">
        <v>45834</v>
      </c>
      <c r="M269" s="28">
        <v>6.9444444444444441E-3</v>
      </c>
      <c r="N269" s="3">
        <v>45817</v>
      </c>
      <c r="O269">
        <v>227549</v>
      </c>
      <c r="P269">
        <v>45</v>
      </c>
      <c r="Q269" s="23" t="s">
        <v>2326</v>
      </c>
    </row>
    <row r="270" spans="1:17" x14ac:dyDescent="0.35">
      <c r="A270" s="23">
        <v>1003944</v>
      </c>
      <c r="B270" s="23">
        <v>1</v>
      </c>
      <c r="C270" s="23">
        <v>1003990</v>
      </c>
      <c r="D270" s="23" t="s">
        <v>1755</v>
      </c>
      <c r="E270" s="5">
        <v>55</v>
      </c>
      <c r="F270" s="23">
        <v>12</v>
      </c>
      <c r="G270" s="23">
        <v>0</v>
      </c>
      <c r="H270" s="23">
        <v>0</v>
      </c>
      <c r="I270" s="23" t="s">
        <v>24</v>
      </c>
      <c r="J270" s="23" t="s">
        <v>597</v>
      </c>
      <c r="K270" s="23" t="s">
        <v>1922</v>
      </c>
      <c r="L270" s="24">
        <v>45834</v>
      </c>
      <c r="M270" s="28">
        <v>3.8194444444444441E-2</v>
      </c>
      <c r="N270" s="3">
        <v>45817</v>
      </c>
      <c r="O270">
        <v>227566</v>
      </c>
      <c r="P270">
        <v>45</v>
      </c>
      <c r="Q270" s="23" t="s">
        <v>2327</v>
      </c>
    </row>
    <row r="271" spans="1:17" x14ac:dyDescent="0.35">
      <c r="A271" s="23">
        <v>1003945</v>
      </c>
      <c r="B271" s="23">
        <v>1</v>
      </c>
      <c r="C271" s="23">
        <v>1003990</v>
      </c>
      <c r="D271" s="23" t="s">
        <v>1755</v>
      </c>
      <c r="E271" s="5">
        <v>55</v>
      </c>
      <c r="F271" s="23">
        <v>12</v>
      </c>
      <c r="G271" s="23">
        <v>0</v>
      </c>
      <c r="H271" s="23">
        <v>0</v>
      </c>
      <c r="I271" s="23" t="s">
        <v>24</v>
      </c>
      <c r="J271" s="23" t="s">
        <v>597</v>
      </c>
      <c r="K271" s="23" t="s">
        <v>1922</v>
      </c>
      <c r="L271" s="24">
        <v>45834</v>
      </c>
      <c r="M271" s="28">
        <v>3.8194444444444441E-2</v>
      </c>
      <c r="N271" s="3">
        <v>45817</v>
      </c>
      <c r="O271">
        <v>227566</v>
      </c>
      <c r="P271">
        <v>45</v>
      </c>
      <c r="Q271" s="23" t="s">
        <v>2328</v>
      </c>
    </row>
    <row r="272" spans="1:17" x14ac:dyDescent="0.35">
      <c r="A272" s="23">
        <v>1003945</v>
      </c>
      <c r="B272" s="23">
        <v>1</v>
      </c>
      <c r="C272" s="23">
        <v>1003974</v>
      </c>
      <c r="D272" s="23" t="s">
        <v>1754</v>
      </c>
      <c r="E272" s="5">
        <v>10</v>
      </c>
      <c r="F272" s="23">
        <v>12</v>
      </c>
      <c r="G272" s="23">
        <v>0</v>
      </c>
      <c r="H272" s="23">
        <v>0</v>
      </c>
      <c r="I272" s="23" t="s">
        <v>24</v>
      </c>
      <c r="J272" s="23" t="s">
        <v>597</v>
      </c>
      <c r="K272" s="23" t="s">
        <v>1922</v>
      </c>
      <c r="L272" s="24">
        <v>45834</v>
      </c>
      <c r="M272" s="28">
        <v>6.9444444444444441E-3</v>
      </c>
      <c r="N272" s="3">
        <v>45817</v>
      </c>
      <c r="O272">
        <v>227549</v>
      </c>
      <c r="P272">
        <v>45</v>
      </c>
      <c r="Q272" s="23" t="s">
        <v>2329</v>
      </c>
    </row>
    <row r="273" spans="1:17" x14ac:dyDescent="0.35">
      <c r="A273" s="23">
        <v>1003946</v>
      </c>
      <c r="B273" s="23">
        <v>1</v>
      </c>
      <c r="C273" s="23">
        <v>1003990</v>
      </c>
      <c r="D273" s="23" t="s">
        <v>1755</v>
      </c>
      <c r="E273" s="5">
        <v>55</v>
      </c>
      <c r="F273" s="23">
        <v>12</v>
      </c>
      <c r="G273" s="23">
        <v>0</v>
      </c>
      <c r="H273" s="23">
        <v>0</v>
      </c>
      <c r="I273" s="23" t="s">
        <v>24</v>
      </c>
      <c r="J273" s="23" t="s">
        <v>597</v>
      </c>
      <c r="K273" s="23" t="s">
        <v>1922</v>
      </c>
      <c r="L273" s="24">
        <v>45834</v>
      </c>
      <c r="M273" s="28">
        <v>3.8194444444444441E-2</v>
      </c>
      <c r="N273" s="3">
        <v>45817</v>
      </c>
      <c r="O273">
        <v>227566</v>
      </c>
      <c r="P273">
        <v>45</v>
      </c>
      <c r="Q273" s="23" t="s">
        <v>2330</v>
      </c>
    </row>
    <row r="274" spans="1:17" x14ac:dyDescent="0.35">
      <c r="A274" s="23">
        <v>1003946</v>
      </c>
      <c r="B274" s="23">
        <v>1</v>
      </c>
      <c r="C274" s="23">
        <v>1003974</v>
      </c>
      <c r="D274" s="23" t="s">
        <v>1754</v>
      </c>
      <c r="E274" s="5">
        <v>10</v>
      </c>
      <c r="F274" s="23">
        <v>12</v>
      </c>
      <c r="G274" s="23">
        <v>0</v>
      </c>
      <c r="H274" s="23">
        <v>0</v>
      </c>
      <c r="I274" s="23" t="s">
        <v>24</v>
      </c>
      <c r="J274" s="23" t="s">
        <v>597</v>
      </c>
      <c r="K274" s="23" t="s">
        <v>1922</v>
      </c>
      <c r="L274" s="23">
        <v>45834</v>
      </c>
      <c r="M274" s="28">
        <v>6.9444444444444441E-3</v>
      </c>
      <c r="N274" s="3">
        <v>45817</v>
      </c>
      <c r="O274">
        <v>227549</v>
      </c>
      <c r="P274">
        <v>45</v>
      </c>
      <c r="Q274" s="23" t="s">
        <v>2331</v>
      </c>
    </row>
    <row r="275" spans="1:17" x14ac:dyDescent="0.35">
      <c r="A275" s="23">
        <v>1003947</v>
      </c>
      <c r="B275" s="23">
        <v>1</v>
      </c>
      <c r="C275" s="23">
        <v>1003990</v>
      </c>
      <c r="D275" s="23" t="s">
        <v>1755</v>
      </c>
      <c r="E275" s="5">
        <v>55</v>
      </c>
      <c r="F275" s="23">
        <v>12</v>
      </c>
      <c r="G275" s="23">
        <v>0</v>
      </c>
      <c r="H275" s="23">
        <v>0</v>
      </c>
      <c r="I275" s="23" t="s">
        <v>24</v>
      </c>
      <c r="J275" s="23" t="s">
        <v>597</v>
      </c>
      <c r="K275" s="23" t="s">
        <v>1922</v>
      </c>
      <c r="L275" s="24">
        <v>45834</v>
      </c>
      <c r="M275" s="28">
        <v>3.8194444444444441E-2</v>
      </c>
      <c r="N275" s="3">
        <v>45817</v>
      </c>
      <c r="O275">
        <v>227566</v>
      </c>
      <c r="P275">
        <v>45</v>
      </c>
      <c r="Q275" s="23" t="s">
        <v>2332</v>
      </c>
    </row>
    <row r="276" spans="1:17" x14ac:dyDescent="0.35">
      <c r="A276" s="23">
        <v>1003947</v>
      </c>
      <c r="B276" s="23">
        <v>1</v>
      </c>
      <c r="C276" s="23">
        <v>1003974</v>
      </c>
      <c r="D276" s="23" t="s">
        <v>1754</v>
      </c>
      <c r="E276" s="5">
        <v>10</v>
      </c>
      <c r="F276" s="23">
        <v>12</v>
      </c>
      <c r="G276" s="23">
        <v>0</v>
      </c>
      <c r="H276" s="23">
        <v>0</v>
      </c>
      <c r="I276" s="23" t="s">
        <v>24</v>
      </c>
      <c r="J276" s="23" t="s">
        <v>597</v>
      </c>
      <c r="K276" s="23" t="s">
        <v>1922</v>
      </c>
      <c r="L276" s="24">
        <v>45834</v>
      </c>
      <c r="M276" s="28">
        <v>6.9444444444444441E-3</v>
      </c>
      <c r="N276" s="3">
        <v>45817</v>
      </c>
      <c r="O276">
        <v>227549</v>
      </c>
      <c r="P276">
        <v>45</v>
      </c>
      <c r="Q276" s="23" t="s">
        <v>2333</v>
      </c>
    </row>
    <row r="277" spans="1:17" x14ac:dyDescent="0.35">
      <c r="A277" s="23">
        <v>1003948</v>
      </c>
      <c r="B277" s="23">
        <v>1</v>
      </c>
      <c r="C277" s="23">
        <v>1003974</v>
      </c>
      <c r="D277" s="23" t="s">
        <v>1754</v>
      </c>
      <c r="E277" s="5">
        <v>10</v>
      </c>
      <c r="F277" s="23">
        <v>12</v>
      </c>
      <c r="G277" s="23">
        <v>0</v>
      </c>
      <c r="H277" s="23">
        <v>0</v>
      </c>
      <c r="I277" s="23" t="s">
        <v>24</v>
      </c>
      <c r="J277" s="23" t="s">
        <v>597</v>
      </c>
      <c r="K277" s="23" t="s">
        <v>1922</v>
      </c>
      <c r="L277" s="24">
        <v>45834</v>
      </c>
      <c r="M277" s="28">
        <v>6.9444444444444441E-3</v>
      </c>
      <c r="N277" s="3">
        <v>45817</v>
      </c>
      <c r="O277">
        <v>227549</v>
      </c>
      <c r="P277">
        <v>45</v>
      </c>
      <c r="Q277" s="23" t="s">
        <v>2334</v>
      </c>
    </row>
    <row r="278" spans="1:17" x14ac:dyDescent="0.35">
      <c r="A278" s="23">
        <v>1003948</v>
      </c>
      <c r="B278" s="23">
        <v>1</v>
      </c>
      <c r="C278" s="23">
        <v>1003990</v>
      </c>
      <c r="D278" s="23" t="s">
        <v>1755</v>
      </c>
      <c r="E278" s="5">
        <v>55</v>
      </c>
      <c r="F278" s="23">
        <v>12</v>
      </c>
      <c r="G278" s="23">
        <v>0</v>
      </c>
      <c r="H278" s="23">
        <v>0</v>
      </c>
      <c r="I278" s="23" t="s">
        <v>24</v>
      </c>
      <c r="J278" s="23" t="s">
        <v>597</v>
      </c>
      <c r="K278" s="23" t="s">
        <v>1922</v>
      </c>
      <c r="L278" s="24">
        <v>45834</v>
      </c>
      <c r="M278" s="28">
        <v>3.8194444444444441E-2</v>
      </c>
      <c r="N278" s="3">
        <v>45817</v>
      </c>
      <c r="O278">
        <v>227566</v>
      </c>
      <c r="P278">
        <v>45</v>
      </c>
      <c r="Q278" s="23" t="s">
        <v>2335</v>
      </c>
    </row>
    <row r="279" spans="1:17" x14ac:dyDescent="0.35">
      <c r="A279" s="23">
        <v>1003949</v>
      </c>
      <c r="B279" s="23">
        <v>1</v>
      </c>
      <c r="C279" s="23">
        <v>1003990</v>
      </c>
      <c r="D279" s="23" t="s">
        <v>1755</v>
      </c>
      <c r="E279" s="5">
        <v>55</v>
      </c>
      <c r="F279" s="23">
        <v>12</v>
      </c>
      <c r="G279" s="23">
        <v>0</v>
      </c>
      <c r="H279" s="23">
        <v>0</v>
      </c>
      <c r="I279" s="23" t="s">
        <v>24</v>
      </c>
      <c r="J279" s="23" t="s">
        <v>597</v>
      </c>
      <c r="K279" s="23" t="s">
        <v>1922</v>
      </c>
      <c r="L279" s="24">
        <v>45834</v>
      </c>
      <c r="M279" s="28">
        <v>3.8194444444444441E-2</v>
      </c>
      <c r="N279" s="3">
        <v>45817</v>
      </c>
      <c r="O279">
        <v>227566</v>
      </c>
      <c r="P279">
        <v>45</v>
      </c>
      <c r="Q279" s="23" t="s">
        <v>2336</v>
      </c>
    </row>
    <row r="280" spans="1:17" x14ac:dyDescent="0.35">
      <c r="A280" s="23">
        <v>1003949</v>
      </c>
      <c r="B280" s="23">
        <v>1</v>
      </c>
      <c r="C280" s="23">
        <v>1003974</v>
      </c>
      <c r="D280" s="23" t="s">
        <v>1754</v>
      </c>
      <c r="E280" s="5">
        <v>10</v>
      </c>
      <c r="F280" s="23">
        <v>12</v>
      </c>
      <c r="G280" s="23">
        <v>0</v>
      </c>
      <c r="H280" s="23">
        <v>0</v>
      </c>
      <c r="I280" s="23" t="s">
        <v>24</v>
      </c>
      <c r="J280" s="23" t="s">
        <v>597</v>
      </c>
      <c r="K280" s="23" t="s">
        <v>1922</v>
      </c>
      <c r="L280" s="24">
        <v>45834</v>
      </c>
      <c r="M280" s="28">
        <v>6.9444444444444441E-3</v>
      </c>
      <c r="N280" s="3">
        <v>45817</v>
      </c>
      <c r="O280">
        <v>227549</v>
      </c>
      <c r="P280">
        <v>45</v>
      </c>
      <c r="Q280" s="23" t="s">
        <v>2337</v>
      </c>
    </row>
    <row r="281" spans="1:17" x14ac:dyDescent="0.35">
      <c r="A281" s="23">
        <v>1003950</v>
      </c>
      <c r="B281" s="23">
        <v>1</v>
      </c>
      <c r="C281" s="23">
        <v>1003990</v>
      </c>
      <c r="D281" s="23" t="s">
        <v>1755</v>
      </c>
      <c r="E281" s="5">
        <v>55</v>
      </c>
      <c r="F281" s="23">
        <v>12</v>
      </c>
      <c r="G281" s="23">
        <v>0</v>
      </c>
      <c r="H281" s="23">
        <v>0</v>
      </c>
      <c r="I281" s="23" t="s">
        <v>24</v>
      </c>
      <c r="J281" s="23" t="s">
        <v>597</v>
      </c>
      <c r="K281" s="23" t="s">
        <v>1922</v>
      </c>
      <c r="L281" s="24">
        <v>45834</v>
      </c>
      <c r="M281" s="28">
        <v>3.8194444444444441E-2</v>
      </c>
      <c r="N281" s="3">
        <v>45817</v>
      </c>
      <c r="O281">
        <v>227566</v>
      </c>
      <c r="P281">
        <v>45</v>
      </c>
      <c r="Q281" s="23" t="s">
        <v>2338</v>
      </c>
    </row>
    <row r="282" spans="1:17" x14ac:dyDescent="0.35">
      <c r="A282" s="23">
        <v>1003950</v>
      </c>
      <c r="B282" s="23">
        <v>1</v>
      </c>
      <c r="C282" s="23">
        <v>1003974</v>
      </c>
      <c r="D282" s="23" t="s">
        <v>1754</v>
      </c>
      <c r="E282" s="5">
        <v>10</v>
      </c>
      <c r="F282" s="23">
        <v>12</v>
      </c>
      <c r="G282" s="23">
        <v>0</v>
      </c>
      <c r="H282" s="23">
        <v>0</v>
      </c>
      <c r="I282" s="23" t="s">
        <v>24</v>
      </c>
      <c r="J282" s="23" t="s">
        <v>597</v>
      </c>
      <c r="K282" s="23" t="s">
        <v>1922</v>
      </c>
      <c r="L282" s="24">
        <v>45834</v>
      </c>
      <c r="M282" s="28">
        <v>6.9444444444444441E-3</v>
      </c>
      <c r="N282" s="3">
        <v>45817</v>
      </c>
      <c r="O282">
        <v>227549</v>
      </c>
      <c r="P282">
        <v>45</v>
      </c>
      <c r="Q282" s="23" t="s">
        <v>2339</v>
      </c>
    </row>
    <row r="283" spans="1:17" x14ac:dyDescent="0.35">
      <c r="A283" s="23">
        <v>1003951</v>
      </c>
      <c r="B283" s="23">
        <v>1</v>
      </c>
      <c r="C283" s="23">
        <v>1003990</v>
      </c>
      <c r="D283" s="23" t="s">
        <v>1755</v>
      </c>
      <c r="E283" s="5">
        <v>55</v>
      </c>
      <c r="F283" s="23">
        <v>12</v>
      </c>
      <c r="G283" s="23">
        <v>0</v>
      </c>
      <c r="H283" s="23">
        <v>0</v>
      </c>
      <c r="I283" s="23" t="s">
        <v>24</v>
      </c>
      <c r="J283" s="23" t="s">
        <v>597</v>
      </c>
      <c r="K283" s="23" t="s">
        <v>1922</v>
      </c>
      <c r="L283" s="23">
        <v>45834</v>
      </c>
      <c r="M283" s="28">
        <v>3.8194444444444441E-2</v>
      </c>
      <c r="N283" s="3">
        <v>45817</v>
      </c>
      <c r="O283">
        <v>227566</v>
      </c>
      <c r="P283">
        <v>45</v>
      </c>
      <c r="Q283" s="23" t="s">
        <v>2340</v>
      </c>
    </row>
    <row r="284" spans="1:17" x14ac:dyDescent="0.35">
      <c r="A284" s="23">
        <v>1003951</v>
      </c>
      <c r="B284" s="23">
        <v>1</v>
      </c>
      <c r="C284" s="23">
        <v>1003974</v>
      </c>
      <c r="D284" s="23" t="s">
        <v>1754</v>
      </c>
      <c r="E284" s="5">
        <v>10</v>
      </c>
      <c r="F284" s="23">
        <v>12</v>
      </c>
      <c r="G284" s="23">
        <v>0</v>
      </c>
      <c r="H284" s="23">
        <v>0</v>
      </c>
      <c r="I284" s="23" t="s">
        <v>24</v>
      </c>
      <c r="J284" s="23" t="s">
        <v>597</v>
      </c>
      <c r="K284" s="23" t="s">
        <v>1922</v>
      </c>
      <c r="L284" s="23">
        <v>45834</v>
      </c>
      <c r="M284" s="28">
        <v>6.9444444444444441E-3</v>
      </c>
      <c r="N284" s="3">
        <v>45817</v>
      </c>
      <c r="O284">
        <v>227549</v>
      </c>
      <c r="P284">
        <v>45</v>
      </c>
      <c r="Q284" s="23" t="s">
        <v>2341</v>
      </c>
    </row>
    <row r="285" spans="1:17" x14ac:dyDescent="0.35">
      <c r="A285" s="23">
        <v>1003952</v>
      </c>
      <c r="B285" s="23">
        <v>1</v>
      </c>
      <c r="C285" s="23">
        <v>1003974</v>
      </c>
      <c r="D285" s="23" t="s">
        <v>1754</v>
      </c>
      <c r="E285" s="5">
        <v>10</v>
      </c>
      <c r="F285" s="23">
        <v>12</v>
      </c>
      <c r="G285" s="23">
        <v>0</v>
      </c>
      <c r="H285" s="23">
        <v>0</v>
      </c>
      <c r="I285" s="23" t="s">
        <v>24</v>
      </c>
      <c r="J285" s="23" t="s">
        <v>597</v>
      </c>
      <c r="K285" s="23" t="s">
        <v>1922</v>
      </c>
      <c r="L285" s="23">
        <v>45834</v>
      </c>
      <c r="M285" s="28">
        <v>6.9444444444444441E-3</v>
      </c>
      <c r="N285" s="3">
        <v>45817</v>
      </c>
      <c r="O285">
        <v>227549</v>
      </c>
      <c r="P285">
        <v>45</v>
      </c>
      <c r="Q285" s="23" t="s">
        <v>2342</v>
      </c>
    </row>
    <row r="286" spans="1:17" x14ac:dyDescent="0.35">
      <c r="A286" s="23">
        <v>1003952</v>
      </c>
      <c r="B286" s="23">
        <v>1</v>
      </c>
      <c r="C286" s="23">
        <v>1003990</v>
      </c>
      <c r="D286" s="23" t="s">
        <v>1755</v>
      </c>
      <c r="E286" s="5">
        <v>55</v>
      </c>
      <c r="F286" s="23">
        <v>12</v>
      </c>
      <c r="G286" s="23">
        <v>0</v>
      </c>
      <c r="H286" s="23">
        <v>0</v>
      </c>
      <c r="I286" s="23" t="s">
        <v>24</v>
      </c>
      <c r="J286" s="23" t="s">
        <v>597</v>
      </c>
      <c r="K286" s="23" t="s">
        <v>1922</v>
      </c>
      <c r="L286" s="24">
        <v>45834</v>
      </c>
      <c r="M286" s="28">
        <v>3.8194444444444441E-2</v>
      </c>
      <c r="N286" s="3">
        <v>45817</v>
      </c>
      <c r="O286">
        <v>227566</v>
      </c>
      <c r="P286">
        <v>45</v>
      </c>
      <c r="Q286" s="23" t="s">
        <v>2343</v>
      </c>
    </row>
    <row r="287" spans="1:17" x14ac:dyDescent="0.35">
      <c r="A287" s="23">
        <v>1003953</v>
      </c>
      <c r="B287" s="23">
        <v>1</v>
      </c>
      <c r="C287" s="23">
        <v>1003974</v>
      </c>
      <c r="D287" s="23" t="s">
        <v>1754</v>
      </c>
      <c r="E287" s="5">
        <v>10</v>
      </c>
      <c r="F287" s="23">
        <v>12</v>
      </c>
      <c r="G287" s="23">
        <v>0</v>
      </c>
      <c r="H287" s="23">
        <v>0</v>
      </c>
      <c r="I287" s="23" t="s">
        <v>24</v>
      </c>
      <c r="J287" s="23" t="s">
        <v>597</v>
      </c>
      <c r="K287" s="23" t="s">
        <v>1922</v>
      </c>
      <c r="L287" s="24">
        <v>45834</v>
      </c>
      <c r="M287" s="28">
        <v>6.9444444444444441E-3</v>
      </c>
      <c r="N287" s="3">
        <v>45817</v>
      </c>
      <c r="O287">
        <v>227549</v>
      </c>
      <c r="P287">
        <v>45</v>
      </c>
      <c r="Q287" s="23" t="s">
        <v>2344</v>
      </c>
    </row>
    <row r="288" spans="1:17" x14ac:dyDescent="0.35">
      <c r="A288" s="23">
        <v>1003953</v>
      </c>
      <c r="B288" s="23">
        <v>1</v>
      </c>
      <c r="C288" s="23">
        <v>1003990</v>
      </c>
      <c r="D288" s="23" t="s">
        <v>1755</v>
      </c>
      <c r="E288" s="5">
        <v>55</v>
      </c>
      <c r="F288" s="23">
        <v>12</v>
      </c>
      <c r="G288" s="23">
        <v>0</v>
      </c>
      <c r="H288" s="23">
        <v>0</v>
      </c>
      <c r="I288" s="23" t="s">
        <v>24</v>
      </c>
      <c r="J288" s="23" t="s">
        <v>597</v>
      </c>
      <c r="K288" s="23" t="s">
        <v>1922</v>
      </c>
      <c r="L288" s="24">
        <v>45834</v>
      </c>
      <c r="M288" s="28">
        <v>3.8194444444444441E-2</v>
      </c>
      <c r="N288" s="3">
        <v>45817</v>
      </c>
      <c r="O288">
        <v>227566</v>
      </c>
      <c r="P288">
        <v>45</v>
      </c>
      <c r="Q288" s="23" t="s">
        <v>2345</v>
      </c>
    </row>
    <row r="289" spans="1:17" x14ac:dyDescent="0.35">
      <c r="A289" s="23">
        <v>1004624</v>
      </c>
      <c r="B289" s="23">
        <v>1</v>
      </c>
      <c r="C289" s="23">
        <v>1004647</v>
      </c>
      <c r="D289" s="23" t="s">
        <v>1753</v>
      </c>
      <c r="E289" s="5">
        <v>15</v>
      </c>
      <c r="F289" s="23">
        <v>6</v>
      </c>
      <c r="G289" s="23">
        <v>0</v>
      </c>
      <c r="H289" s="23">
        <v>0</v>
      </c>
      <c r="I289" s="23" t="s">
        <v>24</v>
      </c>
      <c r="J289" s="23" t="s">
        <v>597</v>
      </c>
      <c r="K289" s="23" t="s">
        <v>1923</v>
      </c>
      <c r="L289" s="23">
        <v>45825</v>
      </c>
      <c r="M289" s="28">
        <v>1.0416666666666666E-2</v>
      </c>
      <c r="N289" s="3">
        <v>45817</v>
      </c>
      <c r="O289">
        <v>227775</v>
      </c>
      <c r="P289">
        <v>45</v>
      </c>
      <c r="Q289" s="23" t="s">
        <v>2346</v>
      </c>
    </row>
    <row r="290" spans="1:17" x14ac:dyDescent="0.35">
      <c r="A290" s="23">
        <v>1004624</v>
      </c>
      <c r="B290" s="23">
        <v>1</v>
      </c>
      <c r="C290" s="23">
        <v>1004651</v>
      </c>
      <c r="D290" s="23" t="s">
        <v>1752</v>
      </c>
      <c r="E290" s="5">
        <v>15</v>
      </c>
      <c r="F290" s="23">
        <v>6</v>
      </c>
      <c r="G290" s="23">
        <v>0</v>
      </c>
      <c r="H290" s="23">
        <v>0</v>
      </c>
      <c r="I290" s="23" t="s">
        <v>24</v>
      </c>
      <c r="J290" s="23" t="s">
        <v>597</v>
      </c>
      <c r="K290" s="23" t="s">
        <v>1923</v>
      </c>
      <c r="L290" s="24">
        <v>45825</v>
      </c>
      <c r="M290" s="28">
        <v>1.0416666666666666E-2</v>
      </c>
      <c r="N290" s="3">
        <v>45817</v>
      </c>
      <c r="O290">
        <v>227779</v>
      </c>
      <c r="P290">
        <v>45</v>
      </c>
      <c r="Q290" s="23" t="s">
        <v>2347</v>
      </c>
    </row>
    <row r="291" spans="1:17" x14ac:dyDescent="0.35">
      <c r="A291" s="23">
        <v>1004624</v>
      </c>
      <c r="B291" s="23">
        <v>1</v>
      </c>
      <c r="C291" s="23">
        <v>1004664</v>
      </c>
      <c r="D291" s="23" t="s">
        <v>1751</v>
      </c>
      <c r="E291" s="5">
        <v>20</v>
      </c>
      <c r="F291" s="23">
        <v>6</v>
      </c>
      <c r="G291" s="23">
        <v>0</v>
      </c>
      <c r="H291" s="23">
        <v>0</v>
      </c>
      <c r="I291" s="23" t="s">
        <v>24</v>
      </c>
      <c r="J291" s="23" t="s">
        <v>597</v>
      </c>
      <c r="K291" s="23" t="s">
        <v>1923</v>
      </c>
      <c r="L291" s="24">
        <v>45825</v>
      </c>
      <c r="M291" s="28">
        <v>1.3888888888888888E-2</v>
      </c>
      <c r="N291" s="3">
        <v>45817</v>
      </c>
      <c r="O291">
        <v>227792</v>
      </c>
      <c r="P291">
        <v>45</v>
      </c>
      <c r="Q291" s="23" t="s">
        <v>2348</v>
      </c>
    </row>
    <row r="292" spans="1:17" x14ac:dyDescent="0.35">
      <c r="A292" s="23">
        <v>1004625</v>
      </c>
      <c r="B292" s="23">
        <v>1</v>
      </c>
      <c r="C292" s="23">
        <v>1004647</v>
      </c>
      <c r="D292" s="23" t="s">
        <v>1753</v>
      </c>
      <c r="E292" s="5">
        <v>15</v>
      </c>
      <c r="F292" s="23">
        <v>6</v>
      </c>
      <c r="G292" s="23">
        <v>0</v>
      </c>
      <c r="H292" s="23">
        <v>0</v>
      </c>
      <c r="I292" s="23" t="s">
        <v>24</v>
      </c>
      <c r="J292" s="23" t="s">
        <v>597</v>
      </c>
      <c r="K292" s="23" t="s">
        <v>1923</v>
      </c>
      <c r="L292" s="24">
        <v>45825</v>
      </c>
      <c r="M292" s="28">
        <v>1.0416666666666666E-2</v>
      </c>
      <c r="N292" s="3">
        <v>45817</v>
      </c>
      <c r="O292">
        <v>227775</v>
      </c>
      <c r="P292">
        <v>45</v>
      </c>
      <c r="Q292" s="23" t="s">
        <v>2349</v>
      </c>
    </row>
    <row r="293" spans="1:17" x14ac:dyDescent="0.35">
      <c r="A293" s="23">
        <v>1004625</v>
      </c>
      <c r="B293" s="23">
        <v>1</v>
      </c>
      <c r="C293" s="23">
        <v>1004664</v>
      </c>
      <c r="D293" s="23" t="s">
        <v>1751</v>
      </c>
      <c r="E293" s="5">
        <v>20</v>
      </c>
      <c r="F293" s="23">
        <v>6</v>
      </c>
      <c r="G293" s="23">
        <v>0</v>
      </c>
      <c r="H293" s="23">
        <v>0</v>
      </c>
      <c r="I293" s="23" t="s">
        <v>24</v>
      </c>
      <c r="J293" s="23" t="s">
        <v>597</v>
      </c>
      <c r="K293" s="23" t="s">
        <v>1923</v>
      </c>
      <c r="L293" s="23">
        <v>45825</v>
      </c>
      <c r="M293" s="28">
        <v>1.3888888888888888E-2</v>
      </c>
      <c r="N293" s="3">
        <v>45817</v>
      </c>
      <c r="O293">
        <v>227792</v>
      </c>
      <c r="P293">
        <v>45</v>
      </c>
      <c r="Q293" s="23" t="s">
        <v>2350</v>
      </c>
    </row>
    <row r="294" spans="1:17" x14ac:dyDescent="0.35">
      <c r="A294" s="23">
        <v>1004625</v>
      </c>
      <c r="B294" s="23">
        <v>1</v>
      </c>
      <c r="C294" s="23">
        <v>1004651</v>
      </c>
      <c r="D294" s="23" t="s">
        <v>1752</v>
      </c>
      <c r="E294" s="5">
        <v>15</v>
      </c>
      <c r="F294" s="23">
        <v>6</v>
      </c>
      <c r="G294" s="23">
        <v>0</v>
      </c>
      <c r="H294" s="23">
        <v>0</v>
      </c>
      <c r="I294" s="23" t="s">
        <v>24</v>
      </c>
      <c r="J294" s="23" t="s">
        <v>597</v>
      </c>
      <c r="K294" s="23" t="s">
        <v>1923</v>
      </c>
      <c r="L294" s="24">
        <v>45825</v>
      </c>
      <c r="M294" s="28">
        <v>1.0416666666666666E-2</v>
      </c>
      <c r="N294" s="3">
        <v>45817</v>
      </c>
      <c r="O294">
        <v>227779</v>
      </c>
      <c r="P294">
        <v>45</v>
      </c>
      <c r="Q294" s="23" t="s">
        <v>2351</v>
      </c>
    </row>
    <row r="295" spans="1:17" x14ac:dyDescent="0.35">
      <c r="A295" s="23">
        <v>1004626</v>
      </c>
      <c r="B295" s="23">
        <v>1</v>
      </c>
      <c r="C295" s="23">
        <v>1004664</v>
      </c>
      <c r="D295" s="23" t="s">
        <v>1751</v>
      </c>
      <c r="E295" s="5">
        <v>20</v>
      </c>
      <c r="F295" s="23">
        <v>6</v>
      </c>
      <c r="G295" s="23">
        <v>0</v>
      </c>
      <c r="H295" s="23">
        <v>0</v>
      </c>
      <c r="I295" s="23" t="s">
        <v>24</v>
      </c>
      <c r="J295" s="23" t="s">
        <v>597</v>
      </c>
      <c r="K295" s="23" t="s">
        <v>1923</v>
      </c>
      <c r="L295" s="24">
        <v>45825</v>
      </c>
      <c r="M295" s="28">
        <v>1.3888888888888888E-2</v>
      </c>
      <c r="N295" s="3">
        <v>45817</v>
      </c>
      <c r="O295">
        <v>227792</v>
      </c>
      <c r="P295">
        <v>45</v>
      </c>
      <c r="Q295" s="23" t="s">
        <v>2352</v>
      </c>
    </row>
    <row r="296" spans="1:17" x14ac:dyDescent="0.35">
      <c r="A296" s="23">
        <v>1004626</v>
      </c>
      <c r="B296" s="23">
        <v>1</v>
      </c>
      <c r="C296" s="23">
        <v>1004651</v>
      </c>
      <c r="D296" s="23" t="s">
        <v>1752</v>
      </c>
      <c r="E296" s="5">
        <v>15</v>
      </c>
      <c r="F296" s="23">
        <v>6</v>
      </c>
      <c r="G296" s="23">
        <v>0</v>
      </c>
      <c r="H296" s="23">
        <v>0</v>
      </c>
      <c r="I296" s="23" t="s">
        <v>24</v>
      </c>
      <c r="J296" s="23" t="s">
        <v>597</v>
      </c>
      <c r="K296" s="23" t="s">
        <v>1923</v>
      </c>
      <c r="L296" s="23">
        <v>45825</v>
      </c>
      <c r="M296" s="28">
        <v>1.0416666666666666E-2</v>
      </c>
      <c r="N296" s="3">
        <v>45817</v>
      </c>
      <c r="O296">
        <v>227779</v>
      </c>
      <c r="P296">
        <v>45</v>
      </c>
      <c r="Q296" s="23" t="s">
        <v>2353</v>
      </c>
    </row>
    <row r="297" spans="1:17" x14ac:dyDescent="0.35">
      <c r="A297" s="23">
        <v>1004626</v>
      </c>
      <c r="B297" s="23">
        <v>1</v>
      </c>
      <c r="C297" s="23">
        <v>1004647</v>
      </c>
      <c r="D297" s="23" t="s">
        <v>1753</v>
      </c>
      <c r="E297" s="5">
        <v>15</v>
      </c>
      <c r="F297" s="23">
        <v>6</v>
      </c>
      <c r="G297" s="23">
        <v>0</v>
      </c>
      <c r="H297" s="23">
        <v>0</v>
      </c>
      <c r="I297" s="23" t="s">
        <v>24</v>
      </c>
      <c r="J297" s="23" t="s">
        <v>597</v>
      </c>
      <c r="K297" s="23" t="s">
        <v>1923</v>
      </c>
      <c r="L297" s="24">
        <v>45825</v>
      </c>
      <c r="M297" s="28">
        <v>1.0416666666666666E-2</v>
      </c>
      <c r="N297" s="3">
        <v>45817</v>
      </c>
      <c r="O297">
        <v>227775</v>
      </c>
      <c r="P297">
        <v>45</v>
      </c>
      <c r="Q297" s="23" t="s">
        <v>2354</v>
      </c>
    </row>
    <row r="298" spans="1:17" x14ac:dyDescent="0.35">
      <c r="A298" s="23">
        <v>1004627</v>
      </c>
      <c r="B298" s="23">
        <v>1</v>
      </c>
      <c r="C298" s="23">
        <v>1004651</v>
      </c>
      <c r="D298" s="23" t="s">
        <v>1752</v>
      </c>
      <c r="E298" s="5">
        <v>15</v>
      </c>
      <c r="F298" s="23">
        <v>6</v>
      </c>
      <c r="G298" s="23">
        <v>0</v>
      </c>
      <c r="H298" s="23">
        <v>0</v>
      </c>
      <c r="I298" s="23" t="s">
        <v>24</v>
      </c>
      <c r="J298" s="23" t="s">
        <v>597</v>
      </c>
      <c r="K298" s="23" t="s">
        <v>1923</v>
      </c>
      <c r="L298" s="23">
        <v>45825</v>
      </c>
      <c r="M298" s="28">
        <v>1.0416666666666666E-2</v>
      </c>
      <c r="N298" s="3">
        <v>45817</v>
      </c>
      <c r="O298">
        <v>227779</v>
      </c>
      <c r="P298">
        <v>45</v>
      </c>
      <c r="Q298" s="23" t="s">
        <v>2355</v>
      </c>
    </row>
    <row r="299" spans="1:17" x14ac:dyDescent="0.35">
      <c r="A299" s="23">
        <v>1004627</v>
      </c>
      <c r="B299" s="23">
        <v>1</v>
      </c>
      <c r="C299" s="23">
        <v>1004647</v>
      </c>
      <c r="D299" s="23" t="s">
        <v>1753</v>
      </c>
      <c r="E299" s="5">
        <v>15</v>
      </c>
      <c r="F299" s="23">
        <v>6</v>
      </c>
      <c r="G299" s="23">
        <v>0</v>
      </c>
      <c r="H299" s="23">
        <v>0</v>
      </c>
      <c r="I299" s="23" t="s">
        <v>24</v>
      </c>
      <c r="J299" s="23" t="s">
        <v>597</v>
      </c>
      <c r="K299" s="23" t="s">
        <v>1923</v>
      </c>
      <c r="L299" s="24">
        <v>45825</v>
      </c>
      <c r="M299" s="28">
        <v>1.0416666666666666E-2</v>
      </c>
      <c r="N299" s="3">
        <v>45817</v>
      </c>
      <c r="O299">
        <v>227775</v>
      </c>
      <c r="P299">
        <v>45</v>
      </c>
      <c r="Q299" s="23" t="s">
        <v>2356</v>
      </c>
    </row>
    <row r="300" spans="1:17" x14ac:dyDescent="0.35">
      <c r="A300" s="23">
        <v>1004627</v>
      </c>
      <c r="B300" s="23">
        <v>1</v>
      </c>
      <c r="C300" s="23">
        <v>1004664</v>
      </c>
      <c r="D300" s="23" t="s">
        <v>1751</v>
      </c>
      <c r="E300" s="5">
        <v>20</v>
      </c>
      <c r="F300" s="23">
        <v>6</v>
      </c>
      <c r="G300" s="23">
        <v>0</v>
      </c>
      <c r="H300" s="23">
        <v>0</v>
      </c>
      <c r="I300" s="23" t="s">
        <v>24</v>
      </c>
      <c r="J300" s="23" t="s">
        <v>597</v>
      </c>
      <c r="K300" s="23" t="s">
        <v>1923</v>
      </c>
      <c r="L300" s="24">
        <v>45825</v>
      </c>
      <c r="M300" s="28">
        <v>1.3888888888888888E-2</v>
      </c>
      <c r="N300" s="3">
        <v>45817</v>
      </c>
      <c r="O300">
        <v>227792</v>
      </c>
      <c r="P300">
        <v>45</v>
      </c>
      <c r="Q300" s="23" t="s">
        <v>2357</v>
      </c>
    </row>
    <row r="301" spans="1:17" x14ac:dyDescent="0.35">
      <c r="A301" s="23">
        <v>1004628</v>
      </c>
      <c r="B301" s="23">
        <v>1</v>
      </c>
      <c r="C301" s="23">
        <v>1004647</v>
      </c>
      <c r="D301" s="23" t="s">
        <v>1753</v>
      </c>
      <c r="E301" s="5">
        <v>15</v>
      </c>
      <c r="F301" s="23">
        <v>6</v>
      </c>
      <c r="G301" s="23">
        <v>0</v>
      </c>
      <c r="H301" s="23">
        <v>0</v>
      </c>
      <c r="I301" s="23" t="s">
        <v>24</v>
      </c>
      <c r="J301" s="23" t="s">
        <v>597</v>
      </c>
      <c r="K301" s="23" t="s">
        <v>1923</v>
      </c>
      <c r="L301" s="23">
        <v>45825</v>
      </c>
      <c r="M301" s="28">
        <v>1.0416666666666666E-2</v>
      </c>
      <c r="N301" s="3">
        <v>45817</v>
      </c>
      <c r="O301">
        <v>227775</v>
      </c>
      <c r="P301">
        <v>45</v>
      </c>
      <c r="Q301" s="23" t="s">
        <v>2358</v>
      </c>
    </row>
    <row r="302" spans="1:17" x14ac:dyDescent="0.35">
      <c r="A302" s="23">
        <v>1004628</v>
      </c>
      <c r="B302" s="23">
        <v>1</v>
      </c>
      <c r="C302" s="23">
        <v>1004651</v>
      </c>
      <c r="D302" s="23" t="s">
        <v>1752</v>
      </c>
      <c r="E302" s="5">
        <v>15</v>
      </c>
      <c r="F302" s="23">
        <v>6</v>
      </c>
      <c r="G302" s="23">
        <v>0</v>
      </c>
      <c r="H302" s="23">
        <v>0</v>
      </c>
      <c r="I302" s="23" t="s">
        <v>24</v>
      </c>
      <c r="J302" s="23" t="s">
        <v>597</v>
      </c>
      <c r="K302" s="23" t="s">
        <v>1923</v>
      </c>
      <c r="L302" s="23">
        <v>45825</v>
      </c>
      <c r="M302" s="28">
        <v>1.0416666666666666E-2</v>
      </c>
      <c r="N302" s="3">
        <v>45817</v>
      </c>
      <c r="O302">
        <v>227779</v>
      </c>
      <c r="P302">
        <v>45</v>
      </c>
      <c r="Q302" s="23" t="s">
        <v>2359</v>
      </c>
    </row>
    <row r="303" spans="1:17" x14ac:dyDescent="0.35">
      <c r="A303" s="23">
        <v>1004628</v>
      </c>
      <c r="B303" s="23">
        <v>1</v>
      </c>
      <c r="C303" s="23">
        <v>1004664</v>
      </c>
      <c r="D303" s="23" t="s">
        <v>1751</v>
      </c>
      <c r="E303" s="5">
        <v>20</v>
      </c>
      <c r="F303" s="23">
        <v>6</v>
      </c>
      <c r="G303" s="23">
        <v>0</v>
      </c>
      <c r="H303" s="23">
        <v>0</v>
      </c>
      <c r="I303" s="23" t="s">
        <v>24</v>
      </c>
      <c r="J303" s="23" t="s">
        <v>597</v>
      </c>
      <c r="K303" s="23" t="s">
        <v>1923</v>
      </c>
      <c r="L303" s="24">
        <v>45825</v>
      </c>
      <c r="M303" s="28">
        <v>1.3888888888888888E-2</v>
      </c>
      <c r="N303" s="3">
        <v>45817</v>
      </c>
      <c r="O303">
        <v>227792</v>
      </c>
      <c r="P303">
        <v>45</v>
      </c>
      <c r="Q303" s="23" t="s">
        <v>2360</v>
      </c>
    </row>
    <row r="304" spans="1:17" x14ac:dyDescent="0.35">
      <c r="A304" s="23">
        <v>1004629</v>
      </c>
      <c r="B304" s="23">
        <v>1</v>
      </c>
      <c r="C304" s="23">
        <v>1004664</v>
      </c>
      <c r="D304" s="23" t="s">
        <v>1751</v>
      </c>
      <c r="E304" s="5">
        <v>20</v>
      </c>
      <c r="F304" s="23">
        <v>6</v>
      </c>
      <c r="G304" s="23">
        <v>0</v>
      </c>
      <c r="H304" s="23">
        <v>0</v>
      </c>
      <c r="I304" s="23" t="s">
        <v>24</v>
      </c>
      <c r="J304" s="23" t="s">
        <v>597</v>
      </c>
      <c r="K304" s="23" t="s">
        <v>1923</v>
      </c>
      <c r="L304" s="24">
        <v>45825</v>
      </c>
      <c r="M304" s="28">
        <v>1.3888888888888888E-2</v>
      </c>
      <c r="N304" s="3">
        <v>45817</v>
      </c>
      <c r="O304">
        <v>227792</v>
      </c>
      <c r="P304">
        <v>45</v>
      </c>
      <c r="Q304" s="23" t="s">
        <v>2361</v>
      </c>
    </row>
    <row r="305" spans="1:17" x14ac:dyDescent="0.35">
      <c r="A305" s="23">
        <v>1004629</v>
      </c>
      <c r="B305" s="23">
        <v>1</v>
      </c>
      <c r="C305" s="23">
        <v>1004651</v>
      </c>
      <c r="D305" s="23" t="s">
        <v>1752</v>
      </c>
      <c r="E305" s="5">
        <v>15</v>
      </c>
      <c r="F305" s="23">
        <v>6</v>
      </c>
      <c r="G305" s="23">
        <v>0</v>
      </c>
      <c r="H305" s="23">
        <v>0</v>
      </c>
      <c r="I305" s="23" t="s">
        <v>24</v>
      </c>
      <c r="J305" s="23" t="s">
        <v>597</v>
      </c>
      <c r="K305" s="23" t="s">
        <v>1923</v>
      </c>
      <c r="L305" s="24">
        <v>45825</v>
      </c>
      <c r="M305" s="28">
        <v>1.0416666666666666E-2</v>
      </c>
      <c r="N305" s="3">
        <v>45817</v>
      </c>
      <c r="O305">
        <v>227779</v>
      </c>
      <c r="P305">
        <v>45</v>
      </c>
      <c r="Q305" s="23" t="s">
        <v>2362</v>
      </c>
    </row>
    <row r="306" spans="1:17" x14ac:dyDescent="0.35">
      <c r="A306" s="23">
        <v>1004629</v>
      </c>
      <c r="B306" s="23">
        <v>1</v>
      </c>
      <c r="C306" s="23">
        <v>1004647</v>
      </c>
      <c r="D306" s="23" t="s">
        <v>1753</v>
      </c>
      <c r="E306" s="5">
        <v>15</v>
      </c>
      <c r="F306" s="23">
        <v>6</v>
      </c>
      <c r="G306" s="23">
        <v>0</v>
      </c>
      <c r="H306" s="23">
        <v>0</v>
      </c>
      <c r="I306" s="23" t="s">
        <v>24</v>
      </c>
      <c r="J306" s="23" t="s">
        <v>597</v>
      </c>
      <c r="K306" s="23" t="s">
        <v>1923</v>
      </c>
      <c r="L306" s="24">
        <v>45825</v>
      </c>
      <c r="M306" s="28">
        <v>1.0416666666666666E-2</v>
      </c>
      <c r="N306" s="3">
        <v>45817</v>
      </c>
      <c r="O306">
        <v>227775</v>
      </c>
      <c r="P306">
        <v>45</v>
      </c>
      <c r="Q306" s="23" t="s">
        <v>2363</v>
      </c>
    </row>
    <row r="307" spans="1:17" x14ac:dyDescent="0.35">
      <c r="A307" s="23">
        <v>1013747</v>
      </c>
      <c r="B307" s="23">
        <v>1</v>
      </c>
      <c r="C307" s="23">
        <v>1013778</v>
      </c>
      <c r="D307" s="23" t="s">
        <v>1799</v>
      </c>
      <c r="E307" s="5">
        <v>15</v>
      </c>
      <c r="F307" s="23">
        <v>1</v>
      </c>
      <c r="G307" s="23">
        <v>0</v>
      </c>
      <c r="H307" s="23">
        <v>0</v>
      </c>
      <c r="I307" s="23" t="s">
        <v>24</v>
      </c>
      <c r="J307" s="23" t="s">
        <v>597</v>
      </c>
      <c r="K307" s="23" t="s">
        <v>1924</v>
      </c>
      <c r="L307" s="23">
        <v>45828</v>
      </c>
      <c r="M307" s="28">
        <v>1.0416666666666666E-2</v>
      </c>
      <c r="N307" s="3">
        <v>45817</v>
      </c>
      <c r="O307">
        <v>178144</v>
      </c>
      <c r="P307">
        <v>45</v>
      </c>
      <c r="Q307" s="23" t="s">
        <v>2364</v>
      </c>
    </row>
    <row r="308" spans="1:17" x14ac:dyDescent="0.35">
      <c r="A308" s="23">
        <v>1013747</v>
      </c>
      <c r="B308" s="23">
        <v>1</v>
      </c>
      <c r="C308" s="23">
        <v>1022169</v>
      </c>
      <c r="D308" s="23" t="s">
        <v>1706</v>
      </c>
      <c r="E308" s="5">
        <v>25</v>
      </c>
      <c r="F308" s="23">
        <v>1</v>
      </c>
      <c r="G308" s="23">
        <v>0</v>
      </c>
      <c r="H308" s="23">
        <v>0</v>
      </c>
      <c r="I308" s="23" t="s">
        <v>24</v>
      </c>
      <c r="J308" s="23" t="s">
        <v>597</v>
      </c>
      <c r="K308" s="23" t="s">
        <v>1924</v>
      </c>
      <c r="L308" s="24">
        <v>45828</v>
      </c>
      <c r="M308" s="28">
        <v>1.7361111111111112E-2</v>
      </c>
      <c r="N308" s="3">
        <v>45817</v>
      </c>
      <c r="O308">
        <v>178161</v>
      </c>
      <c r="P308">
        <v>45</v>
      </c>
      <c r="Q308" s="23" t="s">
        <v>2365</v>
      </c>
    </row>
    <row r="309" spans="1:17" x14ac:dyDescent="0.35">
      <c r="A309" s="23">
        <v>1013895</v>
      </c>
      <c r="B309" s="23">
        <v>1</v>
      </c>
      <c r="C309" s="23">
        <v>1022170</v>
      </c>
      <c r="D309" s="23" t="s">
        <v>1706</v>
      </c>
      <c r="E309" s="5">
        <v>25</v>
      </c>
      <c r="F309" s="23">
        <v>1</v>
      </c>
      <c r="G309" s="23">
        <v>0</v>
      </c>
      <c r="H309" s="23">
        <v>0</v>
      </c>
      <c r="I309" s="23" t="s">
        <v>24</v>
      </c>
      <c r="J309" s="23" t="s">
        <v>597</v>
      </c>
      <c r="K309" s="23" t="s">
        <v>1925</v>
      </c>
      <c r="L309" s="23">
        <v>45831</v>
      </c>
      <c r="M309" s="28">
        <v>1.7361111111111112E-2</v>
      </c>
      <c r="N309" s="3">
        <v>45817</v>
      </c>
      <c r="O309">
        <v>178161</v>
      </c>
      <c r="P309">
        <v>45</v>
      </c>
      <c r="Q309" s="23" t="s">
        <v>2366</v>
      </c>
    </row>
    <row r="310" spans="1:17" x14ac:dyDescent="0.35">
      <c r="A310" s="23">
        <v>1013895</v>
      </c>
      <c r="B310" s="23">
        <v>1</v>
      </c>
      <c r="C310" s="23">
        <v>1013926</v>
      </c>
      <c r="D310" s="23" t="s">
        <v>1799</v>
      </c>
      <c r="E310" s="5">
        <v>15</v>
      </c>
      <c r="F310" s="23">
        <v>1</v>
      </c>
      <c r="G310" s="23">
        <v>0</v>
      </c>
      <c r="H310" s="23">
        <v>0</v>
      </c>
      <c r="I310" s="23" t="s">
        <v>24</v>
      </c>
      <c r="J310" s="23" t="s">
        <v>597</v>
      </c>
      <c r="K310" s="23" t="s">
        <v>1925</v>
      </c>
      <c r="L310" s="24">
        <v>45831</v>
      </c>
      <c r="M310" s="28">
        <v>1.0416666666666666E-2</v>
      </c>
      <c r="N310" s="3">
        <v>45817</v>
      </c>
      <c r="O310">
        <v>178144</v>
      </c>
      <c r="P310">
        <v>45</v>
      </c>
      <c r="Q310" s="23" t="s">
        <v>2367</v>
      </c>
    </row>
    <row r="311" spans="1:17" x14ac:dyDescent="0.35">
      <c r="A311" s="23">
        <v>1017815</v>
      </c>
      <c r="B311" s="23">
        <v>1</v>
      </c>
      <c r="C311" s="23">
        <v>1017911</v>
      </c>
      <c r="D311" s="23" t="s">
        <v>453</v>
      </c>
      <c r="E311" s="5">
        <v>30</v>
      </c>
      <c r="F311" s="23">
        <v>1</v>
      </c>
      <c r="G311" s="23">
        <v>0</v>
      </c>
      <c r="H311" s="23">
        <v>0</v>
      </c>
      <c r="I311" s="23" t="s">
        <v>24</v>
      </c>
      <c r="J311" s="23" t="s">
        <v>597</v>
      </c>
      <c r="K311" s="23" t="s">
        <v>1926</v>
      </c>
      <c r="L311" s="24">
        <v>45835</v>
      </c>
      <c r="M311" s="28">
        <v>2.0833333333333332E-2</v>
      </c>
      <c r="N311" s="3">
        <v>45817</v>
      </c>
      <c r="O311">
        <v>175904</v>
      </c>
      <c r="P311">
        <v>45</v>
      </c>
      <c r="Q311" s="23" t="s">
        <v>2368</v>
      </c>
    </row>
    <row r="312" spans="1:17" x14ac:dyDescent="0.35">
      <c r="A312" s="23">
        <v>1017815</v>
      </c>
      <c r="B312" s="23">
        <v>1</v>
      </c>
      <c r="C312" s="23">
        <v>1017905</v>
      </c>
      <c r="D312" s="23" t="s">
        <v>1888</v>
      </c>
      <c r="E312" s="5">
        <v>25</v>
      </c>
      <c r="F312" s="23">
        <v>1</v>
      </c>
      <c r="G312" s="23">
        <v>0</v>
      </c>
      <c r="H312" s="23">
        <v>0</v>
      </c>
      <c r="I312" s="23" t="s">
        <v>24</v>
      </c>
      <c r="J312" s="23" t="s">
        <v>597</v>
      </c>
      <c r="K312" s="23" t="s">
        <v>1926</v>
      </c>
      <c r="L312" s="23">
        <v>45835</v>
      </c>
      <c r="M312" s="28">
        <v>1.7361111111111112E-2</v>
      </c>
      <c r="N312" s="3">
        <v>45817</v>
      </c>
      <c r="O312">
        <v>175898</v>
      </c>
      <c r="P312">
        <v>45</v>
      </c>
      <c r="Q312" s="23" t="s">
        <v>2369</v>
      </c>
    </row>
    <row r="313" spans="1:17" x14ac:dyDescent="0.35">
      <c r="A313" s="23">
        <v>1017815</v>
      </c>
      <c r="B313" s="23">
        <v>1</v>
      </c>
      <c r="C313" s="23">
        <v>1017836</v>
      </c>
      <c r="D313" s="23" t="s">
        <v>451</v>
      </c>
      <c r="E313" s="5">
        <v>15</v>
      </c>
      <c r="F313" s="23">
        <v>1</v>
      </c>
      <c r="G313" s="23">
        <v>0</v>
      </c>
      <c r="H313" s="23">
        <v>0</v>
      </c>
      <c r="I313" s="23" t="s">
        <v>24</v>
      </c>
      <c r="J313" s="23" t="s">
        <v>597</v>
      </c>
      <c r="K313" s="23" t="s">
        <v>1926</v>
      </c>
      <c r="L313" s="23">
        <v>45835</v>
      </c>
      <c r="M313" s="28">
        <v>1.0416666666666666E-2</v>
      </c>
      <c r="N313" s="3">
        <v>45817</v>
      </c>
      <c r="O313">
        <v>175819</v>
      </c>
      <c r="P313">
        <v>45</v>
      </c>
      <c r="Q313" s="23" t="s">
        <v>2370</v>
      </c>
    </row>
    <row r="314" spans="1:17" x14ac:dyDescent="0.35">
      <c r="A314" s="23">
        <v>1017815</v>
      </c>
      <c r="B314" s="23">
        <v>1</v>
      </c>
      <c r="C314" s="23">
        <v>1017908</v>
      </c>
      <c r="D314" s="23" t="s">
        <v>452</v>
      </c>
      <c r="E314" s="5">
        <v>10</v>
      </c>
      <c r="F314" s="23">
        <v>1</v>
      </c>
      <c r="G314" s="23">
        <v>0</v>
      </c>
      <c r="H314" s="23">
        <v>0</v>
      </c>
      <c r="I314" s="23" t="s">
        <v>24</v>
      </c>
      <c r="J314" s="23" t="s">
        <v>597</v>
      </c>
      <c r="K314" s="23" t="s">
        <v>1926</v>
      </c>
      <c r="L314" s="24">
        <v>45835</v>
      </c>
      <c r="M314" s="28">
        <v>6.9444444444444441E-3</v>
      </c>
      <c r="N314" s="3">
        <v>45817</v>
      </c>
      <c r="O314">
        <v>175901</v>
      </c>
      <c r="P314">
        <v>45</v>
      </c>
      <c r="Q314" s="23" t="s">
        <v>2371</v>
      </c>
    </row>
    <row r="315" spans="1:17" x14ac:dyDescent="0.35">
      <c r="A315" s="23">
        <v>1017950</v>
      </c>
      <c r="B315" s="23">
        <v>1</v>
      </c>
      <c r="C315" s="23">
        <v>1017971</v>
      </c>
      <c r="D315" s="23" t="s">
        <v>451</v>
      </c>
      <c r="E315" s="5">
        <v>15</v>
      </c>
      <c r="F315" s="23">
        <v>1</v>
      </c>
      <c r="G315" s="23">
        <v>0</v>
      </c>
      <c r="H315" s="23">
        <v>0</v>
      </c>
      <c r="I315" s="23" t="s">
        <v>24</v>
      </c>
      <c r="J315" s="23" t="s">
        <v>597</v>
      </c>
      <c r="K315" s="23" t="s">
        <v>1927</v>
      </c>
      <c r="L315" s="23">
        <v>45835</v>
      </c>
      <c r="M315" s="28">
        <v>1.0416666666666666E-2</v>
      </c>
      <c r="N315" s="3">
        <v>45817</v>
      </c>
      <c r="O315">
        <v>175819</v>
      </c>
      <c r="P315">
        <v>45</v>
      </c>
      <c r="Q315" s="23" t="s">
        <v>2372</v>
      </c>
    </row>
    <row r="316" spans="1:17" x14ac:dyDescent="0.35">
      <c r="A316" s="23">
        <v>1017950</v>
      </c>
      <c r="B316" s="23">
        <v>1</v>
      </c>
      <c r="C316" s="23">
        <v>1018040</v>
      </c>
      <c r="D316" s="23" t="s">
        <v>1888</v>
      </c>
      <c r="E316" s="5">
        <v>25</v>
      </c>
      <c r="F316" s="23">
        <v>1</v>
      </c>
      <c r="G316" s="23">
        <v>0</v>
      </c>
      <c r="H316" s="23">
        <v>0</v>
      </c>
      <c r="I316" s="23" t="s">
        <v>24</v>
      </c>
      <c r="J316" s="23" t="s">
        <v>597</v>
      </c>
      <c r="K316" s="23" t="s">
        <v>1927</v>
      </c>
      <c r="L316" s="24">
        <v>45835</v>
      </c>
      <c r="M316" s="28">
        <v>1.7361111111111112E-2</v>
      </c>
      <c r="N316" s="3">
        <v>45817</v>
      </c>
      <c r="O316">
        <v>175898</v>
      </c>
      <c r="P316">
        <v>45</v>
      </c>
      <c r="Q316" s="23" t="s">
        <v>2373</v>
      </c>
    </row>
    <row r="317" spans="1:17" x14ac:dyDescent="0.35">
      <c r="A317" s="23">
        <v>1017950</v>
      </c>
      <c r="B317" s="23">
        <v>1</v>
      </c>
      <c r="C317" s="23">
        <v>1018046</v>
      </c>
      <c r="D317" s="23" t="s">
        <v>453</v>
      </c>
      <c r="E317" s="5">
        <v>30</v>
      </c>
      <c r="F317" s="23">
        <v>1</v>
      </c>
      <c r="G317" s="23">
        <v>0</v>
      </c>
      <c r="H317" s="23">
        <v>0</v>
      </c>
      <c r="I317" s="23" t="s">
        <v>24</v>
      </c>
      <c r="J317" s="23" t="s">
        <v>597</v>
      </c>
      <c r="K317" s="23" t="s">
        <v>1927</v>
      </c>
      <c r="L317" s="23">
        <v>45835</v>
      </c>
      <c r="M317" s="28">
        <v>2.0833333333333332E-2</v>
      </c>
      <c r="N317" s="3">
        <v>45817</v>
      </c>
      <c r="O317">
        <v>175904</v>
      </c>
      <c r="P317">
        <v>45</v>
      </c>
      <c r="Q317" s="23" t="s">
        <v>2374</v>
      </c>
    </row>
    <row r="318" spans="1:17" x14ac:dyDescent="0.35">
      <c r="A318" s="23">
        <v>1018870</v>
      </c>
      <c r="B318" s="23">
        <v>1</v>
      </c>
      <c r="C318" s="23">
        <v>1018864</v>
      </c>
      <c r="D318" s="23" t="s">
        <v>583</v>
      </c>
      <c r="E318" s="5">
        <v>10</v>
      </c>
      <c r="F318" s="23">
        <v>1</v>
      </c>
      <c r="G318" s="23">
        <v>0</v>
      </c>
      <c r="H318" s="23">
        <v>0</v>
      </c>
      <c r="I318" s="23" t="s">
        <v>24</v>
      </c>
      <c r="J318" s="23" t="s">
        <v>597</v>
      </c>
      <c r="K318" s="23" t="s">
        <v>1928</v>
      </c>
      <c r="L318" s="24">
        <v>45820</v>
      </c>
      <c r="M318" s="28">
        <v>6.9444444444444441E-3</v>
      </c>
      <c r="N318" s="3">
        <v>45817</v>
      </c>
      <c r="O318">
        <v>160884</v>
      </c>
      <c r="P318">
        <v>45</v>
      </c>
      <c r="Q318" s="23" t="s">
        <v>2375</v>
      </c>
    </row>
    <row r="319" spans="1:17" x14ac:dyDescent="0.35">
      <c r="A319" s="23">
        <v>1018870</v>
      </c>
      <c r="B319" s="23">
        <v>1</v>
      </c>
      <c r="C319" s="23">
        <v>1018863</v>
      </c>
      <c r="D319" s="23" t="s">
        <v>1929</v>
      </c>
      <c r="E319" s="5">
        <v>10</v>
      </c>
      <c r="F319" s="23">
        <v>1</v>
      </c>
      <c r="G319" s="23">
        <v>0</v>
      </c>
      <c r="H319" s="23">
        <v>0</v>
      </c>
      <c r="I319" s="23" t="s">
        <v>24</v>
      </c>
      <c r="J319" s="23" t="s">
        <v>597</v>
      </c>
      <c r="K319" s="23" t="s">
        <v>1928</v>
      </c>
      <c r="L319" s="24">
        <v>45820</v>
      </c>
      <c r="M319" s="28">
        <v>6.9444444444444441E-3</v>
      </c>
      <c r="N319" s="3">
        <v>45817</v>
      </c>
      <c r="O319">
        <v>160883</v>
      </c>
      <c r="P319">
        <v>45</v>
      </c>
      <c r="Q319" s="23" t="s">
        <v>2376</v>
      </c>
    </row>
    <row r="320" spans="1:17" x14ac:dyDescent="0.35">
      <c r="A320" s="23">
        <v>1018899</v>
      </c>
      <c r="B320" s="23">
        <v>1</v>
      </c>
      <c r="C320" s="23">
        <v>1018892</v>
      </c>
      <c r="D320" s="23" t="s">
        <v>1929</v>
      </c>
      <c r="E320" s="5">
        <v>10</v>
      </c>
      <c r="F320" s="23">
        <v>1</v>
      </c>
      <c r="G320" s="23">
        <v>0</v>
      </c>
      <c r="H320" s="23">
        <v>0</v>
      </c>
      <c r="I320" s="23" t="s">
        <v>24</v>
      </c>
      <c r="J320" s="23" t="s">
        <v>597</v>
      </c>
      <c r="K320" s="23" t="s">
        <v>1930</v>
      </c>
      <c r="L320" s="24">
        <v>45820</v>
      </c>
      <c r="M320" s="28">
        <v>6.9444444444444441E-3</v>
      </c>
      <c r="N320" s="3">
        <v>45817</v>
      </c>
      <c r="O320">
        <v>160883</v>
      </c>
      <c r="P320">
        <v>45</v>
      </c>
      <c r="Q320" s="23" t="s">
        <v>2377</v>
      </c>
    </row>
    <row r="321" spans="1:17" x14ac:dyDescent="0.35">
      <c r="A321" s="23">
        <v>1018899</v>
      </c>
      <c r="B321" s="23">
        <v>1</v>
      </c>
      <c r="C321" s="23">
        <v>1018893</v>
      </c>
      <c r="D321" s="23" t="s">
        <v>583</v>
      </c>
      <c r="E321" s="5">
        <v>10</v>
      </c>
      <c r="F321" s="23">
        <v>1</v>
      </c>
      <c r="G321" s="23">
        <v>0</v>
      </c>
      <c r="H321" s="23">
        <v>0</v>
      </c>
      <c r="I321" s="23" t="s">
        <v>24</v>
      </c>
      <c r="J321" s="23" t="s">
        <v>597</v>
      </c>
      <c r="K321" s="23" t="s">
        <v>1930</v>
      </c>
      <c r="L321" s="23">
        <v>45820</v>
      </c>
      <c r="M321" s="28">
        <v>6.9444444444444441E-3</v>
      </c>
      <c r="N321" s="3">
        <v>45817</v>
      </c>
      <c r="O321">
        <v>160884</v>
      </c>
      <c r="P321">
        <v>45</v>
      </c>
      <c r="Q321" s="23" t="s">
        <v>2378</v>
      </c>
    </row>
    <row r="322" spans="1:17" x14ac:dyDescent="0.35">
      <c r="A322" s="23">
        <v>1018928</v>
      </c>
      <c r="B322" s="23">
        <v>1</v>
      </c>
      <c r="C322" s="23">
        <v>1018922</v>
      </c>
      <c r="D322" s="23" t="s">
        <v>583</v>
      </c>
      <c r="E322" s="5">
        <v>10</v>
      </c>
      <c r="F322" s="23">
        <v>1</v>
      </c>
      <c r="G322" s="23">
        <v>0</v>
      </c>
      <c r="H322" s="23">
        <v>0</v>
      </c>
      <c r="I322" s="23" t="s">
        <v>24</v>
      </c>
      <c r="J322" s="23" t="s">
        <v>597</v>
      </c>
      <c r="K322" s="23" t="s">
        <v>1931</v>
      </c>
      <c r="L322" s="24">
        <v>45824</v>
      </c>
      <c r="M322" s="28">
        <v>6.9444444444444441E-3</v>
      </c>
      <c r="N322" s="3">
        <v>45817</v>
      </c>
      <c r="O322">
        <v>160884</v>
      </c>
      <c r="P322">
        <v>45</v>
      </c>
      <c r="Q322" s="23" t="s">
        <v>2379</v>
      </c>
    </row>
    <row r="323" spans="1:17" x14ac:dyDescent="0.35">
      <c r="A323" s="23">
        <v>1018928</v>
      </c>
      <c r="B323" s="23">
        <v>1</v>
      </c>
      <c r="C323" s="23">
        <v>1018921</v>
      </c>
      <c r="D323" s="23" t="s">
        <v>1929</v>
      </c>
      <c r="E323" s="5">
        <v>10</v>
      </c>
      <c r="F323" s="23">
        <v>1</v>
      </c>
      <c r="G323" s="23">
        <v>0</v>
      </c>
      <c r="H323" s="23">
        <v>0</v>
      </c>
      <c r="I323" s="23" t="s">
        <v>24</v>
      </c>
      <c r="J323" s="23" t="s">
        <v>597</v>
      </c>
      <c r="K323" s="23" t="s">
        <v>1931</v>
      </c>
      <c r="L323" s="24">
        <v>45824</v>
      </c>
      <c r="M323" s="28">
        <v>6.9444444444444441E-3</v>
      </c>
      <c r="N323" s="3">
        <v>45817</v>
      </c>
      <c r="O323">
        <v>160883</v>
      </c>
      <c r="P323">
        <v>45</v>
      </c>
      <c r="Q323" s="23" t="s">
        <v>2380</v>
      </c>
    </row>
    <row r="324" spans="1:17" x14ac:dyDescent="0.35">
      <c r="A324" s="23">
        <v>1019337</v>
      </c>
      <c r="B324" s="23">
        <v>4</v>
      </c>
      <c r="C324" s="23">
        <v>1019339</v>
      </c>
      <c r="D324" s="23" t="s">
        <v>1932</v>
      </c>
      <c r="E324" s="5">
        <v>40</v>
      </c>
      <c r="F324" s="23">
        <v>4</v>
      </c>
      <c r="G324" s="23">
        <v>0</v>
      </c>
      <c r="H324" s="23">
        <v>0</v>
      </c>
      <c r="I324" s="23" t="s">
        <v>24</v>
      </c>
      <c r="J324" s="23" t="s">
        <v>597</v>
      </c>
      <c r="K324" s="23" t="s">
        <v>1933</v>
      </c>
      <c r="L324" s="23">
        <v>45839</v>
      </c>
      <c r="M324" s="28">
        <v>2.7777777777777776E-2</v>
      </c>
      <c r="N324" s="3">
        <v>45817</v>
      </c>
      <c r="O324">
        <v>118355</v>
      </c>
      <c r="P324">
        <v>45</v>
      </c>
      <c r="Q324" s="23" t="s">
        <v>2381</v>
      </c>
    </row>
    <row r="325" spans="1:17" x14ac:dyDescent="0.35">
      <c r="A325" s="23">
        <v>1019337</v>
      </c>
      <c r="B325" s="23">
        <v>4</v>
      </c>
      <c r="C325" s="23">
        <v>1019340</v>
      </c>
      <c r="D325" s="23" t="s">
        <v>1934</v>
      </c>
      <c r="E325" s="5">
        <v>80</v>
      </c>
      <c r="F325" s="23">
        <v>4</v>
      </c>
      <c r="G325" s="23">
        <v>0</v>
      </c>
      <c r="H325" s="23">
        <v>0</v>
      </c>
      <c r="I325" s="23" t="s">
        <v>24</v>
      </c>
      <c r="J325" s="23" t="s">
        <v>597</v>
      </c>
      <c r="K325" s="23" t="s">
        <v>1933</v>
      </c>
      <c r="L325" s="23">
        <v>45839</v>
      </c>
      <c r="M325" s="28">
        <v>5.5555555555555552E-2</v>
      </c>
      <c r="N325" s="3">
        <v>45817</v>
      </c>
      <c r="O325">
        <v>118356</v>
      </c>
      <c r="P325">
        <v>45</v>
      </c>
      <c r="Q325" s="23" t="s">
        <v>2382</v>
      </c>
    </row>
    <row r="326" spans="1:17" x14ac:dyDescent="0.35">
      <c r="A326" s="23">
        <v>1019337</v>
      </c>
      <c r="B326" s="23">
        <v>4</v>
      </c>
      <c r="C326" s="23">
        <v>1019356</v>
      </c>
      <c r="D326" s="23" t="s">
        <v>1935</v>
      </c>
      <c r="E326" s="5">
        <v>40</v>
      </c>
      <c r="F326" s="23">
        <v>4</v>
      </c>
      <c r="G326" s="23">
        <v>0</v>
      </c>
      <c r="H326" s="23">
        <v>0</v>
      </c>
      <c r="I326" s="23" t="s">
        <v>24</v>
      </c>
      <c r="J326" s="23" t="s">
        <v>597</v>
      </c>
      <c r="K326" s="23" t="s">
        <v>1933</v>
      </c>
      <c r="L326" s="23">
        <v>45839</v>
      </c>
      <c r="M326" s="28">
        <v>2.7777777777777776E-2</v>
      </c>
      <c r="N326" s="3">
        <v>45817</v>
      </c>
      <c r="O326">
        <v>118641</v>
      </c>
      <c r="P326">
        <v>45</v>
      </c>
      <c r="Q326" s="23" t="s">
        <v>2383</v>
      </c>
    </row>
    <row r="327" spans="1:17" x14ac:dyDescent="0.35">
      <c r="A327" s="23">
        <v>1019362</v>
      </c>
      <c r="B327" s="23">
        <v>2</v>
      </c>
      <c r="C327" s="23">
        <v>1019367</v>
      </c>
      <c r="D327" s="23" t="s">
        <v>1660</v>
      </c>
      <c r="E327" s="5">
        <v>30</v>
      </c>
      <c r="F327" s="23">
        <v>2</v>
      </c>
      <c r="G327" s="23">
        <v>0</v>
      </c>
      <c r="H327" s="23">
        <v>0</v>
      </c>
      <c r="I327" s="23" t="s">
        <v>24</v>
      </c>
      <c r="J327" s="23" t="s">
        <v>597</v>
      </c>
      <c r="K327" s="23" t="s">
        <v>1936</v>
      </c>
      <c r="L327" s="23">
        <v>45839</v>
      </c>
      <c r="M327" s="28">
        <v>2.0833333333333332E-2</v>
      </c>
      <c r="N327" s="3">
        <v>45817</v>
      </c>
      <c r="O327">
        <v>135508</v>
      </c>
      <c r="P327">
        <v>45</v>
      </c>
      <c r="Q327" s="23" t="s">
        <v>2384</v>
      </c>
    </row>
    <row r="328" spans="1:17" x14ac:dyDescent="0.35">
      <c r="A328" s="23">
        <v>1019362</v>
      </c>
      <c r="B328" s="23">
        <v>2</v>
      </c>
      <c r="C328" s="23">
        <v>1019374</v>
      </c>
      <c r="D328" s="23" t="s">
        <v>1658</v>
      </c>
      <c r="E328" s="5">
        <v>10</v>
      </c>
      <c r="F328" s="23">
        <v>2</v>
      </c>
      <c r="G328" s="23">
        <v>0</v>
      </c>
      <c r="H328" s="23">
        <v>0</v>
      </c>
      <c r="I328" s="23" t="s">
        <v>24</v>
      </c>
      <c r="J328" s="23" t="s">
        <v>597</v>
      </c>
      <c r="K328" s="23" t="s">
        <v>1936</v>
      </c>
      <c r="L328" s="24">
        <v>45839</v>
      </c>
      <c r="M328" s="28">
        <v>6.9444444444444441E-3</v>
      </c>
      <c r="N328" s="3">
        <v>45817</v>
      </c>
      <c r="O328">
        <v>135515</v>
      </c>
      <c r="P328">
        <v>45</v>
      </c>
      <c r="Q328" s="23" t="s">
        <v>2385</v>
      </c>
    </row>
    <row r="329" spans="1:17" x14ac:dyDescent="0.35">
      <c r="A329" s="23">
        <v>1019362</v>
      </c>
      <c r="B329" s="23">
        <v>2</v>
      </c>
      <c r="C329" s="23">
        <v>1019366</v>
      </c>
      <c r="D329" s="23" t="s">
        <v>1659</v>
      </c>
      <c r="E329" s="5">
        <v>60</v>
      </c>
      <c r="F329" s="23">
        <v>2</v>
      </c>
      <c r="G329" s="23">
        <v>0</v>
      </c>
      <c r="H329" s="23">
        <v>0</v>
      </c>
      <c r="I329" s="23" t="s">
        <v>24</v>
      </c>
      <c r="J329" s="23" t="s">
        <v>597</v>
      </c>
      <c r="K329" s="23" t="s">
        <v>1936</v>
      </c>
      <c r="L329" s="24">
        <v>45839</v>
      </c>
      <c r="M329" s="28">
        <v>4.1666666666666664E-2</v>
      </c>
      <c r="N329" s="3">
        <v>45817</v>
      </c>
      <c r="O329">
        <v>135507</v>
      </c>
      <c r="P329">
        <v>45</v>
      </c>
      <c r="Q329" s="23" t="s">
        <v>2386</v>
      </c>
    </row>
    <row r="330" spans="1:17" x14ac:dyDescent="0.35">
      <c r="A330" s="23">
        <v>1020126</v>
      </c>
      <c r="B330" s="23">
        <v>1</v>
      </c>
      <c r="C330" s="23">
        <v>1020128</v>
      </c>
      <c r="D330" s="23" t="s">
        <v>611</v>
      </c>
      <c r="E330" s="5">
        <v>15</v>
      </c>
      <c r="F330" s="23">
        <v>2</v>
      </c>
      <c r="G330" s="23">
        <v>0</v>
      </c>
      <c r="H330" s="23">
        <v>0</v>
      </c>
      <c r="I330" s="23" t="s">
        <v>24</v>
      </c>
      <c r="J330" s="23" t="s">
        <v>597</v>
      </c>
      <c r="K330" s="23" t="s">
        <v>1937</v>
      </c>
      <c r="L330" s="23">
        <v>45838</v>
      </c>
      <c r="M330" s="28">
        <v>1.0416666666666666E-2</v>
      </c>
      <c r="N330" s="3">
        <v>45817</v>
      </c>
      <c r="O330">
        <v>182176</v>
      </c>
      <c r="P330">
        <v>45</v>
      </c>
      <c r="Q330" s="23" t="s">
        <v>2387</v>
      </c>
    </row>
    <row r="331" spans="1:17" x14ac:dyDescent="0.35">
      <c r="A331" s="23">
        <v>1020126</v>
      </c>
      <c r="B331" s="23">
        <v>1</v>
      </c>
      <c r="C331" s="23">
        <v>1020135</v>
      </c>
      <c r="D331" s="23" t="s">
        <v>1765</v>
      </c>
      <c r="E331" s="5">
        <v>13</v>
      </c>
      <c r="F331" s="23">
        <v>2</v>
      </c>
      <c r="G331" s="23">
        <v>0</v>
      </c>
      <c r="H331" s="23">
        <v>0</v>
      </c>
      <c r="I331" s="23" t="s">
        <v>24</v>
      </c>
      <c r="J331" s="23" t="s">
        <v>597</v>
      </c>
      <c r="K331" s="23" t="s">
        <v>1937</v>
      </c>
      <c r="L331" s="24">
        <v>45838</v>
      </c>
      <c r="M331" s="28">
        <v>9.0277777777777769E-3</v>
      </c>
      <c r="N331" s="3">
        <v>45817</v>
      </c>
      <c r="O331">
        <v>182183</v>
      </c>
      <c r="P331">
        <v>45</v>
      </c>
      <c r="Q331" s="23" t="s">
        <v>2388</v>
      </c>
    </row>
    <row r="332" spans="1:17" x14ac:dyDescent="0.35">
      <c r="A332" s="23">
        <v>1020126</v>
      </c>
      <c r="B332" s="23">
        <v>1</v>
      </c>
      <c r="C332" s="23">
        <v>1020136</v>
      </c>
      <c r="D332" s="23" t="s">
        <v>1764</v>
      </c>
      <c r="E332" s="5">
        <v>15</v>
      </c>
      <c r="F332" s="23">
        <v>2</v>
      </c>
      <c r="G332" s="23">
        <v>0</v>
      </c>
      <c r="H332" s="23">
        <v>0</v>
      </c>
      <c r="I332" s="23" t="s">
        <v>24</v>
      </c>
      <c r="J332" s="23" t="s">
        <v>597</v>
      </c>
      <c r="K332" s="23" t="s">
        <v>1937</v>
      </c>
      <c r="L332" s="23">
        <v>45838</v>
      </c>
      <c r="M332" s="28">
        <v>1.0416666666666666E-2</v>
      </c>
      <c r="N332" s="3">
        <v>45817</v>
      </c>
      <c r="O332">
        <v>182184</v>
      </c>
      <c r="P332">
        <v>45</v>
      </c>
      <c r="Q332" s="23" t="s">
        <v>2389</v>
      </c>
    </row>
    <row r="333" spans="1:17" x14ac:dyDescent="0.35">
      <c r="A333" s="23">
        <v>1020126</v>
      </c>
      <c r="B333" s="23">
        <v>1</v>
      </c>
      <c r="C333" s="23">
        <v>1020133</v>
      </c>
      <c r="D333" s="23" t="s">
        <v>1762</v>
      </c>
      <c r="E333" s="5">
        <v>15</v>
      </c>
      <c r="F333" s="23">
        <v>2</v>
      </c>
      <c r="G333" s="23">
        <v>0</v>
      </c>
      <c r="H333" s="23">
        <v>0</v>
      </c>
      <c r="I333" s="23" t="s">
        <v>24</v>
      </c>
      <c r="J333" s="23" t="s">
        <v>597</v>
      </c>
      <c r="K333" s="23" t="s">
        <v>1937</v>
      </c>
      <c r="L333" s="24">
        <v>45838</v>
      </c>
      <c r="M333" s="28">
        <v>1.0416666666666666E-2</v>
      </c>
      <c r="N333" s="3">
        <v>45817</v>
      </c>
      <c r="O333">
        <v>182181</v>
      </c>
      <c r="P333">
        <v>45</v>
      </c>
      <c r="Q333" s="23" t="s">
        <v>2390</v>
      </c>
    </row>
    <row r="334" spans="1:17" x14ac:dyDescent="0.35">
      <c r="A334" s="23">
        <v>1020126</v>
      </c>
      <c r="B334" s="23">
        <v>1</v>
      </c>
      <c r="C334" s="23">
        <v>1020134</v>
      </c>
      <c r="D334" s="23" t="s">
        <v>1763</v>
      </c>
      <c r="E334" s="5">
        <v>15</v>
      </c>
      <c r="F334" s="23">
        <v>2</v>
      </c>
      <c r="G334" s="23">
        <v>0</v>
      </c>
      <c r="H334" s="23">
        <v>0</v>
      </c>
      <c r="I334" s="23" t="s">
        <v>24</v>
      </c>
      <c r="J334" s="23" t="s">
        <v>597</v>
      </c>
      <c r="K334" s="23" t="s">
        <v>1937</v>
      </c>
      <c r="L334" s="23">
        <v>45838</v>
      </c>
      <c r="M334" s="28">
        <v>1.0416666666666666E-2</v>
      </c>
      <c r="N334" s="3">
        <v>45817</v>
      </c>
      <c r="O334">
        <v>182182</v>
      </c>
      <c r="P334">
        <v>45</v>
      </c>
      <c r="Q334" s="23" t="s">
        <v>2391</v>
      </c>
    </row>
    <row r="335" spans="1:17" x14ac:dyDescent="0.35">
      <c r="A335" s="23">
        <v>1020127</v>
      </c>
      <c r="B335" s="23">
        <v>1</v>
      </c>
      <c r="C335" s="23">
        <v>1020128</v>
      </c>
      <c r="D335" s="23" t="s">
        <v>611</v>
      </c>
      <c r="E335" s="5">
        <v>15</v>
      </c>
      <c r="F335" s="23">
        <v>2</v>
      </c>
      <c r="G335" s="23">
        <v>0</v>
      </c>
      <c r="H335" s="23">
        <v>0</v>
      </c>
      <c r="I335" s="23" t="s">
        <v>24</v>
      </c>
      <c r="J335" s="23" t="s">
        <v>597</v>
      </c>
      <c r="K335" s="23" t="s">
        <v>1937</v>
      </c>
      <c r="L335" s="24">
        <v>45838</v>
      </c>
      <c r="M335" s="28">
        <v>1.0416666666666666E-2</v>
      </c>
      <c r="N335" s="3">
        <v>45817</v>
      </c>
      <c r="O335">
        <v>182176</v>
      </c>
      <c r="P335">
        <v>45</v>
      </c>
      <c r="Q335" s="23" t="s">
        <v>2392</v>
      </c>
    </row>
    <row r="336" spans="1:17" x14ac:dyDescent="0.35">
      <c r="A336" s="23">
        <v>1020127</v>
      </c>
      <c r="B336" s="23">
        <v>1</v>
      </c>
      <c r="C336" s="23">
        <v>1020133</v>
      </c>
      <c r="D336" s="23" t="s">
        <v>1762</v>
      </c>
      <c r="E336" s="5">
        <v>15</v>
      </c>
      <c r="F336" s="23">
        <v>2</v>
      </c>
      <c r="G336" s="23">
        <v>0</v>
      </c>
      <c r="H336" s="23">
        <v>0</v>
      </c>
      <c r="I336" s="23" t="s">
        <v>24</v>
      </c>
      <c r="J336" s="23" t="s">
        <v>597</v>
      </c>
      <c r="K336" s="23" t="s">
        <v>1937</v>
      </c>
      <c r="L336" s="24">
        <v>45838</v>
      </c>
      <c r="M336" s="28">
        <v>1.0416666666666666E-2</v>
      </c>
      <c r="N336" s="3">
        <v>45817</v>
      </c>
      <c r="O336">
        <v>182181</v>
      </c>
      <c r="P336">
        <v>45</v>
      </c>
      <c r="Q336" s="23" t="s">
        <v>2393</v>
      </c>
    </row>
    <row r="337" spans="1:17" x14ac:dyDescent="0.35">
      <c r="A337" s="23">
        <v>1020127</v>
      </c>
      <c r="B337" s="23">
        <v>1</v>
      </c>
      <c r="C337" s="23">
        <v>1020134</v>
      </c>
      <c r="D337" s="23" t="s">
        <v>1763</v>
      </c>
      <c r="E337" s="5">
        <v>15</v>
      </c>
      <c r="F337" s="23">
        <v>2</v>
      </c>
      <c r="G337" s="23">
        <v>0</v>
      </c>
      <c r="H337" s="23">
        <v>0</v>
      </c>
      <c r="I337" s="23" t="s">
        <v>24</v>
      </c>
      <c r="J337" s="23" t="s">
        <v>597</v>
      </c>
      <c r="K337" s="23" t="s">
        <v>1937</v>
      </c>
      <c r="L337" s="24">
        <v>45838</v>
      </c>
      <c r="M337" s="28">
        <v>1.0416666666666666E-2</v>
      </c>
      <c r="N337" s="3">
        <v>45817</v>
      </c>
      <c r="O337">
        <v>182182</v>
      </c>
      <c r="P337">
        <v>45</v>
      </c>
      <c r="Q337" s="23" t="s">
        <v>2394</v>
      </c>
    </row>
    <row r="338" spans="1:17" x14ac:dyDescent="0.35">
      <c r="A338" s="23">
        <v>1020127</v>
      </c>
      <c r="B338" s="23">
        <v>1</v>
      </c>
      <c r="C338" s="23">
        <v>1020135</v>
      </c>
      <c r="D338" s="23" t="s">
        <v>1765</v>
      </c>
      <c r="E338" s="5">
        <v>13</v>
      </c>
      <c r="F338" s="23">
        <v>2</v>
      </c>
      <c r="G338" s="23">
        <v>0</v>
      </c>
      <c r="H338" s="23">
        <v>0</v>
      </c>
      <c r="I338" s="23" t="s">
        <v>24</v>
      </c>
      <c r="J338" s="23" t="s">
        <v>597</v>
      </c>
      <c r="K338" s="23" t="s">
        <v>1937</v>
      </c>
      <c r="L338" s="24">
        <v>45838</v>
      </c>
      <c r="M338" s="28">
        <v>9.0277777777777769E-3</v>
      </c>
      <c r="N338" s="3">
        <v>45817</v>
      </c>
      <c r="O338">
        <v>182183</v>
      </c>
      <c r="P338">
        <v>45</v>
      </c>
      <c r="Q338" s="23" t="s">
        <v>2395</v>
      </c>
    </row>
    <row r="339" spans="1:17" x14ac:dyDescent="0.35">
      <c r="A339" s="23">
        <v>1020127</v>
      </c>
      <c r="B339" s="23">
        <v>1</v>
      </c>
      <c r="C339" s="23">
        <v>1020136</v>
      </c>
      <c r="D339" s="23" t="s">
        <v>1764</v>
      </c>
      <c r="E339" s="5">
        <v>15</v>
      </c>
      <c r="F339" s="23">
        <v>2</v>
      </c>
      <c r="G339" s="23">
        <v>0</v>
      </c>
      <c r="H339" s="23">
        <v>0</v>
      </c>
      <c r="I339" s="23" t="s">
        <v>24</v>
      </c>
      <c r="J339" s="23" t="s">
        <v>597</v>
      </c>
      <c r="K339" s="23" t="s">
        <v>1937</v>
      </c>
      <c r="L339" s="24">
        <v>45838</v>
      </c>
      <c r="M339" s="28">
        <v>1.0416666666666666E-2</v>
      </c>
      <c r="N339" s="3">
        <v>45817</v>
      </c>
      <c r="O339">
        <v>182184</v>
      </c>
      <c r="P339">
        <v>45</v>
      </c>
      <c r="Q339" s="23" t="s">
        <v>2396</v>
      </c>
    </row>
    <row r="340" spans="1:17" x14ac:dyDescent="0.35">
      <c r="A340" s="23">
        <v>1020159</v>
      </c>
      <c r="B340" s="23">
        <v>1</v>
      </c>
      <c r="C340" s="23">
        <v>1020163</v>
      </c>
      <c r="D340" s="23" t="s">
        <v>1082</v>
      </c>
      <c r="E340" s="5">
        <v>75</v>
      </c>
      <c r="F340" s="23">
        <v>4</v>
      </c>
      <c r="G340" s="23">
        <v>0</v>
      </c>
      <c r="H340" s="23">
        <v>0</v>
      </c>
      <c r="I340" s="23" t="s">
        <v>24</v>
      </c>
      <c r="J340" s="23" t="s">
        <v>597</v>
      </c>
      <c r="K340" s="23" t="s">
        <v>1938</v>
      </c>
      <c r="L340" s="24">
        <v>45838</v>
      </c>
      <c r="M340" s="28">
        <v>5.2083333333333336E-2</v>
      </c>
      <c r="N340" s="3">
        <v>45817</v>
      </c>
      <c r="O340">
        <v>166301</v>
      </c>
      <c r="P340">
        <v>45</v>
      </c>
      <c r="Q340" s="23" t="s">
        <v>2397</v>
      </c>
    </row>
    <row r="341" spans="1:17" x14ac:dyDescent="0.35">
      <c r="A341" s="23">
        <v>1020159</v>
      </c>
      <c r="B341" s="23">
        <v>1</v>
      </c>
      <c r="C341" s="23">
        <v>1020164</v>
      </c>
      <c r="D341" s="23" t="s">
        <v>669</v>
      </c>
      <c r="E341" s="5">
        <v>90</v>
      </c>
      <c r="F341" s="23">
        <v>4</v>
      </c>
      <c r="G341" s="23">
        <v>0</v>
      </c>
      <c r="H341" s="23">
        <v>0</v>
      </c>
      <c r="I341" s="23" t="s">
        <v>24</v>
      </c>
      <c r="J341" s="23" t="s">
        <v>597</v>
      </c>
      <c r="K341" s="23" t="s">
        <v>1938</v>
      </c>
      <c r="L341" s="24">
        <v>45838</v>
      </c>
      <c r="M341" s="28">
        <v>6.25E-2</v>
      </c>
      <c r="N341" s="3">
        <v>45817</v>
      </c>
      <c r="O341">
        <v>166302</v>
      </c>
      <c r="P341">
        <v>45</v>
      </c>
      <c r="Q341" s="23" t="s">
        <v>2398</v>
      </c>
    </row>
    <row r="342" spans="1:17" x14ac:dyDescent="0.35">
      <c r="A342" s="23">
        <v>1020159</v>
      </c>
      <c r="B342" s="23">
        <v>1</v>
      </c>
      <c r="C342" s="23">
        <v>1020165</v>
      </c>
      <c r="D342" s="23" t="s">
        <v>450</v>
      </c>
      <c r="E342" s="5">
        <v>360</v>
      </c>
      <c r="F342" s="23">
        <v>4</v>
      </c>
      <c r="G342" s="23">
        <v>1</v>
      </c>
      <c r="H342" s="23">
        <v>360</v>
      </c>
      <c r="I342" s="23" t="s">
        <v>24</v>
      </c>
      <c r="J342" s="23" t="s">
        <v>597</v>
      </c>
      <c r="K342" s="23" t="s">
        <v>1938</v>
      </c>
      <c r="L342" s="24">
        <v>45838</v>
      </c>
      <c r="M342" s="28">
        <v>0.25</v>
      </c>
      <c r="N342" s="3">
        <v>45817</v>
      </c>
      <c r="O342">
        <v>166303</v>
      </c>
      <c r="P342">
        <v>45</v>
      </c>
      <c r="Q342" s="23" t="s">
        <v>2399</v>
      </c>
    </row>
    <row r="343" spans="1:17" x14ac:dyDescent="0.35">
      <c r="A343" s="23">
        <v>1020160</v>
      </c>
      <c r="B343" s="23">
        <v>1</v>
      </c>
      <c r="C343" s="23">
        <v>1020165</v>
      </c>
      <c r="D343" s="23" t="s">
        <v>450</v>
      </c>
      <c r="E343" s="5">
        <v>360</v>
      </c>
      <c r="F343" s="23">
        <v>4</v>
      </c>
      <c r="G343" s="23">
        <v>1</v>
      </c>
      <c r="H343" s="23">
        <v>360</v>
      </c>
      <c r="I343" s="23" t="s">
        <v>24</v>
      </c>
      <c r="J343" s="23" t="s">
        <v>597</v>
      </c>
      <c r="K343" s="23" t="s">
        <v>1938</v>
      </c>
      <c r="L343" s="23">
        <v>45838</v>
      </c>
      <c r="M343" s="28">
        <v>0.25</v>
      </c>
      <c r="N343" s="3">
        <v>45817</v>
      </c>
      <c r="O343">
        <v>166303</v>
      </c>
      <c r="P343">
        <v>45</v>
      </c>
      <c r="Q343" s="23" t="s">
        <v>2400</v>
      </c>
    </row>
    <row r="344" spans="1:17" x14ac:dyDescent="0.35">
      <c r="A344" s="23">
        <v>1020160</v>
      </c>
      <c r="B344" s="23">
        <v>1</v>
      </c>
      <c r="C344" s="23">
        <v>1020164</v>
      </c>
      <c r="D344" s="23" t="s">
        <v>669</v>
      </c>
      <c r="E344" s="5">
        <v>90</v>
      </c>
      <c r="F344" s="23">
        <v>4</v>
      </c>
      <c r="G344" s="23">
        <v>0</v>
      </c>
      <c r="H344" s="23">
        <v>0</v>
      </c>
      <c r="I344" s="23" t="s">
        <v>24</v>
      </c>
      <c r="J344" s="23" t="s">
        <v>597</v>
      </c>
      <c r="K344" s="23" t="s">
        <v>1938</v>
      </c>
      <c r="L344" s="23">
        <v>45838</v>
      </c>
      <c r="M344" s="28">
        <v>6.25E-2</v>
      </c>
      <c r="N344" s="3">
        <v>45817</v>
      </c>
      <c r="O344">
        <v>166302</v>
      </c>
      <c r="P344">
        <v>45</v>
      </c>
      <c r="Q344" s="23" t="s">
        <v>2401</v>
      </c>
    </row>
    <row r="345" spans="1:17" x14ac:dyDescent="0.35">
      <c r="A345" s="23">
        <v>1020160</v>
      </c>
      <c r="B345" s="23">
        <v>1</v>
      </c>
      <c r="C345" s="23">
        <v>1020163</v>
      </c>
      <c r="D345" s="23" t="s">
        <v>1082</v>
      </c>
      <c r="E345" s="5">
        <v>75</v>
      </c>
      <c r="F345" s="23">
        <v>4</v>
      </c>
      <c r="G345" s="23">
        <v>0</v>
      </c>
      <c r="H345" s="23">
        <v>0</v>
      </c>
      <c r="I345" s="23" t="s">
        <v>24</v>
      </c>
      <c r="J345" s="23" t="s">
        <v>597</v>
      </c>
      <c r="K345" s="23" t="s">
        <v>1938</v>
      </c>
      <c r="L345" s="24">
        <v>45838</v>
      </c>
      <c r="M345" s="28">
        <v>5.2083333333333336E-2</v>
      </c>
      <c r="N345" s="3">
        <v>45817</v>
      </c>
      <c r="O345">
        <v>166301</v>
      </c>
      <c r="P345">
        <v>45</v>
      </c>
      <c r="Q345" s="23" t="s">
        <v>2402</v>
      </c>
    </row>
    <row r="346" spans="1:17" x14ac:dyDescent="0.35">
      <c r="A346" s="23">
        <v>1020161</v>
      </c>
      <c r="B346" s="23">
        <v>1</v>
      </c>
      <c r="C346" s="23">
        <v>1020163</v>
      </c>
      <c r="D346" s="23" t="s">
        <v>1082</v>
      </c>
      <c r="E346" s="5">
        <v>75</v>
      </c>
      <c r="F346" s="23">
        <v>4</v>
      </c>
      <c r="G346" s="23">
        <v>0</v>
      </c>
      <c r="H346" s="23">
        <v>0</v>
      </c>
      <c r="I346" s="23" t="s">
        <v>24</v>
      </c>
      <c r="J346" s="23" t="s">
        <v>597</v>
      </c>
      <c r="K346" s="23" t="s">
        <v>1938</v>
      </c>
      <c r="L346" s="23">
        <v>45838</v>
      </c>
      <c r="M346" s="28">
        <v>5.2083333333333336E-2</v>
      </c>
      <c r="N346" s="3">
        <v>45817</v>
      </c>
      <c r="O346">
        <v>166301</v>
      </c>
      <c r="P346">
        <v>45</v>
      </c>
      <c r="Q346" s="23" t="s">
        <v>2403</v>
      </c>
    </row>
    <row r="347" spans="1:17" x14ac:dyDescent="0.35">
      <c r="A347" s="23">
        <v>1020161</v>
      </c>
      <c r="B347" s="23">
        <v>1</v>
      </c>
      <c r="C347" s="23">
        <v>1020164</v>
      </c>
      <c r="D347" s="23" t="s">
        <v>669</v>
      </c>
      <c r="E347" s="5">
        <v>90</v>
      </c>
      <c r="F347" s="23">
        <v>4</v>
      </c>
      <c r="G347" s="23">
        <v>0</v>
      </c>
      <c r="H347" s="23">
        <v>0</v>
      </c>
      <c r="I347" s="23" t="s">
        <v>24</v>
      </c>
      <c r="J347" s="23" t="s">
        <v>597</v>
      </c>
      <c r="K347" s="23" t="s">
        <v>1938</v>
      </c>
      <c r="L347" s="24">
        <v>45838</v>
      </c>
      <c r="M347" s="28">
        <v>6.25E-2</v>
      </c>
      <c r="N347" s="3">
        <v>45817</v>
      </c>
      <c r="O347">
        <v>166302</v>
      </c>
      <c r="P347">
        <v>45</v>
      </c>
      <c r="Q347" s="23" t="s">
        <v>2404</v>
      </c>
    </row>
    <row r="348" spans="1:17" x14ac:dyDescent="0.35">
      <c r="A348" s="23">
        <v>1020161</v>
      </c>
      <c r="B348" s="23">
        <v>1</v>
      </c>
      <c r="C348" s="23">
        <v>1020165</v>
      </c>
      <c r="D348" s="23" t="s">
        <v>450</v>
      </c>
      <c r="E348" s="5">
        <v>360</v>
      </c>
      <c r="F348" s="23">
        <v>4</v>
      </c>
      <c r="G348" s="23">
        <v>1</v>
      </c>
      <c r="H348" s="23">
        <v>360</v>
      </c>
      <c r="I348" s="23" t="s">
        <v>24</v>
      </c>
      <c r="J348" s="23" t="s">
        <v>597</v>
      </c>
      <c r="K348" s="23" t="s">
        <v>1938</v>
      </c>
      <c r="L348" s="24">
        <v>45838</v>
      </c>
      <c r="M348" s="28">
        <v>0.25</v>
      </c>
      <c r="N348" s="3">
        <v>45817</v>
      </c>
      <c r="O348">
        <v>166303</v>
      </c>
      <c r="P348">
        <v>45</v>
      </c>
      <c r="Q348" s="23" t="s">
        <v>2405</v>
      </c>
    </row>
    <row r="349" spans="1:17" x14ac:dyDescent="0.35">
      <c r="A349" s="23">
        <v>1020162</v>
      </c>
      <c r="B349" s="23">
        <v>1</v>
      </c>
      <c r="C349" s="23">
        <v>1020164</v>
      </c>
      <c r="D349" s="23" t="s">
        <v>669</v>
      </c>
      <c r="E349" s="5">
        <v>90</v>
      </c>
      <c r="F349" s="23">
        <v>4</v>
      </c>
      <c r="G349" s="23">
        <v>0</v>
      </c>
      <c r="H349" s="23">
        <v>0</v>
      </c>
      <c r="I349" s="23" t="s">
        <v>24</v>
      </c>
      <c r="J349" s="23" t="s">
        <v>597</v>
      </c>
      <c r="K349" s="23" t="s">
        <v>1938</v>
      </c>
      <c r="L349" s="24">
        <v>45838</v>
      </c>
      <c r="M349" s="28">
        <v>6.25E-2</v>
      </c>
      <c r="N349" s="3">
        <v>45817</v>
      </c>
      <c r="O349">
        <v>166302</v>
      </c>
      <c r="P349">
        <v>45</v>
      </c>
      <c r="Q349" s="23" t="s">
        <v>2406</v>
      </c>
    </row>
    <row r="350" spans="1:17" x14ac:dyDescent="0.35">
      <c r="A350" s="23">
        <v>1020162</v>
      </c>
      <c r="B350" s="23">
        <v>1</v>
      </c>
      <c r="C350" s="23">
        <v>1020163</v>
      </c>
      <c r="D350" s="23" t="s">
        <v>1082</v>
      </c>
      <c r="E350" s="5">
        <v>75</v>
      </c>
      <c r="F350" s="23">
        <v>4</v>
      </c>
      <c r="G350" s="23">
        <v>0</v>
      </c>
      <c r="H350" s="23">
        <v>0</v>
      </c>
      <c r="I350" s="23" t="s">
        <v>24</v>
      </c>
      <c r="J350" s="23" t="s">
        <v>597</v>
      </c>
      <c r="K350" s="23" t="s">
        <v>1938</v>
      </c>
      <c r="L350" s="24">
        <v>45838</v>
      </c>
      <c r="M350" s="28">
        <v>5.2083333333333336E-2</v>
      </c>
      <c r="N350" s="3">
        <v>45817</v>
      </c>
      <c r="O350">
        <v>166301</v>
      </c>
      <c r="P350">
        <v>45</v>
      </c>
      <c r="Q350" s="23" t="s">
        <v>2407</v>
      </c>
    </row>
    <row r="351" spans="1:17" x14ac:dyDescent="0.35">
      <c r="A351" s="23">
        <v>1020162</v>
      </c>
      <c r="B351" s="23">
        <v>1</v>
      </c>
      <c r="C351" s="23">
        <v>1020165</v>
      </c>
      <c r="D351" s="23" t="s">
        <v>450</v>
      </c>
      <c r="E351" s="5">
        <v>360</v>
      </c>
      <c r="F351" s="23">
        <v>4</v>
      </c>
      <c r="G351" s="23">
        <v>1</v>
      </c>
      <c r="H351" s="23">
        <v>360</v>
      </c>
      <c r="I351" s="23" t="s">
        <v>24</v>
      </c>
      <c r="J351" s="23" t="s">
        <v>597</v>
      </c>
      <c r="K351" s="23" t="s">
        <v>1938</v>
      </c>
      <c r="L351" s="24">
        <v>45838</v>
      </c>
      <c r="M351" s="28">
        <v>0.25</v>
      </c>
      <c r="N351" s="3">
        <v>45817</v>
      </c>
      <c r="O351">
        <v>166303</v>
      </c>
      <c r="P351">
        <v>45</v>
      </c>
      <c r="Q351" s="23" t="s">
        <v>2408</v>
      </c>
    </row>
    <row r="352" spans="1:17" x14ac:dyDescent="0.35">
      <c r="A352" s="23">
        <v>1020412</v>
      </c>
      <c r="B352" s="23">
        <v>1</v>
      </c>
      <c r="C352" s="23">
        <v>1020458</v>
      </c>
      <c r="D352" s="23" t="s">
        <v>1766</v>
      </c>
      <c r="E352" s="5">
        <v>30</v>
      </c>
      <c r="F352" s="23">
        <v>1</v>
      </c>
      <c r="G352" s="23">
        <v>0</v>
      </c>
      <c r="H352" s="23">
        <v>0</v>
      </c>
      <c r="I352" s="23" t="s">
        <v>24</v>
      </c>
      <c r="J352" s="23" t="s">
        <v>597</v>
      </c>
      <c r="K352" s="23" t="s">
        <v>1939</v>
      </c>
      <c r="L352" s="24">
        <v>45838</v>
      </c>
      <c r="M352" s="28">
        <v>2.0833333333333332E-2</v>
      </c>
      <c r="N352" s="3">
        <v>45817</v>
      </c>
      <c r="O352">
        <v>151168</v>
      </c>
      <c r="P352">
        <v>45</v>
      </c>
      <c r="Q352" s="23" t="s">
        <v>2409</v>
      </c>
    </row>
    <row r="353" spans="1:17" x14ac:dyDescent="0.35">
      <c r="A353" s="23">
        <v>1020412</v>
      </c>
      <c r="B353" s="23">
        <v>1</v>
      </c>
      <c r="C353" s="23">
        <v>1020457</v>
      </c>
      <c r="D353" s="23" t="s">
        <v>1767</v>
      </c>
      <c r="E353" s="5">
        <v>30</v>
      </c>
      <c r="F353" s="23">
        <v>1</v>
      </c>
      <c r="G353" s="23">
        <v>0</v>
      </c>
      <c r="H353" s="23">
        <v>0</v>
      </c>
      <c r="I353" s="23" t="s">
        <v>24</v>
      </c>
      <c r="J353" s="23" t="s">
        <v>597</v>
      </c>
      <c r="K353" s="23" t="s">
        <v>1939</v>
      </c>
      <c r="L353" s="24">
        <v>45838</v>
      </c>
      <c r="M353" s="28">
        <v>2.0833333333333332E-2</v>
      </c>
      <c r="N353" s="3">
        <v>45817</v>
      </c>
      <c r="O353">
        <v>151167</v>
      </c>
      <c r="P353">
        <v>45</v>
      </c>
      <c r="Q353" s="23" t="s">
        <v>2410</v>
      </c>
    </row>
    <row r="354" spans="1:17" x14ac:dyDescent="0.35">
      <c r="A354" s="23">
        <v>1021433</v>
      </c>
      <c r="B354" s="23">
        <v>1</v>
      </c>
      <c r="C354" s="23">
        <v>1021438</v>
      </c>
      <c r="D354" s="23" t="s">
        <v>1940</v>
      </c>
      <c r="E354" s="5">
        <v>30</v>
      </c>
      <c r="F354" s="23">
        <v>2</v>
      </c>
      <c r="G354" s="23">
        <v>0</v>
      </c>
      <c r="H354" s="23">
        <v>0</v>
      </c>
      <c r="I354" s="23" t="s">
        <v>24</v>
      </c>
      <c r="J354" s="23" t="s">
        <v>597</v>
      </c>
      <c r="K354" s="23" t="s">
        <v>1941</v>
      </c>
      <c r="L354" s="24">
        <v>45832</v>
      </c>
      <c r="M354" s="28">
        <v>2.0833333333333332E-2</v>
      </c>
      <c r="N354" s="3">
        <v>45817</v>
      </c>
      <c r="O354">
        <v>231551</v>
      </c>
      <c r="P354">
        <v>45</v>
      </c>
      <c r="Q354" s="23" t="s">
        <v>2411</v>
      </c>
    </row>
    <row r="355" spans="1:17" x14ac:dyDescent="0.35">
      <c r="A355" s="23">
        <v>1021433</v>
      </c>
      <c r="B355" s="23">
        <v>1</v>
      </c>
      <c r="C355" s="23">
        <v>1021439</v>
      </c>
      <c r="D355" s="23" t="s">
        <v>1942</v>
      </c>
      <c r="E355" s="5">
        <v>30</v>
      </c>
      <c r="F355" s="23">
        <v>1</v>
      </c>
      <c r="G355" s="23">
        <v>0</v>
      </c>
      <c r="H355" s="23">
        <v>0</v>
      </c>
      <c r="I355" s="23" t="s">
        <v>24</v>
      </c>
      <c r="J355" s="23" t="s">
        <v>597</v>
      </c>
      <c r="K355" s="23" t="s">
        <v>1941</v>
      </c>
      <c r="L355" s="23">
        <v>45832</v>
      </c>
      <c r="M355" s="28">
        <v>2.0833333333333332E-2</v>
      </c>
      <c r="N355" s="3">
        <v>45817</v>
      </c>
      <c r="O355">
        <v>231552</v>
      </c>
      <c r="P355">
        <v>45</v>
      </c>
      <c r="Q355" s="23" t="s">
        <v>2412</v>
      </c>
    </row>
    <row r="356" spans="1:17" x14ac:dyDescent="0.35">
      <c r="A356" s="23">
        <v>1021441</v>
      </c>
      <c r="B356" s="23">
        <v>1</v>
      </c>
      <c r="C356" s="23">
        <v>1021446</v>
      </c>
      <c r="D356" s="23" t="s">
        <v>1943</v>
      </c>
      <c r="E356" s="5">
        <v>30</v>
      </c>
      <c r="F356" s="23">
        <v>2</v>
      </c>
      <c r="G356" s="23">
        <v>0</v>
      </c>
      <c r="H356" s="23">
        <v>0</v>
      </c>
      <c r="I356" s="23" t="s">
        <v>24</v>
      </c>
      <c r="J356" s="23" t="s">
        <v>597</v>
      </c>
      <c r="K356" s="23" t="s">
        <v>1944</v>
      </c>
      <c r="L356" s="24">
        <v>45832</v>
      </c>
      <c r="M356" s="28">
        <v>2.0833333333333332E-2</v>
      </c>
      <c r="N356" s="3">
        <v>45817</v>
      </c>
      <c r="O356">
        <v>231559</v>
      </c>
      <c r="P356">
        <v>45</v>
      </c>
      <c r="Q356" s="23" t="s">
        <v>2413</v>
      </c>
    </row>
    <row r="357" spans="1:17" x14ac:dyDescent="0.35">
      <c r="A357" s="23">
        <v>1021441</v>
      </c>
      <c r="B357" s="23">
        <v>1</v>
      </c>
      <c r="C357" s="23">
        <v>1021447</v>
      </c>
      <c r="D357" s="23" t="s">
        <v>1945</v>
      </c>
      <c r="E357" s="5">
        <v>30</v>
      </c>
      <c r="F357" s="23">
        <v>1</v>
      </c>
      <c r="G357" s="23">
        <v>0</v>
      </c>
      <c r="H357" s="23">
        <v>0</v>
      </c>
      <c r="I357" s="23" t="s">
        <v>24</v>
      </c>
      <c r="J357" s="23" t="s">
        <v>597</v>
      </c>
      <c r="K357" s="23" t="s">
        <v>1944</v>
      </c>
      <c r="L357" s="23">
        <v>45832</v>
      </c>
      <c r="M357" s="28">
        <v>2.0833333333333332E-2</v>
      </c>
      <c r="N357" s="3">
        <v>45817</v>
      </c>
      <c r="O357">
        <v>231560</v>
      </c>
      <c r="P357">
        <v>45</v>
      </c>
      <c r="Q357" s="23" t="s">
        <v>2414</v>
      </c>
    </row>
    <row r="358" spans="1:17" x14ac:dyDescent="0.35">
      <c r="A358" s="23">
        <v>1021990</v>
      </c>
      <c r="B358" s="23">
        <v>1</v>
      </c>
      <c r="C358" s="23">
        <v>1021910</v>
      </c>
      <c r="D358" s="23" t="s">
        <v>1612</v>
      </c>
      <c r="E358" s="5">
        <v>20</v>
      </c>
      <c r="F358" s="23">
        <v>6</v>
      </c>
      <c r="G358" s="23">
        <v>0</v>
      </c>
      <c r="H358" s="23">
        <v>0</v>
      </c>
      <c r="I358" s="23" t="s">
        <v>24</v>
      </c>
      <c r="J358" s="23" t="s">
        <v>597</v>
      </c>
      <c r="K358" s="23" t="s">
        <v>1946</v>
      </c>
      <c r="L358" s="24">
        <v>45820</v>
      </c>
      <c r="M358" s="28">
        <v>1.3888888888888888E-2</v>
      </c>
      <c r="N358" s="3">
        <v>45817</v>
      </c>
      <c r="O358">
        <v>215459</v>
      </c>
      <c r="P358">
        <v>45</v>
      </c>
      <c r="Q358" s="23" t="s">
        <v>2415</v>
      </c>
    </row>
    <row r="359" spans="1:17" x14ac:dyDescent="0.35">
      <c r="A359" s="23">
        <v>1021990</v>
      </c>
      <c r="B359" s="23">
        <v>1</v>
      </c>
      <c r="C359" s="23">
        <v>1021911</v>
      </c>
      <c r="D359" s="23" t="s">
        <v>1623</v>
      </c>
      <c r="E359" s="5">
        <v>30</v>
      </c>
      <c r="F359" s="23">
        <v>6</v>
      </c>
      <c r="G359" s="23">
        <v>0</v>
      </c>
      <c r="H359" s="23">
        <v>0</v>
      </c>
      <c r="I359" s="23" t="s">
        <v>24</v>
      </c>
      <c r="J359" s="23" t="s">
        <v>597</v>
      </c>
      <c r="K359" s="23" t="s">
        <v>1946</v>
      </c>
      <c r="L359" s="24">
        <v>45820</v>
      </c>
      <c r="M359" s="28">
        <v>2.0833333333333332E-2</v>
      </c>
      <c r="N359" s="3">
        <v>45817</v>
      </c>
      <c r="O359">
        <v>215460</v>
      </c>
      <c r="P359">
        <v>45</v>
      </c>
      <c r="Q359" s="23" t="s">
        <v>2416</v>
      </c>
    </row>
    <row r="360" spans="1:17" x14ac:dyDescent="0.35">
      <c r="A360" s="23">
        <v>1021990</v>
      </c>
      <c r="B360" s="23">
        <v>1</v>
      </c>
      <c r="C360" s="23">
        <v>1021953</v>
      </c>
      <c r="D360" s="23" t="s">
        <v>1710</v>
      </c>
      <c r="E360" s="5">
        <v>15</v>
      </c>
      <c r="F360" s="23">
        <v>6</v>
      </c>
      <c r="G360" s="23">
        <v>0</v>
      </c>
      <c r="H360" s="23">
        <v>0</v>
      </c>
      <c r="I360" s="23" t="s">
        <v>24</v>
      </c>
      <c r="J360" s="23" t="s">
        <v>597</v>
      </c>
      <c r="K360" s="23" t="s">
        <v>1946</v>
      </c>
      <c r="L360" s="23">
        <v>45820</v>
      </c>
      <c r="M360" s="28">
        <v>1.0416666666666666E-2</v>
      </c>
      <c r="N360" s="3">
        <v>45817</v>
      </c>
      <c r="O360">
        <v>215507</v>
      </c>
      <c r="P360">
        <v>45</v>
      </c>
      <c r="Q360" s="23" t="s">
        <v>2417</v>
      </c>
    </row>
    <row r="361" spans="1:17" x14ac:dyDescent="0.35">
      <c r="A361" s="23">
        <v>1021991</v>
      </c>
      <c r="B361" s="23">
        <v>1</v>
      </c>
      <c r="C361" s="23">
        <v>1021911</v>
      </c>
      <c r="D361" s="23" t="s">
        <v>1623</v>
      </c>
      <c r="E361" s="5">
        <v>30</v>
      </c>
      <c r="F361" s="23">
        <v>6</v>
      </c>
      <c r="G361" s="23">
        <v>0</v>
      </c>
      <c r="H361" s="23">
        <v>0</v>
      </c>
      <c r="I361" s="23" t="s">
        <v>24</v>
      </c>
      <c r="J361" s="23" t="s">
        <v>597</v>
      </c>
      <c r="K361" s="23" t="s">
        <v>1946</v>
      </c>
      <c r="L361" s="24">
        <v>45820</v>
      </c>
      <c r="M361" s="28">
        <v>2.0833333333333332E-2</v>
      </c>
      <c r="N361" s="3">
        <v>45817</v>
      </c>
      <c r="O361">
        <v>215460</v>
      </c>
      <c r="P361">
        <v>45</v>
      </c>
      <c r="Q361" s="23" t="s">
        <v>2418</v>
      </c>
    </row>
    <row r="362" spans="1:17" x14ac:dyDescent="0.35">
      <c r="A362" s="23">
        <v>1021991</v>
      </c>
      <c r="B362" s="23">
        <v>1</v>
      </c>
      <c r="C362" s="23">
        <v>1021910</v>
      </c>
      <c r="D362" s="23" t="s">
        <v>1612</v>
      </c>
      <c r="E362" s="5">
        <v>20</v>
      </c>
      <c r="F362" s="23">
        <v>6</v>
      </c>
      <c r="G362" s="23">
        <v>0</v>
      </c>
      <c r="H362" s="23">
        <v>0</v>
      </c>
      <c r="I362" s="23" t="s">
        <v>24</v>
      </c>
      <c r="J362" s="23" t="s">
        <v>597</v>
      </c>
      <c r="K362" s="23" t="s">
        <v>1946</v>
      </c>
      <c r="L362" s="23">
        <v>45820</v>
      </c>
      <c r="M362" s="28">
        <v>1.3888888888888888E-2</v>
      </c>
      <c r="N362" s="3">
        <v>45817</v>
      </c>
      <c r="O362">
        <v>215459</v>
      </c>
      <c r="P362">
        <v>45</v>
      </c>
      <c r="Q362" s="23" t="s">
        <v>2419</v>
      </c>
    </row>
    <row r="363" spans="1:17" x14ac:dyDescent="0.35">
      <c r="A363" s="23">
        <v>1021991</v>
      </c>
      <c r="B363" s="23">
        <v>1</v>
      </c>
      <c r="C363" s="23">
        <v>1021953</v>
      </c>
      <c r="D363" s="23" t="s">
        <v>1710</v>
      </c>
      <c r="E363" s="5">
        <v>15</v>
      </c>
      <c r="F363" s="23">
        <v>6</v>
      </c>
      <c r="G363" s="23">
        <v>0</v>
      </c>
      <c r="H363" s="23">
        <v>0</v>
      </c>
      <c r="I363" s="23" t="s">
        <v>24</v>
      </c>
      <c r="J363" s="23" t="s">
        <v>597</v>
      </c>
      <c r="K363" s="23" t="s">
        <v>1946</v>
      </c>
      <c r="L363" s="24">
        <v>45820</v>
      </c>
      <c r="M363" s="28">
        <v>1.0416666666666666E-2</v>
      </c>
      <c r="N363" s="3">
        <v>45817</v>
      </c>
      <c r="O363">
        <v>215507</v>
      </c>
      <c r="P363">
        <v>45</v>
      </c>
      <c r="Q363" s="23" t="s">
        <v>2420</v>
      </c>
    </row>
    <row r="364" spans="1:17" x14ac:dyDescent="0.35">
      <c r="A364" s="23">
        <v>1021992</v>
      </c>
      <c r="B364" s="23">
        <v>1</v>
      </c>
      <c r="C364" s="23">
        <v>1021953</v>
      </c>
      <c r="D364" s="23" t="s">
        <v>1710</v>
      </c>
      <c r="E364" s="5">
        <v>15</v>
      </c>
      <c r="F364" s="23">
        <v>6</v>
      </c>
      <c r="G364" s="23">
        <v>0</v>
      </c>
      <c r="H364" s="23">
        <v>0</v>
      </c>
      <c r="I364" s="23" t="s">
        <v>24</v>
      </c>
      <c r="J364" s="23" t="s">
        <v>597</v>
      </c>
      <c r="K364" s="23" t="s">
        <v>1946</v>
      </c>
      <c r="L364" s="24">
        <v>45820</v>
      </c>
      <c r="M364" s="28">
        <v>1.0416666666666666E-2</v>
      </c>
      <c r="N364" s="3">
        <v>45817</v>
      </c>
      <c r="O364">
        <v>215507</v>
      </c>
      <c r="P364">
        <v>45</v>
      </c>
      <c r="Q364" s="23" t="s">
        <v>2421</v>
      </c>
    </row>
    <row r="365" spans="1:17" x14ac:dyDescent="0.35">
      <c r="A365" s="23">
        <v>1021992</v>
      </c>
      <c r="B365" s="23">
        <v>1</v>
      </c>
      <c r="C365" s="23">
        <v>1021911</v>
      </c>
      <c r="D365" s="23" t="s">
        <v>1623</v>
      </c>
      <c r="E365" s="5">
        <v>30</v>
      </c>
      <c r="F365" s="23">
        <v>6</v>
      </c>
      <c r="G365" s="23">
        <v>0</v>
      </c>
      <c r="H365" s="23">
        <v>0</v>
      </c>
      <c r="I365" s="23" t="s">
        <v>24</v>
      </c>
      <c r="J365" s="23" t="s">
        <v>597</v>
      </c>
      <c r="K365" s="23" t="s">
        <v>1946</v>
      </c>
      <c r="L365" s="24">
        <v>45820</v>
      </c>
      <c r="M365" s="28">
        <v>2.0833333333333332E-2</v>
      </c>
      <c r="N365" s="3">
        <v>45817</v>
      </c>
      <c r="O365">
        <v>215460</v>
      </c>
      <c r="P365">
        <v>45</v>
      </c>
      <c r="Q365" s="23" t="s">
        <v>2422</v>
      </c>
    </row>
    <row r="366" spans="1:17" x14ac:dyDescent="0.35">
      <c r="A366" s="23">
        <v>1021992</v>
      </c>
      <c r="B366" s="23">
        <v>1</v>
      </c>
      <c r="C366" s="23">
        <v>1021910</v>
      </c>
      <c r="D366" s="23" t="s">
        <v>1612</v>
      </c>
      <c r="E366" s="5">
        <v>20</v>
      </c>
      <c r="F366" s="23">
        <v>6</v>
      </c>
      <c r="G366" s="23">
        <v>0</v>
      </c>
      <c r="H366" s="23">
        <v>0</v>
      </c>
      <c r="I366" s="23" t="s">
        <v>24</v>
      </c>
      <c r="J366" s="23" t="s">
        <v>597</v>
      </c>
      <c r="K366" s="23" t="s">
        <v>1946</v>
      </c>
      <c r="L366" s="23">
        <v>45820</v>
      </c>
      <c r="M366" s="28">
        <v>1.3888888888888888E-2</v>
      </c>
      <c r="N366" s="3">
        <v>45817</v>
      </c>
      <c r="O366">
        <v>215459</v>
      </c>
      <c r="P366">
        <v>45</v>
      </c>
      <c r="Q366" s="23" t="s">
        <v>2423</v>
      </c>
    </row>
    <row r="367" spans="1:17" x14ac:dyDescent="0.35">
      <c r="A367" s="23">
        <v>1021993</v>
      </c>
      <c r="B367" s="23">
        <v>1</v>
      </c>
      <c r="C367" s="23">
        <v>1021953</v>
      </c>
      <c r="D367" s="23" t="s">
        <v>1710</v>
      </c>
      <c r="E367" s="5">
        <v>15</v>
      </c>
      <c r="F367" s="23">
        <v>6</v>
      </c>
      <c r="G367" s="23">
        <v>0</v>
      </c>
      <c r="H367" s="23">
        <v>0</v>
      </c>
      <c r="I367" s="23" t="s">
        <v>24</v>
      </c>
      <c r="J367" s="23" t="s">
        <v>597</v>
      </c>
      <c r="K367" s="23" t="s">
        <v>1946</v>
      </c>
      <c r="L367" s="24">
        <v>45820</v>
      </c>
      <c r="M367" s="28">
        <v>1.0416666666666666E-2</v>
      </c>
      <c r="N367" s="3">
        <v>45817</v>
      </c>
      <c r="O367">
        <v>215507</v>
      </c>
      <c r="P367">
        <v>45</v>
      </c>
      <c r="Q367" s="23" t="s">
        <v>2424</v>
      </c>
    </row>
    <row r="368" spans="1:17" x14ac:dyDescent="0.35">
      <c r="A368" s="23">
        <v>1021993</v>
      </c>
      <c r="B368" s="23">
        <v>1</v>
      </c>
      <c r="C368" s="23">
        <v>1021910</v>
      </c>
      <c r="D368" s="23" t="s">
        <v>1612</v>
      </c>
      <c r="E368" s="5">
        <v>20</v>
      </c>
      <c r="F368" s="23">
        <v>6</v>
      </c>
      <c r="G368" s="23">
        <v>0</v>
      </c>
      <c r="H368" s="23">
        <v>0</v>
      </c>
      <c r="I368" s="23" t="s">
        <v>24</v>
      </c>
      <c r="J368" s="23" t="s">
        <v>597</v>
      </c>
      <c r="K368" s="23" t="s">
        <v>1946</v>
      </c>
      <c r="L368" s="23">
        <v>45820</v>
      </c>
      <c r="M368" s="28">
        <v>1.3888888888888888E-2</v>
      </c>
      <c r="N368" s="3">
        <v>45817</v>
      </c>
      <c r="O368">
        <v>215459</v>
      </c>
      <c r="P368">
        <v>45</v>
      </c>
      <c r="Q368" s="23" t="s">
        <v>2425</v>
      </c>
    </row>
    <row r="369" spans="1:17" x14ac:dyDescent="0.35">
      <c r="A369" s="23">
        <v>1021993</v>
      </c>
      <c r="B369" s="23">
        <v>1</v>
      </c>
      <c r="C369" s="23">
        <v>1021911</v>
      </c>
      <c r="D369" s="23" t="s">
        <v>1623</v>
      </c>
      <c r="E369" s="5">
        <v>30</v>
      </c>
      <c r="F369" s="23">
        <v>6</v>
      </c>
      <c r="G369" s="23">
        <v>0</v>
      </c>
      <c r="H369" s="23">
        <v>0</v>
      </c>
      <c r="I369" s="23" t="s">
        <v>24</v>
      </c>
      <c r="J369" s="23" t="s">
        <v>597</v>
      </c>
      <c r="K369" s="23" t="s">
        <v>1946</v>
      </c>
      <c r="L369" s="24">
        <v>45820</v>
      </c>
      <c r="M369" s="28">
        <v>2.0833333333333332E-2</v>
      </c>
      <c r="N369" s="3">
        <v>45817</v>
      </c>
      <c r="O369">
        <v>215460</v>
      </c>
      <c r="P369">
        <v>45</v>
      </c>
      <c r="Q369" s="23" t="s">
        <v>2426</v>
      </c>
    </row>
    <row r="370" spans="1:17" x14ac:dyDescent="0.35">
      <c r="A370" s="23">
        <v>1021994</v>
      </c>
      <c r="B370" s="23">
        <v>1</v>
      </c>
      <c r="C370" s="23">
        <v>1021910</v>
      </c>
      <c r="D370" s="23" t="s">
        <v>1612</v>
      </c>
      <c r="E370" s="5">
        <v>20</v>
      </c>
      <c r="F370" s="23">
        <v>6</v>
      </c>
      <c r="G370" s="23">
        <v>0</v>
      </c>
      <c r="H370" s="23">
        <v>0</v>
      </c>
      <c r="I370" s="23" t="s">
        <v>24</v>
      </c>
      <c r="J370" s="23" t="s">
        <v>597</v>
      </c>
      <c r="K370" s="23" t="s">
        <v>1946</v>
      </c>
      <c r="L370" s="24">
        <v>45820</v>
      </c>
      <c r="M370" s="28">
        <v>1.3888888888888888E-2</v>
      </c>
      <c r="N370" s="3">
        <v>45817</v>
      </c>
      <c r="O370">
        <v>215459</v>
      </c>
      <c r="P370">
        <v>45</v>
      </c>
      <c r="Q370" s="23" t="s">
        <v>2427</v>
      </c>
    </row>
    <row r="371" spans="1:17" x14ac:dyDescent="0.35">
      <c r="A371" s="23">
        <v>1021994</v>
      </c>
      <c r="B371" s="23">
        <v>1</v>
      </c>
      <c r="C371" s="23">
        <v>1021911</v>
      </c>
      <c r="D371" s="23" t="s">
        <v>1623</v>
      </c>
      <c r="E371" s="5">
        <v>30</v>
      </c>
      <c r="F371" s="23">
        <v>6</v>
      </c>
      <c r="G371" s="23">
        <v>0</v>
      </c>
      <c r="H371" s="23">
        <v>0</v>
      </c>
      <c r="I371" s="23" t="s">
        <v>24</v>
      </c>
      <c r="J371" s="23" t="s">
        <v>597</v>
      </c>
      <c r="K371" s="23" t="s">
        <v>1946</v>
      </c>
      <c r="L371" s="24">
        <v>45820</v>
      </c>
      <c r="M371" s="28">
        <v>2.0833333333333332E-2</v>
      </c>
      <c r="N371" s="3">
        <v>45817</v>
      </c>
      <c r="O371">
        <v>215460</v>
      </c>
      <c r="P371">
        <v>45</v>
      </c>
      <c r="Q371" s="23" t="s">
        <v>2428</v>
      </c>
    </row>
    <row r="372" spans="1:17" x14ac:dyDescent="0.35">
      <c r="A372" s="23">
        <v>1021994</v>
      </c>
      <c r="B372" s="23">
        <v>1</v>
      </c>
      <c r="C372" s="23">
        <v>1021953</v>
      </c>
      <c r="D372" s="23" t="s">
        <v>1710</v>
      </c>
      <c r="E372" s="5">
        <v>15</v>
      </c>
      <c r="F372" s="23">
        <v>6</v>
      </c>
      <c r="G372" s="23">
        <v>0</v>
      </c>
      <c r="H372" s="23">
        <v>0</v>
      </c>
      <c r="I372" s="23" t="s">
        <v>24</v>
      </c>
      <c r="J372" s="23" t="s">
        <v>597</v>
      </c>
      <c r="K372" s="23" t="s">
        <v>1946</v>
      </c>
      <c r="L372" s="24">
        <v>45820</v>
      </c>
      <c r="M372" s="28">
        <v>1.0416666666666666E-2</v>
      </c>
      <c r="N372" s="3">
        <v>45817</v>
      </c>
      <c r="O372">
        <v>215507</v>
      </c>
      <c r="P372">
        <v>45</v>
      </c>
      <c r="Q372" s="23" t="s">
        <v>2429</v>
      </c>
    </row>
    <row r="373" spans="1:17" x14ac:dyDescent="0.35">
      <c r="A373" s="23">
        <v>1021995</v>
      </c>
      <c r="B373" s="23">
        <v>1</v>
      </c>
      <c r="C373" s="23">
        <v>1021953</v>
      </c>
      <c r="D373" s="23" t="s">
        <v>1710</v>
      </c>
      <c r="E373" s="5">
        <v>15</v>
      </c>
      <c r="F373" s="23">
        <v>6</v>
      </c>
      <c r="G373" s="23">
        <v>0</v>
      </c>
      <c r="H373" s="23">
        <v>0</v>
      </c>
      <c r="I373" s="23" t="s">
        <v>24</v>
      </c>
      <c r="J373" s="23" t="s">
        <v>597</v>
      </c>
      <c r="K373" s="23" t="s">
        <v>1946</v>
      </c>
      <c r="L373" s="24">
        <v>45820</v>
      </c>
      <c r="M373" s="28">
        <v>1.0416666666666666E-2</v>
      </c>
      <c r="N373" s="3">
        <v>45817</v>
      </c>
      <c r="O373">
        <v>215507</v>
      </c>
      <c r="P373">
        <v>45</v>
      </c>
      <c r="Q373" s="23" t="s">
        <v>2430</v>
      </c>
    </row>
    <row r="374" spans="1:17" x14ac:dyDescent="0.35">
      <c r="A374" s="23">
        <v>1021995</v>
      </c>
      <c r="B374" s="23">
        <v>1</v>
      </c>
      <c r="C374" s="23">
        <v>1021911</v>
      </c>
      <c r="D374" s="23" t="s">
        <v>1623</v>
      </c>
      <c r="E374" s="5">
        <v>30</v>
      </c>
      <c r="F374" s="23">
        <v>6</v>
      </c>
      <c r="G374" s="23">
        <v>0</v>
      </c>
      <c r="H374" s="23">
        <v>0</v>
      </c>
      <c r="I374" s="23" t="s">
        <v>24</v>
      </c>
      <c r="J374" s="23" t="s">
        <v>597</v>
      </c>
      <c r="K374" s="23" t="s">
        <v>1946</v>
      </c>
      <c r="L374" s="24">
        <v>45820</v>
      </c>
      <c r="M374" s="28">
        <v>2.0833333333333332E-2</v>
      </c>
      <c r="N374" s="3">
        <v>45817</v>
      </c>
      <c r="O374">
        <v>215460</v>
      </c>
      <c r="P374">
        <v>45</v>
      </c>
      <c r="Q374" s="23" t="s">
        <v>2431</v>
      </c>
    </row>
    <row r="375" spans="1:17" x14ac:dyDescent="0.35">
      <c r="A375" s="23">
        <v>1021995</v>
      </c>
      <c r="B375" s="23">
        <v>1</v>
      </c>
      <c r="C375" s="23">
        <v>1021910</v>
      </c>
      <c r="D375" s="23" t="s">
        <v>1612</v>
      </c>
      <c r="E375" s="5">
        <v>20</v>
      </c>
      <c r="F375" s="23">
        <v>6</v>
      </c>
      <c r="G375" s="23">
        <v>0</v>
      </c>
      <c r="H375" s="23">
        <v>0</v>
      </c>
      <c r="I375" s="23" t="s">
        <v>24</v>
      </c>
      <c r="J375" s="23" t="s">
        <v>597</v>
      </c>
      <c r="K375" s="23" t="s">
        <v>1946</v>
      </c>
      <c r="L375" s="24">
        <v>45820</v>
      </c>
      <c r="M375" s="28">
        <v>1.3888888888888888E-2</v>
      </c>
      <c r="N375" s="3">
        <v>45817</v>
      </c>
      <c r="O375">
        <v>215459</v>
      </c>
      <c r="P375">
        <v>45</v>
      </c>
      <c r="Q375" s="23" t="s">
        <v>2432</v>
      </c>
    </row>
    <row r="376" spans="1:17" x14ac:dyDescent="0.35">
      <c r="A376" s="23">
        <v>1022087</v>
      </c>
      <c r="B376" s="23">
        <v>1</v>
      </c>
      <c r="C376" s="23">
        <v>1022089</v>
      </c>
      <c r="D376" s="23" t="s">
        <v>1947</v>
      </c>
      <c r="E376" s="5">
        <v>15</v>
      </c>
      <c r="F376" s="23">
        <v>1</v>
      </c>
      <c r="G376" s="23">
        <v>0</v>
      </c>
      <c r="H376" s="23">
        <v>0</v>
      </c>
      <c r="I376" s="23" t="s">
        <v>24</v>
      </c>
      <c r="J376" s="23" t="s">
        <v>597</v>
      </c>
      <c r="K376" s="23" t="s">
        <v>1948</v>
      </c>
      <c r="L376" s="24">
        <v>45832</v>
      </c>
      <c r="M376" s="28">
        <v>1.0416666666666666E-2</v>
      </c>
      <c r="N376" s="3">
        <v>45817</v>
      </c>
      <c r="O376">
        <v>215347</v>
      </c>
      <c r="P376">
        <v>45</v>
      </c>
      <c r="Q376" s="23" t="s">
        <v>2433</v>
      </c>
    </row>
    <row r="377" spans="1:17" x14ac:dyDescent="0.35">
      <c r="A377" s="23">
        <v>1022410</v>
      </c>
      <c r="B377" s="23">
        <v>10</v>
      </c>
      <c r="C377" s="23">
        <v>1022418</v>
      </c>
      <c r="D377" s="23" t="s">
        <v>1308</v>
      </c>
      <c r="E377" s="5">
        <v>100.1</v>
      </c>
      <c r="F377" s="23">
        <v>10</v>
      </c>
      <c r="G377" s="23">
        <v>0</v>
      </c>
      <c r="H377" s="23">
        <v>0</v>
      </c>
      <c r="I377" s="23" t="s">
        <v>24</v>
      </c>
      <c r="J377" s="23" t="s">
        <v>597</v>
      </c>
      <c r="K377" s="23" t="s">
        <v>1949</v>
      </c>
      <c r="L377" s="23">
        <v>45846</v>
      </c>
      <c r="M377" s="28">
        <v>6.9513888888888889E-2</v>
      </c>
      <c r="N377" s="3">
        <v>45817</v>
      </c>
      <c r="O377">
        <v>202327</v>
      </c>
      <c r="P377">
        <v>45</v>
      </c>
      <c r="Q377" s="23" t="s">
        <v>2434</v>
      </c>
    </row>
    <row r="378" spans="1:17" x14ac:dyDescent="0.35">
      <c r="A378" s="23">
        <v>1022410</v>
      </c>
      <c r="B378" s="23">
        <v>10</v>
      </c>
      <c r="C378" s="23">
        <v>1022412</v>
      </c>
      <c r="D378" s="23" t="s">
        <v>1307</v>
      </c>
      <c r="E378" s="5">
        <v>250.09999999999997</v>
      </c>
      <c r="F378" s="23">
        <v>10</v>
      </c>
      <c r="G378" s="23">
        <v>0</v>
      </c>
      <c r="H378" s="23">
        <v>0</v>
      </c>
      <c r="I378" s="23" t="s">
        <v>24</v>
      </c>
      <c r="J378" s="23" t="s">
        <v>597</v>
      </c>
      <c r="K378" s="23" t="s">
        <v>1949</v>
      </c>
      <c r="L378" s="24">
        <v>45846</v>
      </c>
      <c r="M378" s="28">
        <v>0.17368055555555556</v>
      </c>
      <c r="N378" s="3">
        <v>45817</v>
      </c>
      <c r="O378">
        <v>202321</v>
      </c>
      <c r="P378">
        <v>45</v>
      </c>
      <c r="Q378" s="23" t="s">
        <v>2435</v>
      </c>
    </row>
    <row r="379" spans="1:17" x14ac:dyDescent="0.35">
      <c r="A379" s="23">
        <v>1022410</v>
      </c>
      <c r="B379" s="23">
        <v>10</v>
      </c>
      <c r="C379" s="23">
        <v>1022414</v>
      </c>
      <c r="D379" s="23" t="s">
        <v>1305</v>
      </c>
      <c r="E379" s="5">
        <v>550.1</v>
      </c>
      <c r="F379" s="23">
        <v>10</v>
      </c>
      <c r="G379" s="23">
        <v>0</v>
      </c>
      <c r="H379" s="23">
        <v>0</v>
      </c>
      <c r="I379" s="23" t="s">
        <v>24</v>
      </c>
      <c r="J379" s="23" t="s">
        <v>597</v>
      </c>
      <c r="K379" s="23" t="s">
        <v>1949</v>
      </c>
      <c r="L379" s="23">
        <v>45846</v>
      </c>
      <c r="M379" s="28">
        <v>0.38201388888888893</v>
      </c>
      <c r="N379" s="3">
        <v>45817</v>
      </c>
      <c r="O379">
        <v>202323</v>
      </c>
      <c r="P379">
        <v>45</v>
      </c>
      <c r="Q379" s="23" t="s">
        <v>2436</v>
      </c>
    </row>
    <row r="380" spans="1:17" x14ac:dyDescent="0.35">
      <c r="A380" s="23">
        <v>1022410</v>
      </c>
      <c r="B380" s="23">
        <v>10</v>
      </c>
      <c r="C380" s="23">
        <v>1022421</v>
      </c>
      <c r="D380" s="23" t="s">
        <v>1306</v>
      </c>
      <c r="E380" s="5">
        <v>120</v>
      </c>
      <c r="F380" s="23">
        <v>10</v>
      </c>
      <c r="G380" s="23">
        <v>0</v>
      </c>
      <c r="H380" s="23">
        <v>0</v>
      </c>
      <c r="I380" s="23" t="s">
        <v>24</v>
      </c>
      <c r="J380" s="23" t="s">
        <v>597</v>
      </c>
      <c r="K380" s="23" t="s">
        <v>1949</v>
      </c>
      <c r="L380" s="24">
        <v>45846</v>
      </c>
      <c r="M380" s="28">
        <v>8.3333333333333329E-2</v>
      </c>
      <c r="N380" s="3">
        <v>45817</v>
      </c>
      <c r="O380">
        <v>202330</v>
      </c>
      <c r="P380">
        <v>45</v>
      </c>
      <c r="Q380" s="23" t="s">
        <v>2437</v>
      </c>
    </row>
    <row r="381" spans="1:17" x14ac:dyDescent="0.35">
      <c r="A381" s="23">
        <v>1022600</v>
      </c>
      <c r="B381" s="23">
        <v>10</v>
      </c>
      <c r="C381" s="23">
        <v>1022618</v>
      </c>
      <c r="D381" s="23" t="s">
        <v>1950</v>
      </c>
      <c r="E381" s="5">
        <v>600</v>
      </c>
      <c r="F381" s="23">
        <v>20</v>
      </c>
      <c r="G381" s="23">
        <v>0</v>
      </c>
      <c r="H381" s="23">
        <v>0</v>
      </c>
      <c r="I381" s="23" t="s">
        <v>24</v>
      </c>
      <c r="J381" s="23" t="s">
        <v>597</v>
      </c>
      <c r="K381" s="23" t="s">
        <v>1951</v>
      </c>
      <c r="L381" s="24">
        <v>45838</v>
      </c>
      <c r="M381" s="28">
        <v>0.41666666666666669</v>
      </c>
      <c r="N381" s="3">
        <v>45817</v>
      </c>
      <c r="O381">
        <v>225418</v>
      </c>
      <c r="P381">
        <v>45</v>
      </c>
      <c r="Q381" s="23" t="s">
        <v>2438</v>
      </c>
    </row>
    <row r="382" spans="1:17" x14ac:dyDescent="0.35">
      <c r="A382" s="23">
        <v>1022621</v>
      </c>
      <c r="B382" s="23">
        <v>10</v>
      </c>
      <c r="C382" s="23">
        <v>1022639</v>
      </c>
      <c r="D382" s="23" t="s">
        <v>1952</v>
      </c>
      <c r="E382" s="5">
        <v>400</v>
      </c>
      <c r="F382" s="23">
        <v>20</v>
      </c>
      <c r="G382" s="23">
        <v>0</v>
      </c>
      <c r="H382" s="23">
        <v>0</v>
      </c>
      <c r="I382" s="23" t="s">
        <v>24</v>
      </c>
      <c r="J382" s="23" t="s">
        <v>597</v>
      </c>
      <c r="K382" s="23" t="s">
        <v>1953</v>
      </c>
      <c r="L382" s="24">
        <v>45838</v>
      </c>
      <c r="M382" s="28">
        <v>0.27777777777777779</v>
      </c>
      <c r="N382" s="3">
        <v>45817</v>
      </c>
      <c r="O382">
        <v>225419</v>
      </c>
      <c r="P382">
        <v>45</v>
      </c>
      <c r="Q382" s="23" t="s">
        <v>2439</v>
      </c>
    </row>
    <row r="383" spans="1:17" x14ac:dyDescent="0.35">
      <c r="A383" s="23">
        <v>1024436</v>
      </c>
      <c r="B383" s="23">
        <v>1</v>
      </c>
      <c r="C383" s="23">
        <v>1024431</v>
      </c>
      <c r="D383" s="23" t="s">
        <v>239</v>
      </c>
      <c r="E383" s="5">
        <v>10</v>
      </c>
      <c r="F383" s="23">
        <v>1</v>
      </c>
      <c r="G383" s="23">
        <v>0</v>
      </c>
      <c r="H383" s="23">
        <v>0</v>
      </c>
      <c r="I383" s="23" t="s">
        <v>24</v>
      </c>
      <c r="J383" s="23" t="s">
        <v>597</v>
      </c>
      <c r="K383" s="23" t="s">
        <v>1954</v>
      </c>
      <c r="L383" s="23">
        <v>45828</v>
      </c>
      <c r="M383" s="28">
        <v>6.9444444444444441E-3</v>
      </c>
      <c r="N383" s="3">
        <v>45817</v>
      </c>
      <c r="O383">
        <v>155692</v>
      </c>
      <c r="P383">
        <v>45</v>
      </c>
      <c r="Q383" s="23" t="s">
        <v>2440</v>
      </c>
    </row>
    <row r="384" spans="1:17" x14ac:dyDescent="0.35">
      <c r="A384" s="23">
        <v>1025612</v>
      </c>
      <c r="B384" s="23">
        <v>1</v>
      </c>
      <c r="C384" s="23">
        <v>1025629</v>
      </c>
      <c r="D384" s="23" t="s">
        <v>1474</v>
      </c>
      <c r="E384" s="5">
        <v>15</v>
      </c>
      <c r="F384" s="23">
        <v>1</v>
      </c>
      <c r="G384" s="23">
        <v>0</v>
      </c>
      <c r="H384" s="23">
        <v>0</v>
      </c>
      <c r="I384" s="23" t="s">
        <v>24</v>
      </c>
      <c r="J384" s="23" t="s">
        <v>597</v>
      </c>
      <c r="K384" s="23" t="s">
        <v>1955</v>
      </c>
      <c r="L384" s="24">
        <v>45835</v>
      </c>
      <c r="M384" s="28">
        <v>1.0416666666666666E-2</v>
      </c>
      <c r="N384" s="3">
        <v>45817</v>
      </c>
      <c r="O384">
        <v>198435</v>
      </c>
      <c r="P384">
        <v>45</v>
      </c>
      <c r="Q384" s="23" t="s">
        <v>2441</v>
      </c>
    </row>
    <row r="385" spans="1:17" x14ac:dyDescent="0.35">
      <c r="A385" s="23">
        <v>1025612</v>
      </c>
      <c r="B385" s="23">
        <v>1</v>
      </c>
      <c r="C385" s="23">
        <v>1025632</v>
      </c>
      <c r="D385" s="23" t="s">
        <v>1475</v>
      </c>
      <c r="E385" s="5">
        <v>15</v>
      </c>
      <c r="F385" s="23">
        <v>1</v>
      </c>
      <c r="G385" s="23">
        <v>0</v>
      </c>
      <c r="H385" s="23">
        <v>0</v>
      </c>
      <c r="I385" s="23" t="s">
        <v>24</v>
      </c>
      <c r="J385" s="23" t="s">
        <v>597</v>
      </c>
      <c r="K385" s="23" t="s">
        <v>1955</v>
      </c>
      <c r="L385" s="24">
        <v>45835</v>
      </c>
      <c r="M385" s="28">
        <v>1.0416666666666666E-2</v>
      </c>
      <c r="N385" s="3">
        <v>45817</v>
      </c>
      <c r="O385">
        <v>198439</v>
      </c>
      <c r="P385">
        <v>45</v>
      </c>
      <c r="Q385" s="23" t="s">
        <v>2442</v>
      </c>
    </row>
    <row r="386" spans="1:17" x14ac:dyDescent="0.35">
      <c r="A386" s="23">
        <v>1025612</v>
      </c>
      <c r="B386" s="23">
        <v>1</v>
      </c>
      <c r="C386" s="23">
        <v>1025648</v>
      </c>
      <c r="D386" s="23" t="s">
        <v>1458</v>
      </c>
      <c r="E386" s="5">
        <v>20</v>
      </c>
      <c r="F386" s="23">
        <v>2</v>
      </c>
      <c r="G386" s="23">
        <v>0</v>
      </c>
      <c r="H386" s="23">
        <v>0</v>
      </c>
      <c r="I386" s="23" t="s">
        <v>24</v>
      </c>
      <c r="J386" s="23" t="s">
        <v>597</v>
      </c>
      <c r="K386" s="23" t="s">
        <v>1955</v>
      </c>
      <c r="L386" s="24">
        <v>45835</v>
      </c>
      <c r="M386" s="28">
        <v>1.3888888888888888E-2</v>
      </c>
      <c r="N386" s="3">
        <v>45817</v>
      </c>
      <c r="O386">
        <v>198457</v>
      </c>
      <c r="P386">
        <v>45</v>
      </c>
      <c r="Q386" s="23" t="s">
        <v>2443</v>
      </c>
    </row>
    <row r="387" spans="1:17" x14ac:dyDescent="0.35">
      <c r="A387" s="23">
        <v>1025612</v>
      </c>
      <c r="B387" s="23">
        <v>1</v>
      </c>
      <c r="C387" s="23">
        <v>1025637</v>
      </c>
      <c r="D387" s="23" t="s">
        <v>1476</v>
      </c>
      <c r="E387" s="5">
        <v>30</v>
      </c>
      <c r="F387" s="23">
        <v>3</v>
      </c>
      <c r="G387" s="23">
        <v>0</v>
      </c>
      <c r="H387" s="23">
        <v>0</v>
      </c>
      <c r="I387" s="23" t="s">
        <v>24</v>
      </c>
      <c r="J387" s="23" t="s">
        <v>597</v>
      </c>
      <c r="K387" s="23" t="s">
        <v>1955</v>
      </c>
      <c r="L387" s="24">
        <v>45835</v>
      </c>
      <c r="M387" s="28">
        <v>2.0833333333333332E-2</v>
      </c>
      <c r="N387" s="3">
        <v>45817</v>
      </c>
      <c r="O387">
        <v>198444</v>
      </c>
      <c r="P387">
        <v>45</v>
      </c>
      <c r="Q387" s="23" t="s">
        <v>2444</v>
      </c>
    </row>
    <row r="388" spans="1:17" x14ac:dyDescent="0.35">
      <c r="A388" s="23">
        <v>1025612</v>
      </c>
      <c r="B388" s="23">
        <v>1</v>
      </c>
      <c r="C388" s="23">
        <v>1025645</v>
      </c>
      <c r="D388" s="23" t="s">
        <v>1505</v>
      </c>
      <c r="E388" s="5">
        <v>20</v>
      </c>
      <c r="F388" s="23">
        <v>2</v>
      </c>
      <c r="G388" s="23">
        <v>0</v>
      </c>
      <c r="H388" s="23">
        <v>0</v>
      </c>
      <c r="I388" s="23" t="s">
        <v>24</v>
      </c>
      <c r="J388" s="23" t="s">
        <v>597</v>
      </c>
      <c r="K388" s="23" t="s">
        <v>1955</v>
      </c>
      <c r="L388" s="24">
        <v>45835</v>
      </c>
      <c r="M388" s="28">
        <v>1.3888888888888888E-2</v>
      </c>
      <c r="N388" s="3">
        <v>45817</v>
      </c>
      <c r="O388">
        <v>198453</v>
      </c>
      <c r="P388">
        <v>45</v>
      </c>
      <c r="Q388" s="23" t="s">
        <v>2445</v>
      </c>
    </row>
    <row r="389" spans="1:17" x14ac:dyDescent="0.35">
      <c r="A389" s="23">
        <v>1025612</v>
      </c>
      <c r="B389" s="23">
        <v>1</v>
      </c>
      <c r="C389" s="23">
        <v>1025649</v>
      </c>
      <c r="D389" s="23" t="s">
        <v>1459</v>
      </c>
      <c r="E389" s="5">
        <v>10</v>
      </c>
      <c r="F389" s="23">
        <v>1</v>
      </c>
      <c r="G389" s="23">
        <v>0</v>
      </c>
      <c r="H389" s="23">
        <v>0</v>
      </c>
      <c r="I389" s="23" t="s">
        <v>24</v>
      </c>
      <c r="J389" s="23" t="s">
        <v>597</v>
      </c>
      <c r="K389" s="23" t="s">
        <v>1955</v>
      </c>
      <c r="L389" s="23">
        <v>45835</v>
      </c>
      <c r="M389" s="28">
        <v>6.9444444444444441E-3</v>
      </c>
      <c r="N389" s="3">
        <v>45817</v>
      </c>
      <c r="O389">
        <v>198458</v>
      </c>
      <c r="P389">
        <v>45</v>
      </c>
      <c r="Q389" s="23" t="s">
        <v>2446</v>
      </c>
    </row>
    <row r="390" spans="1:17" x14ac:dyDescent="0.35">
      <c r="A390" s="23">
        <v>1026409</v>
      </c>
      <c r="B390" s="23">
        <v>12</v>
      </c>
      <c r="C390" s="23">
        <v>1026413</v>
      </c>
      <c r="D390" s="23" t="s">
        <v>225</v>
      </c>
      <c r="E390" s="5">
        <v>300</v>
      </c>
      <c r="F390" s="23">
        <v>12</v>
      </c>
      <c r="G390" s="23">
        <v>0</v>
      </c>
      <c r="H390" s="23">
        <v>0</v>
      </c>
      <c r="I390" s="23" t="s">
        <v>24</v>
      </c>
      <c r="J390" s="23" t="s">
        <v>597</v>
      </c>
      <c r="K390" s="23" t="s">
        <v>1956</v>
      </c>
      <c r="L390" s="24">
        <v>45852</v>
      </c>
      <c r="M390" s="28">
        <v>0.20833333333333334</v>
      </c>
      <c r="N390" s="3">
        <v>45817</v>
      </c>
      <c r="O390">
        <v>138053</v>
      </c>
      <c r="P390">
        <v>45</v>
      </c>
      <c r="Q390" s="23" t="s">
        <v>2447</v>
      </c>
    </row>
    <row r="391" spans="1:17" x14ac:dyDescent="0.35">
      <c r="A391" s="23">
        <v>1027893</v>
      </c>
      <c r="B391" s="23">
        <v>3</v>
      </c>
      <c r="C391" s="23">
        <v>1027910</v>
      </c>
      <c r="D391" s="23" t="s">
        <v>592</v>
      </c>
      <c r="E391" s="5">
        <v>270</v>
      </c>
      <c r="F391" s="23">
        <v>9</v>
      </c>
      <c r="G391" s="23">
        <v>0</v>
      </c>
      <c r="H391" s="23">
        <v>0</v>
      </c>
      <c r="I391" s="23" t="s">
        <v>24</v>
      </c>
      <c r="J391" s="23" t="s">
        <v>597</v>
      </c>
      <c r="K391" s="23" t="s">
        <v>1957</v>
      </c>
      <c r="L391" s="24">
        <v>45849</v>
      </c>
      <c r="M391" s="28">
        <v>0.1875</v>
      </c>
      <c r="N391" s="3">
        <v>45817</v>
      </c>
      <c r="O391">
        <v>122098</v>
      </c>
      <c r="P391">
        <v>45</v>
      </c>
      <c r="Q391" s="23" t="s">
        <v>2448</v>
      </c>
    </row>
    <row r="392" spans="1:17" x14ac:dyDescent="0.35">
      <c r="A392" s="23">
        <v>1027893</v>
      </c>
      <c r="B392" s="23">
        <v>3</v>
      </c>
      <c r="C392" s="23">
        <v>1027911</v>
      </c>
      <c r="D392" s="23" t="s">
        <v>1850</v>
      </c>
      <c r="E392" s="5">
        <v>135</v>
      </c>
      <c r="F392" s="23">
        <v>3</v>
      </c>
      <c r="G392" s="23">
        <v>0</v>
      </c>
      <c r="H392" s="23">
        <v>0</v>
      </c>
      <c r="I392" s="23" t="s">
        <v>24</v>
      </c>
      <c r="J392" s="23" t="s">
        <v>597</v>
      </c>
      <c r="K392" s="23" t="s">
        <v>1957</v>
      </c>
      <c r="L392" s="24">
        <v>45849</v>
      </c>
      <c r="M392" s="28">
        <v>9.375E-2</v>
      </c>
      <c r="N392" s="3">
        <v>45817</v>
      </c>
      <c r="O392">
        <v>122099</v>
      </c>
      <c r="P392">
        <v>45</v>
      </c>
      <c r="Q392" s="23" t="s">
        <v>2449</v>
      </c>
    </row>
    <row r="393" spans="1:17" x14ac:dyDescent="0.35">
      <c r="A393" s="23">
        <v>1027916</v>
      </c>
      <c r="B393" s="23">
        <v>1</v>
      </c>
      <c r="C393" s="23">
        <v>1027931</v>
      </c>
      <c r="D393" s="23" t="s">
        <v>1790</v>
      </c>
      <c r="E393" s="5">
        <v>20</v>
      </c>
      <c r="F393" s="23">
        <v>1</v>
      </c>
      <c r="G393" s="23">
        <v>0</v>
      </c>
      <c r="H393" s="23">
        <v>0</v>
      </c>
      <c r="I393" s="23" t="s">
        <v>24</v>
      </c>
      <c r="J393" s="23" t="s">
        <v>597</v>
      </c>
      <c r="K393" s="23" t="s">
        <v>1958</v>
      </c>
      <c r="L393" s="23">
        <v>45849</v>
      </c>
      <c r="M393" s="28">
        <v>1.3888888888888888E-2</v>
      </c>
      <c r="N393" s="3">
        <v>45817</v>
      </c>
      <c r="O393">
        <v>206091</v>
      </c>
      <c r="P393">
        <v>45</v>
      </c>
      <c r="Q393" s="23" t="s">
        <v>2450</v>
      </c>
    </row>
    <row r="394" spans="1:17" x14ac:dyDescent="0.35">
      <c r="A394" s="23">
        <v>1028257</v>
      </c>
      <c r="B394" s="23">
        <v>2</v>
      </c>
      <c r="C394" s="23">
        <v>1028258</v>
      </c>
      <c r="D394" s="23" t="s">
        <v>1959</v>
      </c>
      <c r="E394" s="5">
        <v>40</v>
      </c>
      <c r="F394" s="23">
        <v>2</v>
      </c>
      <c r="G394" s="23">
        <v>0</v>
      </c>
      <c r="H394" s="23">
        <v>0</v>
      </c>
      <c r="I394" s="23" t="s">
        <v>24</v>
      </c>
      <c r="J394" s="23" t="s">
        <v>597</v>
      </c>
      <c r="K394" s="23" t="s">
        <v>1960</v>
      </c>
      <c r="L394" s="23">
        <v>45840</v>
      </c>
      <c r="M394" s="28">
        <v>2.7777777777777776E-2</v>
      </c>
      <c r="N394" s="3">
        <v>45817</v>
      </c>
      <c r="O394">
        <v>233004</v>
      </c>
      <c r="P394">
        <v>45</v>
      </c>
      <c r="Q394" s="23" t="s">
        <v>2451</v>
      </c>
    </row>
    <row r="395" spans="1:17" x14ac:dyDescent="0.35">
      <c r="A395" s="23">
        <v>1019638</v>
      </c>
      <c r="B395" s="23">
        <v>1</v>
      </c>
      <c r="C395" s="23">
        <v>1019681</v>
      </c>
      <c r="D395" s="23" t="s">
        <v>1961</v>
      </c>
      <c r="E395" s="5">
        <v>15</v>
      </c>
      <c r="F395" s="23">
        <v>6</v>
      </c>
      <c r="G395" s="23">
        <v>0</v>
      </c>
      <c r="H395" s="23">
        <v>0</v>
      </c>
      <c r="I395" s="23" t="s">
        <v>24</v>
      </c>
      <c r="J395" s="23" t="s">
        <v>597</v>
      </c>
      <c r="K395" s="23" t="s">
        <v>1962</v>
      </c>
      <c r="L395" s="24">
        <v>45841</v>
      </c>
      <c r="M395" s="28">
        <v>1.0416666666666666E-2</v>
      </c>
      <c r="N395" s="3">
        <v>45818</v>
      </c>
      <c r="O395">
        <v>215844</v>
      </c>
      <c r="P395">
        <v>45</v>
      </c>
      <c r="Q395" s="23" t="s">
        <v>2452</v>
      </c>
    </row>
    <row r="396" spans="1:17" x14ac:dyDescent="0.35">
      <c r="A396" s="23">
        <v>1019639</v>
      </c>
      <c r="B396" s="23">
        <v>1</v>
      </c>
      <c r="C396" s="23">
        <v>1019681</v>
      </c>
      <c r="D396" s="23" t="s">
        <v>1961</v>
      </c>
      <c r="E396" s="5">
        <v>15</v>
      </c>
      <c r="F396" s="23">
        <v>6</v>
      </c>
      <c r="G396" s="23">
        <v>0</v>
      </c>
      <c r="H396" s="23">
        <v>0</v>
      </c>
      <c r="I396" s="23" t="s">
        <v>24</v>
      </c>
      <c r="J396" s="23" t="s">
        <v>597</v>
      </c>
      <c r="K396" s="23" t="s">
        <v>1962</v>
      </c>
      <c r="L396" s="23">
        <v>45841</v>
      </c>
      <c r="M396" s="28">
        <v>1.0416666666666666E-2</v>
      </c>
      <c r="N396" s="3">
        <v>45818</v>
      </c>
      <c r="O396">
        <v>215844</v>
      </c>
      <c r="P396">
        <v>45</v>
      </c>
      <c r="Q396" s="23" t="s">
        <v>2453</v>
      </c>
    </row>
    <row r="397" spans="1:17" x14ac:dyDescent="0.35">
      <c r="A397" s="23">
        <v>1019640</v>
      </c>
      <c r="B397" s="23">
        <v>1</v>
      </c>
      <c r="C397" s="23">
        <v>1019681</v>
      </c>
      <c r="D397" s="23" t="s">
        <v>1961</v>
      </c>
      <c r="E397" s="5">
        <v>15</v>
      </c>
      <c r="F397" s="23">
        <v>6</v>
      </c>
      <c r="G397" s="23">
        <v>0</v>
      </c>
      <c r="H397" s="23">
        <v>0</v>
      </c>
      <c r="I397" s="23" t="s">
        <v>24</v>
      </c>
      <c r="J397" s="23" t="s">
        <v>597</v>
      </c>
      <c r="K397" s="23" t="s">
        <v>1962</v>
      </c>
      <c r="L397" s="24">
        <v>45841</v>
      </c>
      <c r="M397" s="28">
        <v>1.0416666666666666E-2</v>
      </c>
      <c r="N397" s="3">
        <v>45818</v>
      </c>
      <c r="O397">
        <v>215844</v>
      </c>
      <c r="P397">
        <v>45</v>
      </c>
      <c r="Q397" s="23" t="s">
        <v>2454</v>
      </c>
    </row>
    <row r="398" spans="1:17" x14ac:dyDescent="0.35">
      <c r="A398" s="23">
        <v>1019641</v>
      </c>
      <c r="B398" s="23">
        <v>1</v>
      </c>
      <c r="C398" s="23">
        <v>1019681</v>
      </c>
      <c r="D398" s="23" t="s">
        <v>1961</v>
      </c>
      <c r="E398" s="5">
        <v>15</v>
      </c>
      <c r="F398" s="23">
        <v>6</v>
      </c>
      <c r="G398" s="23">
        <v>0</v>
      </c>
      <c r="H398" s="23">
        <v>0</v>
      </c>
      <c r="I398" s="23" t="s">
        <v>24</v>
      </c>
      <c r="J398" s="23" t="s">
        <v>597</v>
      </c>
      <c r="K398" s="23" t="s">
        <v>1962</v>
      </c>
      <c r="L398" s="23">
        <v>45841</v>
      </c>
      <c r="M398" s="28">
        <v>1.0416666666666666E-2</v>
      </c>
      <c r="N398" s="3">
        <v>45818</v>
      </c>
      <c r="O398">
        <v>215844</v>
      </c>
      <c r="P398">
        <v>45</v>
      </c>
      <c r="Q398" s="23" t="s">
        <v>2455</v>
      </c>
    </row>
    <row r="399" spans="1:17" x14ac:dyDescent="0.35">
      <c r="A399" s="23">
        <v>1019642</v>
      </c>
      <c r="B399" s="23">
        <v>1</v>
      </c>
      <c r="C399" s="23">
        <v>1019681</v>
      </c>
      <c r="D399" s="23" t="s">
        <v>1961</v>
      </c>
      <c r="E399" s="5">
        <v>15</v>
      </c>
      <c r="F399" s="23">
        <v>6</v>
      </c>
      <c r="G399" s="23">
        <v>0</v>
      </c>
      <c r="H399" s="23">
        <v>0</v>
      </c>
      <c r="I399" s="23" t="s">
        <v>24</v>
      </c>
      <c r="J399" s="23" t="s">
        <v>597</v>
      </c>
      <c r="K399" s="23" t="s">
        <v>1962</v>
      </c>
      <c r="L399" s="23">
        <v>45841</v>
      </c>
      <c r="M399" s="28">
        <v>1.0416666666666666E-2</v>
      </c>
      <c r="N399" s="3">
        <v>45818</v>
      </c>
      <c r="O399">
        <v>215844</v>
      </c>
      <c r="P399">
        <v>45</v>
      </c>
      <c r="Q399" s="23" t="s">
        <v>2456</v>
      </c>
    </row>
    <row r="400" spans="1:17" x14ac:dyDescent="0.35">
      <c r="A400" s="23">
        <v>1019643</v>
      </c>
      <c r="B400" s="23">
        <v>1</v>
      </c>
      <c r="C400" s="23">
        <v>1019681</v>
      </c>
      <c r="D400" s="23" t="s">
        <v>1961</v>
      </c>
      <c r="E400" s="5">
        <v>15</v>
      </c>
      <c r="F400" s="23">
        <v>6</v>
      </c>
      <c r="G400" s="23">
        <v>0</v>
      </c>
      <c r="H400" s="23">
        <v>0</v>
      </c>
      <c r="I400" s="23" t="s">
        <v>24</v>
      </c>
      <c r="J400" s="23" t="s">
        <v>597</v>
      </c>
      <c r="K400" s="23" t="s">
        <v>1962</v>
      </c>
      <c r="L400" s="24">
        <v>45841</v>
      </c>
      <c r="M400" s="28">
        <v>1.0416666666666666E-2</v>
      </c>
      <c r="N400" s="3">
        <v>45818</v>
      </c>
      <c r="O400">
        <v>215844</v>
      </c>
      <c r="P400">
        <v>45</v>
      </c>
      <c r="Q400" s="23" t="s">
        <v>2457</v>
      </c>
    </row>
    <row r="401" spans="1:17" x14ac:dyDescent="0.35">
      <c r="A401" s="23">
        <v>1020173</v>
      </c>
      <c r="B401" s="23">
        <v>1</v>
      </c>
      <c r="C401" s="23">
        <v>1020182</v>
      </c>
      <c r="D401" s="23" t="s">
        <v>1768</v>
      </c>
      <c r="E401" s="5">
        <v>15</v>
      </c>
      <c r="F401" s="23">
        <v>1</v>
      </c>
      <c r="G401" s="23">
        <v>0</v>
      </c>
      <c r="H401" s="23">
        <v>0</v>
      </c>
      <c r="I401" s="23" t="s">
        <v>24</v>
      </c>
      <c r="J401" s="23" t="s">
        <v>597</v>
      </c>
      <c r="K401" s="23" t="s">
        <v>1963</v>
      </c>
      <c r="L401" s="23">
        <v>45838</v>
      </c>
      <c r="M401" s="28">
        <v>1.0416666666666666E-2</v>
      </c>
      <c r="N401" s="3">
        <v>45818</v>
      </c>
      <c r="O401">
        <v>137863</v>
      </c>
      <c r="P401">
        <v>45</v>
      </c>
      <c r="Q401" s="23" t="s">
        <v>2458</v>
      </c>
    </row>
    <row r="402" spans="1:17" x14ac:dyDescent="0.35">
      <c r="A402" s="23">
        <v>1020173</v>
      </c>
      <c r="B402" s="23">
        <v>1</v>
      </c>
      <c r="C402" s="23">
        <v>1020181</v>
      </c>
      <c r="D402" s="23" t="s">
        <v>1769</v>
      </c>
      <c r="E402" s="5">
        <v>15</v>
      </c>
      <c r="F402" s="23">
        <v>1</v>
      </c>
      <c r="G402" s="23">
        <v>0</v>
      </c>
      <c r="H402" s="23">
        <v>0</v>
      </c>
      <c r="I402" s="23" t="s">
        <v>24</v>
      </c>
      <c r="J402" s="23" t="s">
        <v>597</v>
      </c>
      <c r="K402" s="23" t="s">
        <v>1963</v>
      </c>
      <c r="L402" s="23">
        <v>45838</v>
      </c>
      <c r="M402" s="28">
        <v>1.0416666666666666E-2</v>
      </c>
      <c r="N402" s="3">
        <v>45818</v>
      </c>
      <c r="O402">
        <v>137862</v>
      </c>
      <c r="P402">
        <v>45</v>
      </c>
      <c r="Q402" s="23" t="s">
        <v>2459</v>
      </c>
    </row>
    <row r="403" spans="1:17" x14ac:dyDescent="0.35">
      <c r="A403" s="23">
        <v>1020173</v>
      </c>
      <c r="B403" s="23">
        <v>1</v>
      </c>
      <c r="C403" s="23">
        <v>1020183</v>
      </c>
      <c r="D403" s="23" t="s">
        <v>1454</v>
      </c>
      <c r="E403" s="5">
        <v>13</v>
      </c>
      <c r="F403" s="23">
        <v>1</v>
      </c>
      <c r="G403" s="23">
        <v>0</v>
      </c>
      <c r="H403" s="23">
        <v>0</v>
      </c>
      <c r="I403" s="23" t="s">
        <v>24</v>
      </c>
      <c r="J403" s="23" t="s">
        <v>597</v>
      </c>
      <c r="K403" s="23" t="s">
        <v>1963</v>
      </c>
      <c r="L403" s="23">
        <v>45838</v>
      </c>
      <c r="M403" s="28">
        <v>9.0277777777777769E-3</v>
      </c>
      <c r="N403" s="3">
        <v>45818</v>
      </c>
      <c r="O403">
        <v>137864</v>
      </c>
      <c r="P403">
        <v>45</v>
      </c>
      <c r="Q403" s="23" t="s">
        <v>2460</v>
      </c>
    </row>
    <row r="404" spans="1:17" x14ac:dyDescent="0.35">
      <c r="A404" s="23">
        <v>1020173</v>
      </c>
      <c r="B404" s="23">
        <v>1</v>
      </c>
      <c r="C404" s="23">
        <v>1020184</v>
      </c>
      <c r="D404" s="23" t="s">
        <v>1453</v>
      </c>
      <c r="E404" s="5">
        <v>15</v>
      </c>
      <c r="F404" s="23">
        <v>1</v>
      </c>
      <c r="G404" s="23">
        <v>0</v>
      </c>
      <c r="H404" s="23">
        <v>0</v>
      </c>
      <c r="I404" s="23" t="s">
        <v>24</v>
      </c>
      <c r="J404" s="23" t="s">
        <v>597</v>
      </c>
      <c r="K404" s="23" t="s">
        <v>1963</v>
      </c>
      <c r="L404" s="24">
        <v>45838</v>
      </c>
      <c r="M404" s="28">
        <v>1.0416666666666666E-2</v>
      </c>
      <c r="N404" s="3">
        <v>45818</v>
      </c>
      <c r="O404">
        <v>137865</v>
      </c>
      <c r="P404">
        <v>45</v>
      </c>
      <c r="Q404" s="23" t="s">
        <v>2461</v>
      </c>
    </row>
    <row r="405" spans="1:17" x14ac:dyDescent="0.35">
      <c r="A405" s="23">
        <v>1020173</v>
      </c>
      <c r="B405" s="23">
        <v>1</v>
      </c>
      <c r="C405" s="23">
        <v>1020200</v>
      </c>
      <c r="D405" s="23" t="s">
        <v>1964</v>
      </c>
      <c r="E405" s="5">
        <v>60</v>
      </c>
      <c r="F405" s="23">
        <v>2</v>
      </c>
      <c r="G405" s="23">
        <v>0</v>
      </c>
      <c r="H405" s="23">
        <v>0</v>
      </c>
      <c r="I405" s="23" t="s">
        <v>24</v>
      </c>
      <c r="J405" s="23" t="s">
        <v>597</v>
      </c>
      <c r="K405" s="23" t="s">
        <v>1963</v>
      </c>
      <c r="L405" s="24">
        <v>45838</v>
      </c>
      <c r="M405" s="28">
        <v>4.1666666666666664E-2</v>
      </c>
      <c r="N405" s="3">
        <v>45818</v>
      </c>
      <c r="O405">
        <v>137880</v>
      </c>
      <c r="P405">
        <v>45</v>
      </c>
      <c r="Q405" s="23" t="s">
        <v>2462</v>
      </c>
    </row>
    <row r="406" spans="1:17" x14ac:dyDescent="0.35">
      <c r="A406" s="23">
        <v>1022528</v>
      </c>
      <c r="B406" s="23">
        <v>1</v>
      </c>
      <c r="C406" s="23">
        <v>1022528</v>
      </c>
      <c r="D406" s="23" t="s">
        <v>1882</v>
      </c>
      <c r="E406" s="5">
        <v>75</v>
      </c>
      <c r="F406" s="23">
        <v>1</v>
      </c>
      <c r="G406" s="23">
        <v>0</v>
      </c>
      <c r="H406" s="23">
        <v>0</v>
      </c>
      <c r="I406" s="23" t="s">
        <v>24</v>
      </c>
      <c r="J406" s="23" t="s">
        <v>597</v>
      </c>
      <c r="K406" s="23" t="s">
        <v>1965</v>
      </c>
      <c r="L406" s="23">
        <v>45848</v>
      </c>
      <c r="M406" s="28">
        <v>5.2083333333333336E-2</v>
      </c>
      <c r="N406" s="3">
        <v>45818</v>
      </c>
      <c r="O406">
        <v>216056</v>
      </c>
      <c r="P406">
        <v>45</v>
      </c>
      <c r="Q406" s="23" t="s">
        <v>2463</v>
      </c>
    </row>
    <row r="407" spans="1:17" x14ac:dyDescent="0.35">
      <c r="A407" s="23">
        <v>1022535</v>
      </c>
      <c r="B407" s="23">
        <v>1</v>
      </c>
      <c r="C407" s="23">
        <v>1022537</v>
      </c>
      <c r="D407" s="23" t="s">
        <v>1627</v>
      </c>
      <c r="E407" s="5">
        <v>20</v>
      </c>
      <c r="F407" s="23">
        <v>1</v>
      </c>
      <c r="G407" s="23">
        <v>0</v>
      </c>
      <c r="H407" s="23">
        <v>0</v>
      </c>
      <c r="I407" s="23" t="s">
        <v>24</v>
      </c>
      <c r="J407" s="23" t="s">
        <v>597</v>
      </c>
      <c r="K407" s="23" t="s">
        <v>1966</v>
      </c>
      <c r="L407" s="24">
        <v>45848</v>
      </c>
      <c r="M407" s="28">
        <v>1.3888888888888888E-2</v>
      </c>
      <c r="N407" s="3">
        <v>45818</v>
      </c>
      <c r="O407">
        <v>217588</v>
      </c>
      <c r="P407">
        <v>45</v>
      </c>
      <c r="Q407" s="23" t="s">
        <v>2464</v>
      </c>
    </row>
    <row r="408" spans="1:17" x14ac:dyDescent="0.35">
      <c r="A408" s="23">
        <v>1022535</v>
      </c>
      <c r="B408" s="23">
        <v>1</v>
      </c>
      <c r="C408" s="23">
        <v>1022536</v>
      </c>
      <c r="D408" s="23" t="s">
        <v>1884</v>
      </c>
      <c r="E408" s="5">
        <v>10</v>
      </c>
      <c r="F408" s="23">
        <v>1</v>
      </c>
      <c r="G408" s="23">
        <v>0</v>
      </c>
      <c r="H408" s="23">
        <v>0</v>
      </c>
      <c r="I408" s="23" t="s">
        <v>24</v>
      </c>
      <c r="J408" s="23" t="s">
        <v>597</v>
      </c>
      <c r="K408" s="23" t="s">
        <v>1966</v>
      </c>
      <c r="L408" s="24">
        <v>45848</v>
      </c>
      <c r="M408" s="28">
        <v>6.9444444444444441E-3</v>
      </c>
      <c r="N408" s="3">
        <v>45818</v>
      </c>
      <c r="O408">
        <v>217587</v>
      </c>
      <c r="P408">
        <v>45</v>
      </c>
      <c r="Q408" s="23" t="s">
        <v>2465</v>
      </c>
    </row>
    <row r="409" spans="1:17" x14ac:dyDescent="0.35">
      <c r="A409" s="23">
        <v>1022543</v>
      </c>
      <c r="B409" s="23">
        <v>1</v>
      </c>
      <c r="C409" s="23">
        <v>1022544</v>
      </c>
      <c r="D409" s="23" t="s">
        <v>1628</v>
      </c>
      <c r="E409" s="5">
        <v>20</v>
      </c>
      <c r="F409" s="23">
        <v>1</v>
      </c>
      <c r="G409" s="23">
        <v>0</v>
      </c>
      <c r="H409" s="23">
        <v>0</v>
      </c>
      <c r="I409" s="23" t="s">
        <v>24</v>
      </c>
      <c r="J409" s="23" t="s">
        <v>597</v>
      </c>
      <c r="K409" s="23" t="s">
        <v>1967</v>
      </c>
      <c r="L409" s="24">
        <v>45848</v>
      </c>
      <c r="M409" s="28">
        <v>1.3888888888888888E-2</v>
      </c>
      <c r="N409" s="3">
        <v>45818</v>
      </c>
      <c r="O409">
        <v>217656</v>
      </c>
      <c r="P409">
        <v>45</v>
      </c>
      <c r="Q409" s="23" t="s">
        <v>2466</v>
      </c>
    </row>
    <row r="410" spans="1:17" x14ac:dyDescent="0.35">
      <c r="A410" s="23">
        <v>1022543</v>
      </c>
      <c r="B410" s="23">
        <v>1</v>
      </c>
      <c r="C410" s="23">
        <v>1022545</v>
      </c>
      <c r="D410" s="23" t="s">
        <v>1629</v>
      </c>
      <c r="E410" s="5">
        <v>10</v>
      </c>
      <c r="F410" s="23">
        <v>1</v>
      </c>
      <c r="G410" s="23">
        <v>0</v>
      </c>
      <c r="H410" s="23">
        <v>0</v>
      </c>
      <c r="I410" s="23" t="s">
        <v>24</v>
      </c>
      <c r="J410" s="23" t="s">
        <v>597</v>
      </c>
      <c r="K410" s="23" t="s">
        <v>1967</v>
      </c>
      <c r="L410" s="23">
        <v>45848</v>
      </c>
      <c r="M410" s="28">
        <v>6.9444444444444441E-3</v>
      </c>
      <c r="N410" s="3">
        <v>45818</v>
      </c>
      <c r="O410">
        <v>217657</v>
      </c>
      <c r="P410">
        <v>45</v>
      </c>
      <c r="Q410" s="23" t="s">
        <v>2467</v>
      </c>
    </row>
    <row r="411" spans="1:17" x14ac:dyDescent="0.35">
      <c r="A411" s="23">
        <v>1022551</v>
      </c>
      <c r="B411" s="23">
        <v>1</v>
      </c>
      <c r="C411" s="23">
        <v>1022562</v>
      </c>
      <c r="D411" s="23" t="s">
        <v>1636</v>
      </c>
      <c r="E411" s="5">
        <v>70</v>
      </c>
      <c r="F411" s="23">
        <v>2</v>
      </c>
      <c r="G411" s="23">
        <v>0</v>
      </c>
      <c r="H411" s="23">
        <v>0</v>
      </c>
      <c r="I411" s="23" t="s">
        <v>24</v>
      </c>
      <c r="J411" s="23" t="s">
        <v>597</v>
      </c>
      <c r="K411" s="23" t="s">
        <v>1968</v>
      </c>
      <c r="L411" s="24">
        <v>45848</v>
      </c>
      <c r="M411" s="28">
        <v>4.8611111111111112E-2</v>
      </c>
      <c r="N411" s="3">
        <v>45818</v>
      </c>
      <c r="O411">
        <v>214179</v>
      </c>
      <c r="P411">
        <v>45</v>
      </c>
      <c r="Q411" s="23" t="s">
        <v>2468</v>
      </c>
    </row>
    <row r="412" spans="1:17" x14ac:dyDescent="0.35">
      <c r="A412" s="23">
        <v>1022583</v>
      </c>
      <c r="B412" s="23">
        <v>2</v>
      </c>
      <c r="C412" s="23">
        <v>1022584</v>
      </c>
      <c r="D412" s="23" t="s">
        <v>1969</v>
      </c>
      <c r="E412" s="5">
        <v>30</v>
      </c>
      <c r="F412" s="23">
        <v>2</v>
      </c>
      <c r="G412" s="23">
        <v>0</v>
      </c>
      <c r="H412" s="23">
        <v>0</v>
      </c>
      <c r="I412" s="23" t="s">
        <v>24</v>
      </c>
      <c r="J412" s="23" t="s">
        <v>597</v>
      </c>
      <c r="K412" s="23" t="s">
        <v>1970</v>
      </c>
      <c r="L412" s="23">
        <v>45848</v>
      </c>
      <c r="M412" s="28">
        <v>2.0833333333333332E-2</v>
      </c>
      <c r="N412" s="3">
        <v>45818</v>
      </c>
      <c r="O412">
        <v>221373</v>
      </c>
      <c r="P412">
        <v>45</v>
      </c>
      <c r="Q412" s="23" t="s">
        <v>2469</v>
      </c>
    </row>
    <row r="413" spans="1:17" x14ac:dyDescent="0.35">
      <c r="A413" s="23">
        <v>1024614</v>
      </c>
      <c r="B413" s="23">
        <v>1</v>
      </c>
      <c r="C413" s="23">
        <v>1024609</v>
      </c>
      <c r="D413" s="23" t="s">
        <v>239</v>
      </c>
      <c r="E413" s="5">
        <v>10</v>
      </c>
      <c r="F413" s="23">
        <v>1</v>
      </c>
      <c r="G413" s="23">
        <v>0</v>
      </c>
      <c r="H413" s="23">
        <v>0</v>
      </c>
      <c r="I413" s="23" t="s">
        <v>24</v>
      </c>
      <c r="J413" s="23" t="s">
        <v>597</v>
      </c>
      <c r="K413" s="23" t="s">
        <v>1971</v>
      </c>
      <c r="L413" s="23">
        <v>45833</v>
      </c>
      <c r="M413" s="28">
        <v>6.9444444444444441E-3</v>
      </c>
      <c r="N413" s="3">
        <v>45818</v>
      </c>
      <c r="O413">
        <v>155692</v>
      </c>
      <c r="P413">
        <v>45</v>
      </c>
      <c r="Q413" s="23" t="s">
        <v>2470</v>
      </c>
    </row>
    <row r="414" spans="1:17" x14ac:dyDescent="0.35">
      <c r="A414" s="23">
        <v>1026706</v>
      </c>
      <c r="B414" s="23">
        <v>1</v>
      </c>
      <c r="C414" s="23">
        <v>1026683</v>
      </c>
      <c r="D414" s="23" t="s">
        <v>1091</v>
      </c>
      <c r="E414" s="5">
        <v>8</v>
      </c>
      <c r="F414" s="23">
        <v>1</v>
      </c>
      <c r="G414" s="23">
        <v>0</v>
      </c>
      <c r="H414" s="23">
        <v>0</v>
      </c>
      <c r="I414" s="23" t="s">
        <v>24</v>
      </c>
      <c r="J414" s="23" t="s">
        <v>597</v>
      </c>
      <c r="K414" s="23" t="s">
        <v>1972</v>
      </c>
      <c r="L414" s="24">
        <v>45841</v>
      </c>
      <c r="M414" s="28">
        <v>5.5555555555555558E-3</v>
      </c>
      <c r="N414" s="3">
        <v>45818</v>
      </c>
      <c r="O414">
        <v>160433</v>
      </c>
      <c r="P414">
        <v>45</v>
      </c>
      <c r="Q414" s="23" t="s">
        <v>2471</v>
      </c>
    </row>
    <row r="415" spans="1:17" x14ac:dyDescent="0.35">
      <c r="A415" s="23">
        <v>1027392</v>
      </c>
      <c r="B415" s="23">
        <v>1</v>
      </c>
      <c r="C415" s="23">
        <v>1027397</v>
      </c>
      <c r="D415" s="23" t="s">
        <v>1973</v>
      </c>
      <c r="E415" s="5">
        <v>60</v>
      </c>
      <c r="F415" s="23">
        <v>1</v>
      </c>
      <c r="G415" s="23">
        <v>0</v>
      </c>
      <c r="H415" s="23">
        <v>0</v>
      </c>
      <c r="I415" s="23" t="s">
        <v>24</v>
      </c>
      <c r="J415" s="23" t="s">
        <v>597</v>
      </c>
      <c r="K415" s="23" t="s">
        <v>1974</v>
      </c>
      <c r="L415" s="24">
        <v>45846</v>
      </c>
      <c r="M415" s="28">
        <v>4.1666666666666664E-2</v>
      </c>
      <c r="N415" s="3">
        <v>45818</v>
      </c>
      <c r="O415">
        <v>226380</v>
      </c>
      <c r="P415">
        <v>45</v>
      </c>
      <c r="Q415" s="23" t="s">
        <v>2472</v>
      </c>
    </row>
    <row r="416" spans="1:17" x14ac:dyDescent="0.35">
      <c r="A416" s="23">
        <v>1027392</v>
      </c>
      <c r="B416" s="23">
        <v>1</v>
      </c>
      <c r="C416" s="23">
        <v>1027402</v>
      </c>
      <c r="D416" s="23" t="s">
        <v>1975</v>
      </c>
      <c r="E416" s="5">
        <v>40</v>
      </c>
      <c r="F416" s="23">
        <v>1</v>
      </c>
      <c r="G416" s="23">
        <v>0</v>
      </c>
      <c r="H416" s="23">
        <v>0</v>
      </c>
      <c r="I416" s="23" t="s">
        <v>24</v>
      </c>
      <c r="J416" s="23" t="s">
        <v>597</v>
      </c>
      <c r="K416" s="23" t="s">
        <v>1974</v>
      </c>
      <c r="L416" s="23">
        <v>45846</v>
      </c>
      <c r="M416" s="28">
        <v>2.7777777777777776E-2</v>
      </c>
      <c r="N416" s="3">
        <v>45818</v>
      </c>
      <c r="O416">
        <v>226385</v>
      </c>
      <c r="P416">
        <v>45</v>
      </c>
      <c r="Q416" s="23" t="s">
        <v>2473</v>
      </c>
    </row>
    <row r="417" spans="1:17" x14ac:dyDescent="0.35">
      <c r="A417" s="23">
        <v>1020330</v>
      </c>
      <c r="B417" s="23">
        <v>1</v>
      </c>
      <c r="C417" s="23">
        <v>1020375</v>
      </c>
      <c r="D417" s="23" t="s">
        <v>254</v>
      </c>
      <c r="E417" s="5">
        <v>30</v>
      </c>
      <c r="F417" s="23">
        <v>1</v>
      </c>
      <c r="G417" s="23">
        <v>0</v>
      </c>
      <c r="H417" s="23">
        <v>0</v>
      </c>
      <c r="I417" s="23" t="s">
        <v>24</v>
      </c>
      <c r="J417" s="23" t="s">
        <v>597</v>
      </c>
      <c r="K417" s="23" t="s">
        <v>1976</v>
      </c>
      <c r="L417" s="24">
        <v>45838</v>
      </c>
      <c r="M417" s="28">
        <v>2.0833333333333332E-2</v>
      </c>
      <c r="N417" s="3">
        <v>45819</v>
      </c>
      <c r="O417">
        <v>152924</v>
      </c>
      <c r="P417">
        <v>45</v>
      </c>
      <c r="Q417" s="23" t="s">
        <v>2474</v>
      </c>
    </row>
    <row r="418" spans="1:17" x14ac:dyDescent="0.35">
      <c r="A418" s="23">
        <v>1020330</v>
      </c>
      <c r="B418" s="23">
        <v>1</v>
      </c>
      <c r="C418" s="23">
        <v>1020376</v>
      </c>
      <c r="D418" s="23" t="s">
        <v>255</v>
      </c>
      <c r="E418" s="5">
        <v>30</v>
      </c>
      <c r="F418" s="23">
        <v>1</v>
      </c>
      <c r="G418" s="23">
        <v>0</v>
      </c>
      <c r="H418" s="23">
        <v>0</v>
      </c>
      <c r="I418" s="23" t="s">
        <v>24</v>
      </c>
      <c r="J418" s="23" t="s">
        <v>597</v>
      </c>
      <c r="K418" s="23" t="s">
        <v>1976</v>
      </c>
      <c r="L418" s="23">
        <v>45838</v>
      </c>
      <c r="M418" s="28">
        <v>2.0833333333333332E-2</v>
      </c>
      <c r="N418" s="3">
        <v>45819</v>
      </c>
      <c r="O418">
        <v>152925</v>
      </c>
      <c r="P418">
        <v>45</v>
      </c>
      <c r="Q418" s="23" t="s">
        <v>2475</v>
      </c>
    </row>
    <row r="419" spans="1:17" x14ac:dyDescent="0.35">
      <c r="A419" s="23">
        <v>1020511</v>
      </c>
      <c r="B419" s="23">
        <v>1</v>
      </c>
      <c r="C419" s="23">
        <v>1020520</v>
      </c>
      <c r="D419" s="23" t="s">
        <v>1768</v>
      </c>
      <c r="E419" s="5">
        <v>15</v>
      </c>
      <c r="F419" s="23">
        <v>1</v>
      </c>
      <c r="G419" s="23">
        <v>0</v>
      </c>
      <c r="H419" s="23">
        <v>0</v>
      </c>
      <c r="I419" s="23" t="s">
        <v>24</v>
      </c>
      <c r="J419" s="23" t="s">
        <v>597</v>
      </c>
      <c r="K419" s="23" t="s">
        <v>1977</v>
      </c>
      <c r="L419" s="24">
        <v>45849</v>
      </c>
      <c r="M419" s="28">
        <v>1.0416666666666666E-2</v>
      </c>
      <c r="N419" s="3">
        <v>45819</v>
      </c>
      <c r="O419">
        <v>137863</v>
      </c>
      <c r="P419">
        <v>45</v>
      </c>
      <c r="Q419" s="23" t="s">
        <v>2476</v>
      </c>
    </row>
    <row r="420" spans="1:17" x14ac:dyDescent="0.35">
      <c r="A420" s="23">
        <v>1020511</v>
      </c>
      <c r="B420" s="23">
        <v>1</v>
      </c>
      <c r="C420" s="23">
        <v>1020521</v>
      </c>
      <c r="D420" s="23" t="s">
        <v>1454</v>
      </c>
      <c r="E420" s="5">
        <v>13</v>
      </c>
      <c r="F420" s="23">
        <v>1</v>
      </c>
      <c r="G420" s="23">
        <v>0</v>
      </c>
      <c r="H420" s="23">
        <v>0</v>
      </c>
      <c r="I420" s="23" t="s">
        <v>24</v>
      </c>
      <c r="J420" s="23" t="s">
        <v>597</v>
      </c>
      <c r="K420" s="23" t="s">
        <v>1977</v>
      </c>
      <c r="L420" s="24">
        <v>45849</v>
      </c>
      <c r="M420" s="28">
        <v>9.0277777777777769E-3</v>
      </c>
      <c r="N420" s="3">
        <v>45819</v>
      </c>
      <c r="O420">
        <v>137864</v>
      </c>
      <c r="P420">
        <v>45</v>
      </c>
      <c r="Q420" s="23" t="s">
        <v>2477</v>
      </c>
    </row>
    <row r="421" spans="1:17" x14ac:dyDescent="0.35">
      <c r="A421" s="23">
        <v>1020511</v>
      </c>
      <c r="B421" s="23">
        <v>1</v>
      </c>
      <c r="C421" s="23">
        <v>1020522</v>
      </c>
      <c r="D421" s="23" t="s">
        <v>1453</v>
      </c>
      <c r="E421" s="5">
        <v>15</v>
      </c>
      <c r="F421" s="23">
        <v>1</v>
      </c>
      <c r="G421" s="23">
        <v>0</v>
      </c>
      <c r="H421" s="23">
        <v>0</v>
      </c>
      <c r="I421" s="23" t="s">
        <v>24</v>
      </c>
      <c r="J421" s="23" t="s">
        <v>597</v>
      </c>
      <c r="K421" s="23" t="s">
        <v>1977</v>
      </c>
      <c r="L421" s="24">
        <v>45849</v>
      </c>
      <c r="M421" s="28">
        <v>1.0416666666666666E-2</v>
      </c>
      <c r="N421" s="3">
        <v>45819</v>
      </c>
      <c r="O421">
        <v>137865</v>
      </c>
      <c r="P421">
        <v>45</v>
      </c>
      <c r="Q421" s="23" t="s">
        <v>2478</v>
      </c>
    </row>
    <row r="422" spans="1:17" x14ac:dyDescent="0.35">
      <c r="A422" s="23">
        <v>1020511</v>
      </c>
      <c r="B422" s="23">
        <v>1</v>
      </c>
      <c r="C422" s="23">
        <v>1020519</v>
      </c>
      <c r="D422" s="23" t="s">
        <v>1769</v>
      </c>
      <c r="E422" s="5">
        <v>15</v>
      </c>
      <c r="F422" s="23">
        <v>1</v>
      </c>
      <c r="G422" s="23">
        <v>0</v>
      </c>
      <c r="H422" s="23">
        <v>0</v>
      </c>
      <c r="I422" s="23" t="s">
        <v>24</v>
      </c>
      <c r="J422" s="23" t="s">
        <v>597</v>
      </c>
      <c r="K422" s="23" t="s">
        <v>1977</v>
      </c>
      <c r="L422" s="24">
        <v>45849</v>
      </c>
      <c r="M422" s="28">
        <v>1.0416666666666666E-2</v>
      </c>
      <c r="N422" s="3">
        <v>45819</v>
      </c>
      <c r="O422">
        <v>137862</v>
      </c>
      <c r="P422">
        <v>45</v>
      </c>
      <c r="Q422" s="23" t="s">
        <v>2479</v>
      </c>
    </row>
    <row r="423" spans="1:17" hidden="1" x14ac:dyDescent="0.35">
      <c r="A423" s="23">
        <v>1020580</v>
      </c>
      <c r="B423" s="23">
        <v>1</v>
      </c>
      <c r="C423" s="23">
        <v>1020593</v>
      </c>
      <c r="D423" s="23" t="s">
        <v>1776</v>
      </c>
      <c r="E423" s="5">
        <v>15</v>
      </c>
      <c r="F423" s="23">
        <v>3</v>
      </c>
      <c r="G423" s="23">
        <v>0</v>
      </c>
      <c r="H423" s="23">
        <v>0</v>
      </c>
      <c r="I423" s="23" t="s">
        <v>24</v>
      </c>
      <c r="J423" s="23" t="s">
        <v>597</v>
      </c>
      <c r="K423" s="23" t="s">
        <v>1978</v>
      </c>
      <c r="L423" s="24">
        <v>45849</v>
      </c>
      <c r="M423" s="28">
        <v>1.0416666666666666E-2</v>
      </c>
      <c r="N423" s="3">
        <v>45819</v>
      </c>
      <c r="O423">
        <v>137925</v>
      </c>
      <c r="P423">
        <v>45</v>
      </c>
    </row>
    <row r="424" spans="1:17" hidden="1" x14ac:dyDescent="0.35">
      <c r="A424" s="23">
        <v>1020580</v>
      </c>
      <c r="B424" s="23">
        <v>1</v>
      </c>
      <c r="C424" s="23">
        <v>1020591</v>
      </c>
      <c r="D424" s="23" t="s">
        <v>947</v>
      </c>
      <c r="E424" s="5">
        <v>20</v>
      </c>
      <c r="F424" s="23">
        <v>3</v>
      </c>
      <c r="G424" s="23">
        <v>0</v>
      </c>
      <c r="H424" s="23">
        <v>0</v>
      </c>
      <c r="I424" s="23" t="s">
        <v>24</v>
      </c>
      <c r="J424" s="23" t="s">
        <v>597</v>
      </c>
      <c r="K424" s="23" t="s">
        <v>1978</v>
      </c>
      <c r="L424" s="24">
        <v>45849</v>
      </c>
      <c r="M424" s="28">
        <v>1.3888888888888888E-2</v>
      </c>
      <c r="N424" s="3">
        <v>45819</v>
      </c>
      <c r="O424">
        <v>137923</v>
      </c>
      <c r="P424">
        <v>45</v>
      </c>
    </row>
    <row r="425" spans="1:17" hidden="1" x14ac:dyDescent="0.35">
      <c r="A425" s="23">
        <v>1020580</v>
      </c>
      <c r="B425" s="23">
        <v>1</v>
      </c>
      <c r="C425" s="23">
        <v>1020592</v>
      </c>
      <c r="D425" s="23" t="s">
        <v>1775</v>
      </c>
      <c r="E425" s="5">
        <v>13</v>
      </c>
      <c r="F425" s="23">
        <v>3</v>
      </c>
      <c r="G425" s="23">
        <v>0</v>
      </c>
      <c r="H425" s="23">
        <v>0</v>
      </c>
      <c r="I425" s="23" t="s">
        <v>24</v>
      </c>
      <c r="J425" s="23" t="s">
        <v>597</v>
      </c>
      <c r="K425" s="23" t="s">
        <v>1978</v>
      </c>
      <c r="L425" s="24">
        <v>45849</v>
      </c>
      <c r="M425" s="28">
        <v>9.0277777777777787E-3</v>
      </c>
      <c r="N425" s="3">
        <v>45819</v>
      </c>
      <c r="O425">
        <v>137924</v>
      </c>
      <c r="P425">
        <v>45</v>
      </c>
    </row>
    <row r="426" spans="1:17" hidden="1" x14ac:dyDescent="0.35">
      <c r="A426" s="23">
        <v>1020580</v>
      </c>
      <c r="B426" s="23">
        <v>1</v>
      </c>
      <c r="C426" s="23">
        <v>1020590</v>
      </c>
      <c r="D426" s="23" t="s">
        <v>1774</v>
      </c>
      <c r="E426" s="5">
        <v>15</v>
      </c>
      <c r="F426" s="23">
        <v>3</v>
      </c>
      <c r="G426" s="23">
        <v>0</v>
      </c>
      <c r="H426" s="23">
        <v>0</v>
      </c>
      <c r="I426" s="23" t="s">
        <v>24</v>
      </c>
      <c r="J426" s="23" t="s">
        <v>597</v>
      </c>
      <c r="K426" s="23" t="s">
        <v>1978</v>
      </c>
      <c r="L426" s="24">
        <v>45849</v>
      </c>
      <c r="M426" s="28">
        <v>1.0416666666666666E-2</v>
      </c>
      <c r="N426" s="3">
        <v>45819</v>
      </c>
      <c r="O426">
        <v>137922</v>
      </c>
      <c r="P426">
        <v>45</v>
      </c>
    </row>
    <row r="427" spans="1:17" hidden="1" x14ac:dyDescent="0.35">
      <c r="A427" s="23">
        <v>1020580</v>
      </c>
      <c r="B427" s="23">
        <v>1</v>
      </c>
      <c r="C427" s="23">
        <v>1020596</v>
      </c>
      <c r="D427" s="23" t="s">
        <v>1773</v>
      </c>
      <c r="E427" s="5">
        <v>15</v>
      </c>
      <c r="F427" s="23">
        <v>3</v>
      </c>
      <c r="G427" s="23">
        <v>0</v>
      </c>
      <c r="H427" s="23">
        <v>0</v>
      </c>
      <c r="I427" s="23" t="s">
        <v>24</v>
      </c>
      <c r="J427" s="23" t="s">
        <v>597</v>
      </c>
      <c r="K427" s="23" t="s">
        <v>1978</v>
      </c>
      <c r="L427" s="24">
        <v>45849</v>
      </c>
      <c r="M427" s="28">
        <v>1.0416666666666666E-2</v>
      </c>
      <c r="N427" s="3">
        <v>45819</v>
      </c>
      <c r="O427">
        <v>137928</v>
      </c>
      <c r="P427">
        <v>45</v>
      </c>
    </row>
    <row r="428" spans="1:17" hidden="1" x14ac:dyDescent="0.35">
      <c r="A428" s="23">
        <v>1020581</v>
      </c>
      <c r="B428" s="23">
        <v>1</v>
      </c>
      <c r="C428" s="23">
        <v>1020593</v>
      </c>
      <c r="D428" s="23" t="s">
        <v>1776</v>
      </c>
      <c r="E428" s="5">
        <v>15</v>
      </c>
      <c r="F428" s="23">
        <v>3</v>
      </c>
      <c r="G428" s="23">
        <v>0</v>
      </c>
      <c r="H428" s="23">
        <v>0</v>
      </c>
      <c r="I428" s="23" t="s">
        <v>24</v>
      </c>
      <c r="J428" s="23" t="s">
        <v>597</v>
      </c>
      <c r="K428" s="23" t="s">
        <v>1978</v>
      </c>
      <c r="L428" s="24">
        <v>45849</v>
      </c>
      <c r="M428" s="28">
        <v>1.0416666666666666E-2</v>
      </c>
      <c r="N428" s="3">
        <v>45819</v>
      </c>
      <c r="O428">
        <v>137925</v>
      </c>
      <c r="P428">
        <v>45</v>
      </c>
    </row>
    <row r="429" spans="1:17" hidden="1" x14ac:dyDescent="0.35">
      <c r="A429" s="23">
        <v>1020581</v>
      </c>
      <c r="B429" s="23">
        <v>1</v>
      </c>
      <c r="C429" s="23">
        <v>1020590</v>
      </c>
      <c r="D429" s="23" t="s">
        <v>1774</v>
      </c>
      <c r="E429" s="5">
        <v>15</v>
      </c>
      <c r="F429" s="23">
        <v>3</v>
      </c>
      <c r="G429" s="23">
        <v>0</v>
      </c>
      <c r="H429" s="23">
        <v>0</v>
      </c>
      <c r="I429" s="23" t="s">
        <v>24</v>
      </c>
      <c r="J429" s="23" t="s">
        <v>597</v>
      </c>
      <c r="K429" s="23" t="s">
        <v>1978</v>
      </c>
      <c r="L429" s="24">
        <v>45849</v>
      </c>
      <c r="M429" s="28">
        <v>1.0416666666666666E-2</v>
      </c>
      <c r="N429" s="3">
        <v>45819</v>
      </c>
      <c r="O429">
        <v>137922</v>
      </c>
      <c r="P429">
        <v>45</v>
      </c>
    </row>
    <row r="430" spans="1:17" hidden="1" x14ac:dyDescent="0.35">
      <c r="A430" s="23">
        <v>1020581</v>
      </c>
      <c r="B430" s="23">
        <v>1</v>
      </c>
      <c r="C430" s="23">
        <v>1020591</v>
      </c>
      <c r="D430" s="23" t="s">
        <v>947</v>
      </c>
      <c r="E430" s="5">
        <v>20</v>
      </c>
      <c r="F430" s="23">
        <v>3</v>
      </c>
      <c r="G430" s="23">
        <v>0</v>
      </c>
      <c r="H430" s="23">
        <v>0</v>
      </c>
      <c r="I430" s="23" t="s">
        <v>24</v>
      </c>
      <c r="J430" s="23" t="s">
        <v>597</v>
      </c>
      <c r="K430" s="23" t="s">
        <v>1978</v>
      </c>
      <c r="L430" s="24">
        <v>45849</v>
      </c>
      <c r="M430" s="28">
        <v>1.3888888888888888E-2</v>
      </c>
      <c r="N430" s="3">
        <v>45819</v>
      </c>
      <c r="O430">
        <v>137923</v>
      </c>
      <c r="P430">
        <v>45</v>
      </c>
    </row>
    <row r="431" spans="1:17" hidden="1" x14ac:dyDescent="0.35">
      <c r="A431" s="23">
        <v>1020581</v>
      </c>
      <c r="B431" s="23">
        <v>1</v>
      </c>
      <c r="C431" s="23">
        <v>1020592</v>
      </c>
      <c r="D431" s="23" t="s">
        <v>1775</v>
      </c>
      <c r="E431" s="5">
        <v>13</v>
      </c>
      <c r="F431" s="23">
        <v>3</v>
      </c>
      <c r="G431" s="23">
        <v>0</v>
      </c>
      <c r="H431" s="23">
        <v>0</v>
      </c>
      <c r="I431" s="23" t="s">
        <v>24</v>
      </c>
      <c r="J431" s="23" t="s">
        <v>597</v>
      </c>
      <c r="K431" s="23" t="s">
        <v>1978</v>
      </c>
      <c r="L431" s="24">
        <v>45849</v>
      </c>
      <c r="M431" s="28">
        <v>9.0277777777777787E-3</v>
      </c>
      <c r="N431" s="3">
        <v>45819</v>
      </c>
      <c r="O431">
        <v>137924</v>
      </c>
      <c r="P431">
        <v>45</v>
      </c>
    </row>
    <row r="432" spans="1:17" hidden="1" x14ac:dyDescent="0.35">
      <c r="A432" s="23">
        <v>1020581</v>
      </c>
      <c r="B432" s="23">
        <v>1</v>
      </c>
      <c r="C432" s="23">
        <v>1020596</v>
      </c>
      <c r="D432" s="23" t="s">
        <v>1773</v>
      </c>
      <c r="E432" s="5">
        <v>15</v>
      </c>
      <c r="F432" s="23">
        <v>3</v>
      </c>
      <c r="G432" s="23">
        <v>0</v>
      </c>
      <c r="H432" s="23">
        <v>0</v>
      </c>
      <c r="I432" s="23" t="s">
        <v>24</v>
      </c>
      <c r="J432" s="23" t="s">
        <v>597</v>
      </c>
      <c r="K432" s="23" t="s">
        <v>1978</v>
      </c>
      <c r="L432" s="24">
        <v>45849</v>
      </c>
      <c r="M432" s="28">
        <v>1.0416666666666666E-2</v>
      </c>
      <c r="N432" s="3">
        <v>45819</v>
      </c>
      <c r="O432">
        <v>137928</v>
      </c>
      <c r="P432">
        <v>45</v>
      </c>
    </row>
    <row r="433" spans="1:16" hidden="1" x14ac:dyDescent="0.35">
      <c r="A433" s="23">
        <v>1020582</v>
      </c>
      <c r="B433" s="23">
        <v>1</v>
      </c>
      <c r="C433" s="23">
        <v>1020590</v>
      </c>
      <c r="D433" s="23" t="s">
        <v>1774</v>
      </c>
      <c r="E433" s="5">
        <v>15</v>
      </c>
      <c r="F433" s="23">
        <v>3</v>
      </c>
      <c r="G433" s="23">
        <v>0</v>
      </c>
      <c r="H433" s="23">
        <v>0</v>
      </c>
      <c r="I433" s="23" t="s">
        <v>24</v>
      </c>
      <c r="J433" s="23" t="s">
        <v>597</v>
      </c>
      <c r="K433" s="23" t="s">
        <v>1978</v>
      </c>
      <c r="L433" s="24">
        <v>45849</v>
      </c>
      <c r="M433" s="28">
        <v>1.0416666666666666E-2</v>
      </c>
      <c r="N433" s="3">
        <v>45819</v>
      </c>
      <c r="O433">
        <v>137922</v>
      </c>
      <c r="P433">
        <v>45</v>
      </c>
    </row>
    <row r="434" spans="1:16" hidden="1" x14ac:dyDescent="0.35">
      <c r="A434" s="23">
        <v>1020582</v>
      </c>
      <c r="B434" s="23">
        <v>1</v>
      </c>
      <c r="C434" s="23">
        <v>1020591</v>
      </c>
      <c r="D434" s="23" t="s">
        <v>947</v>
      </c>
      <c r="E434" s="5">
        <v>20</v>
      </c>
      <c r="F434" s="23">
        <v>3</v>
      </c>
      <c r="G434" s="23">
        <v>0</v>
      </c>
      <c r="H434" s="23">
        <v>0</v>
      </c>
      <c r="I434" s="23" t="s">
        <v>24</v>
      </c>
      <c r="J434" s="23" t="s">
        <v>597</v>
      </c>
      <c r="K434" s="23" t="s">
        <v>1978</v>
      </c>
      <c r="L434" s="24">
        <v>45849</v>
      </c>
      <c r="M434" s="28">
        <v>1.3888888888888888E-2</v>
      </c>
      <c r="N434" s="3">
        <v>45819</v>
      </c>
      <c r="O434">
        <v>137923</v>
      </c>
      <c r="P434">
        <v>45</v>
      </c>
    </row>
    <row r="435" spans="1:16" hidden="1" x14ac:dyDescent="0.35">
      <c r="A435" s="23">
        <v>1020582</v>
      </c>
      <c r="B435" s="23">
        <v>1</v>
      </c>
      <c r="C435" s="23">
        <v>1020592</v>
      </c>
      <c r="D435" s="23" t="s">
        <v>1775</v>
      </c>
      <c r="E435" s="5">
        <v>13</v>
      </c>
      <c r="F435" s="23">
        <v>3</v>
      </c>
      <c r="G435" s="23">
        <v>0</v>
      </c>
      <c r="H435" s="23">
        <v>0</v>
      </c>
      <c r="I435" s="23" t="s">
        <v>24</v>
      </c>
      <c r="J435" s="23" t="s">
        <v>597</v>
      </c>
      <c r="K435" s="23" t="s">
        <v>1978</v>
      </c>
      <c r="L435" s="24">
        <v>45849</v>
      </c>
      <c r="M435" s="28">
        <v>9.0277777777777787E-3</v>
      </c>
      <c r="N435" s="3">
        <v>45819</v>
      </c>
      <c r="O435">
        <v>137924</v>
      </c>
      <c r="P435">
        <v>45</v>
      </c>
    </row>
    <row r="436" spans="1:16" hidden="1" x14ac:dyDescent="0.35">
      <c r="A436" s="23">
        <v>1020582</v>
      </c>
      <c r="B436" s="23">
        <v>1</v>
      </c>
      <c r="C436" s="23">
        <v>1020593</v>
      </c>
      <c r="D436" s="23" t="s">
        <v>1776</v>
      </c>
      <c r="E436" s="5">
        <v>15</v>
      </c>
      <c r="F436" s="23">
        <v>3</v>
      </c>
      <c r="G436" s="23">
        <v>0</v>
      </c>
      <c r="H436" s="23">
        <v>0</v>
      </c>
      <c r="I436" s="23" t="s">
        <v>24</v>
      </c>
      <c r="J436" s="23" t="s">
        <v>597</v>
      </c>
      <c r="K436" s="23" t="s">
        <v>1978</v>
      </c>
      <c r="L436" s="24">
        <v>45849</v>
      </c>
      <c r="M436" s="28">
        <v>1.0416666666666666E-2</v>
      </c>
      <c r="N436" s="3">
        <v>45819</v>
      </c>
      <c r="O436">
        <v>137925</v>
      </c>
      <c r="P436">
        <v>45</v>
      </c>
    </row>
    <row r="437" spans="1:16" hidden="1" x14ac:dyDescent="0.35">
      <c r="A437" s="23">
        <v>1020582</v>
      </c>
      <c r="B437" s="23">
        <v>1</v>
      </c>
      <c r="C437" s="23">
        <v>1020596</v>
      </c>
      <c r="D437" s="23" t="s">
        <v>1773</v>
      </c>
      <c r="E437" s="5">
        <v>15</v>
      </c>
      <c r="F437" s="23">
        <v>3</v>
      </c>
      <c r="G437" s="23">
        <v>0</v>
      </c>
      <c r="H437" s="23">
        <v>0</v>
      </c>
      <c r="I437" s="23" t="s">
        <v>24</v>
      </c>
      <c r="J437" s="23" t="s">
        <v>597</v>
      </c>
      <c r="K437" s="23" t="s">
        <v>1978</v>
      </c>
      <c r="L437" s="24">
        <v>45849</v>
      </c>
      <c r="M437" s="28">
        <v>1.0416666666666666E-2</v>
      </c>
      <c r="N437" s="3">
        <v>45819</v>
      </c>
      <c r="O437">
        <v>137928</v>
      </c>
      <c r="P437">
        <v>45</v>
      </c>
    </row>
    <row r="438" spans="1:16" hidden="1" x14ac:dyDescent="0.35">
      <c r="A438" s="23">
        <v>1024642</v>
      </c>
      <c r="B438" s="23">
        <v>1</v>
      </c>
      <c r="C438" s="23">
        <v>1024637</v>
      </c>
      <c r="D438" s="23" t="s">
        <v>239</v>
      </c>
      <c r="E438" s="5">
        <v>10</v>
      </c>
      <c r="F438" s="23">
        <v>1</v>
      </c>
      <c r="G438" s="23">
        <v>0</v>
      </c>
      <c r="H438" s="23">
        <v>0</v>
      </c>
      <c r="I438" s="23" t="s">
        <v>24</v>
      </c>
      <c r="J438" s="23" t="s">
        <v>597</v>
      </c>
      <c r="K438" s="23" t="s">
        <v>1979</v>
      </c>
      <c r="L438" s="24">
        <v>45833</v>
      </c>
      <c r="M438" s="28">
        <v>6.9444444444444441E-3</v>
      </c>
      <c r="N438" s="3">
        <v>45819</v>
      </c>
      <c r="O438">
        <v>155692</v>
      </c>
      <c r="P438">
        <v>45</v>
      </c>
    </row>
    <row r="439" spans="1:16" hidden="1" x14ac:dyDescent="0.35">
      <c r="A439" s="23">
        <v>1024642</v>
      </c>
      <c r="B439" s="23">
        <v>1</v>
      </c>
      <c r="C439" s="23">
        <v>1024623</v>
      </c>
      <c r="D439" s="23" t="s">
        <v>243</v>
      </c>
      <c r="E439" s="5">
        <v>10</v>
      </c>
      <c r="F439" s="23">
        <v>1</v>
      </c>
      <c r="G439" s="23">
        <v>0</v>
      </c>
      <c r="H439" s="23">
        <v>0</v>
      </c>
      <c r="I439" s="23" t="s">
        <v>24</v>
      </c>
      <c r="J439" s="23" t="s">
        <v>597</v>
      </c>
      <c r="K439" s="23" t="s">
        <v>1979</v>
      </c>
      <c r="L439" s="24">
        <v>45833</v>
      </c>
      <c r="M439" s="28">
        <v>6.9444444444444441E-3</v>
      </c>
      <c r="N439" s="3">
        <v>45819</v>
      </c>
      <c r="O439">
        <v>155678</v>
      </c>
      <c r="P439">
        <v>45</v>
      </c>
    </row>
    <row r="440" spans="1:16" hidden="1" x14ac:dyDescent="0.35">
      <c r="A440" s="23">
        <v>1027062</v>
      </c>
      <c r="B440" s="23">
        <v>1</v>
      </c>
      <c r="C440" s="23">
        <v>1027068</v>
      </c>
      <c r="D440" s="23" t="s">
        <v>1980</v>
      </c>
      <c r="E440" s="5">
        <v>30</v>
      </c>
      <c r="F440" s="23">
        <v>3</v>
      </c>
      <c r="G440" s="23">
        <v>0</v>
      </c>
      <c r="H440" s="23">
        <v>0</v>
      </c>
      <c r="I440" s="23" t="s">
        <v>24</v>
      </c>
      <c r="J440" s="23" t="s">
        <v>597</v>
      </c>
      <c r="K440" s="23" t="s">
        <v>1981</v>
      </c>
      <c r="L440" s="24">
        <v>45849</v>
      </c>
      <c r="M440" s="28">
        <v>2.0833333333333332E-2</v>
      </c>
      <c r="N440" s="3">
        <v>45819</v>
      </c>
      <c r="O440">
        <v>150158</v>
      </c>
      <c r="P440">
        <v>45</v>
      </c>
    </row>
    <row r="441" spans="1:16" hidden="1" x14ac:dyDescent="0.35">
      <c r="A441" s="23">
        <v>1027062</v>
      </c>
      <c r="B441" s="23">
        <v>1</v>
      </c>
      <c r="C441" s="23">
        <v>1027069</v>
      </c>
      <c r="D441" s="23" t="s">
        <v>1982</v>
      </c>
      <c r="E441" s="5">
        <v>30</v>
      </c>
      <c r="F441" s="23">
        <v>3</v>
      </c>
      <c r="G441" s="23">
        <v>0</v>
      </c>
      <c r="H441" s="23">
        <v>0</v>
      </c>
      <c r="I441" s="23" t="s">
        <v>24</v>
      </c>
      <c r="J441" s="23" t="s">
        <v>597</v>
      </c>
      <c r="K441" s="23" t="s">
        <v>1981</v>
      </c>
      <c r="L441" s="24">
        <v>45849</v>
      </c>
      <c r="M441" s="28">
        <v>2.0833333333333332E-2</v>
      </c>
      <c r="N441" s="3">
        <v>45819</v>
      </c>
      <c r="O441">
        <v>150159</v>
      </c>
      <c r="P441">
        <v>45</v>
      </c>
    </row>
    <row r="442" spans="1:16" hidden="1" x14ac:dyDescent="0.35">
      <c r="A442" s="23">
        <v>1027063</v>
      </c>
      <c r="B442" s="23">
        <v>1</v>
      </c>
      <c r="C442" s="23">
        <v>1027068</v>
      </c>
      <c r="D442" s="23" t="s">
        <v>1980</v>
      </c>
      <c r="E442" s="5">
        <v>30</v>
      </c>
      <c r="F442" s="23">
        <v>3</v>
      </c>
      <c r="G442" s="23">
        <v>0</v>
      </c>
      <c r="H442" s="23">
        <v>0</v>
      </c>
      <c r="I442" s="23" t="s">
        <v>24</v>
      </c>
      <c r="J442" s="23" t="s">
        <v>597</v>
      </c>
      <c r="K442" s="23" t="s">
        <v>1981</v>
      </c>
      <c r="L442" s="24">
        <v>45849</v>
      </c>
      <c r="M442" s="28">
        <v>2.0833333333333332E-2</v>
      </c>
      <c r="N442" s="3">
        <v>45819</v>
      </c>
      <c r="O442">
        <v>150158</v>
      </c>
      <c r="P442">
        <v>45</v>
      </c>
    </row>
    <row r="443" spans="1:16" hidden="1" x14ac:dyDescent="0.35">
      <c r="A443" s="23">
        <v>1027063</v>
      </c>
      <c r="B443" s="23">
        <v>1</v>
      </c>
      <c r="C443" s="23">
        <v>1027069</v>
      </c>
      <c r="D443" s="23" t="s">
        <v>1982</v>
      </c>
      <c r="E443" s="5">
        <v>30</v>
      </c>
      <c r="F443" s="23">
        <v>3</v>
      </c>
      <c r="G443" s="23">
        <v>0</v>
      </c>
      <c r="H443" s="23">
        <v>0</v>
      </c>
      <c r="I443" s="23" t="s">
        <v>24</v>
      </c>
      <c r="J443" s="23" t="s">
        <v>597</v>
      </c>
      <c r="K443" s="23" t="s">
        <v>1981</v>
      </c>
      <c r="L443" s="24">
        <v>45849</v>
      </c>
      <c r="M443" s="28">
        <v>2.0833333333333332E-2</v>
      </c>
      <c r="N443" s="3">
        <v>45819</v>
      </c>
      <c r="O443">
        <v>150159</v>
      </c>
      <c r="P443">
        <v>45</v>
      </c>
    </row>
    <row r="444" spans="1:16" hidden="1" x14ac:dyDescent="0.35">
      <c r="A444" s="23">
        <v>1027064</v>
      </c>
      <c r="B444" s="23">
        <v>1</v>
      </c>
      <c r="C444" s="23">
        <v>1027069</v>
      </c>
      <c r="D444" s="23" t="s">
        <v>1982</v>
      </c>
      <c r="E444" s="5">
        <v>30</v>
      </c>
      <c r="F444" s="23">
        <v>3</v>
      </c>
      <c r="G444" s="23">
        <v>0</v>
      </c>
      <c r="H444" s="23">
        <v>0</v>
      </c>
      <c r="I444" s="23" t="s">
        <v>24</v>
      </c>
      <c r="J444" s="23" t="s">
        <v>597</v>
      </c>
      <c r="K444" s="23" t="s">
        <v>1981</v>
      </c>
      <c r="L444" s="24">
        <v>45849</v>
      </c>
      <c r="M444" s="28">
        <v>2.0833333333333332E-2</v>
      </c>
      <c r="N444" s="3">
        <v>45819</v>
      </c>
      <c r="O444">
        <v>150159</v>
      </c>
      <c r="P444">
        <v>45</v>
      </c>
    </row>
    <row r="445" spans="1:16" hidden="1" x14ac:dyDescent="0.35">
      <c r="A445" s="23">
        <v>1027064</v>
      </c>
      <c r="B445" s="23">
        <v>1</v>
      </c>
      <c r="C445" s="23">
        <v>1027068</v>
      </c>
      <c r="D445" s="23" t="s">
        <v>1980</v>
      </c>
      <c r="E445" s="5">
        <v>30</v>
      </c>
      <c r="F445" s="23">
        <v>3</v>
      </c>
      <c r="G445" s="23">
        <v>0</v>
      </c>
      <c r="H445" s="23">
        <v>0</v>
      </c>
      <c r="I445" s="23" t="s">
        <v>24</v>
      </c>
      <c r="J445" s="23" t="s">
        <v>597</v>
      </c>
      <c r="K445" s="23" t="s">
        <v>1981</v>
      </c>
      <c r="L445" s="24">
        <v>45849</v>
      </c>
      <c r="M445" s="28">
        <v>2.0833333333333332E-2</v>
      </c>
      <c r="N445" s="3">
        <v>45819</v>
      </c>
      <c r="O445">
        <v>150158</v>
      </c>
      <c r="P445">
        <v>45</v>
      </c>
    </row>
    <row r="446" spans="1:16" hidden="1" x14ac:dyDescent="0.35">
      <c r="A446" s="23">
        <v>1020251</v>
      </c>
      <c r="B446" s="23">
        <v>1</v>
      </c>
      <c r="C446" s="23">
        <v>1020257</v>
      </c>
      <c r="D446" s="23" t="s">
        <v>1980</v>
      </c>
      <c r="E446" s="5">
        <v>30</v>
      </c>
      <c r="F446" s="23">
        <v>3</v>
      </c>
      <c r="G446" s="23">
        <v>0</v>
      </c>
      <c r="H446" s="23">
        <v>0</v>
      </c>
      <c r="I446" s="23" t="s">
        <v>24</v>
      </c>
      <c r="J446" s="23" t="s">
        <v>597</v>
      </c>
      <c r="K446" s="23" t="s">
        <v>1983</v>
      </c>
      <c r="L446" s="24">
        <v>45838</v>
      </c>
      <c r="M446" s="28">
        <v>2.0833333333333332E-2</v>
      </c>
      <c r="N446" s="3">
        <v>45820</v>
      </c>
      <c r="O446">
        <v>150158</v>
      </c>
      <c r="P446">
        <v>45</v>
      </c>
    </row>
    <row r="447" spans="1:16" hidden="1" x14ac:dyDescent="0.35">
      <c r="A447" s="23">
        <v>1020251</v>
      </c>
      <c r="B447" s="23">
        <v>1</v>
      </c>
      <c r="C447" s="23">
        <v>1020258</v>
      </c>
      <c r="D447" s="23" t="s">
        <v>1982</v>
      </c>
      <c r="E447" s="5">
        <v>30</v>
      </c>
      <c r="F447" s="23">
        <v>3</v>
      </c>
      <c r="G447" s="23">
        <v>0</v>
      </c>
      <c r="H447" s="23">
        <v>0</v>
      </c>
      <c r="I447" s="23" t="s">
        <v>24</v>
      </c>
      <c r="J447" s="23" t="s">
        <v>597</v>
      </c>
      <c r="K447" s="23" t="s">
        <v>1983</v>
      </c>
      <c r="L447" s="24">
        <v>45838</v>
      </c>
      <c r="M447" s="28">
        <v>2.0833333333333332E-2</v>
      </c>
      <c r="N447" s="3">
        <v>45820</v>
      </c>
      <c r="O447">
        <v>150159</v>
      </c>
      <c r="P447">
        <v>45</v>
      </c>
    </row>
    <row r="448" spans="1:16" hidden="1" x14ac:dyDescent="0.35">
      <c r="A448" s="23">
        <v>1020252</v>
      </c>
      <c r="B448" s="23">
        <v>1</v>
      </c>
      <c r="C448" s="23">
        <v>1020258</v>
      </c>
      <c r="D448" s="23" t="s">
        <v>1982</v>
      </c>
      <c r="E448" s="5">
        <v>30</v>
      </c>
      <c r="F448" s="23">
        <v>3</v>
      </c>
      <c r="G448" s="23">
        <v>0</v>
      </c>
      <c r="H448" s="23">
        <v>0</v>
      </c>
      <c r="I448" s="23" t="s">
        <v>24</v>
      </c>
      <c r="J448" s="23" t="s">
        <v>597</v>
      </c>
      <c r="K448" s="23" t="s">
        <v>1983</v>
      </c>
      <c r="L448" s="24">
        <v>45838</v>
      </c>
      <c r="M448" s="28">
        <v>2.0833333333333332E-2</v>
      </c>
      <c r="N448" s="3">
        <v>45820</v>
      </c>
      <c r="O448">
        <v>150159</v>
      </c>
      <c r="P448">
        <v>45</v>
      </c>
    </row>
    <row r="449" spans="1:16" hidden="1" x14ac:dyDescent="0.35">
      <c r="A449" s="23">
        <v>1020252</v>
      </c>
      <c r="B449" s="23">
        <v>1</v>
      </c>
      <c r="C449" s="23">
        <v>1020257</v>
      </c>
      <c r="D449" s="23" t="s">
        <v>1980</v>
      </c>
      <c r="E449" s="5">
        <v>30</v>
      </c>
      <c r="F449" s="23">
        <v>3</v>
      </c>
      <c r="G449" s="23">
        <v>0</v>
      </c>
      <c r="H449" s="23">
        <v>0</v>
      </c>
      <c r="I449" s="23" t="s">
        <v>24</v>
      </c>
      <c r="J449" s="23" t="s">
        <v>597</v>
      </c>
      <c r="K449" s="23" t="s">
        <v>1983</v>
      </c>
      <c r="L449" s="24">
        <v>45838</v>
      </c>
      <c r="M449" s="28">
        <v>2.0833333333333332E-2</v>
      </c>
      <c r="N449" s="3">
        <v>45820</v>
      </c>
      <c r="O449">
        <v>150158</v>
      </c>
      <c r="P449">
        <v>45</v>
      </c>
    </row>
    <row r="450" spans="1:16" hidden="1" x14ac:dyDescent="0.35">
      <c r="A450" s="23">
        <v>1020253</v>
      </c>
      <c r="B450" s="23">
        <v>1</v>
      </c>
      <c r="C450" s="23">
        <v>1020257</v>
      </c>
      <c r="D450" s="23" t="s">
        <v>1980</v>
      </c>
      <c r="E450" s="5">
        <v>30</v>
      </c>
      <c r="F450" s="23">
        <v>3</v>
      </c>
      <c r="G450" s="23">
        <v>0</v>
      </c>
      <c r="H450" s="23">
        <v>0</v>
      </c>
      <c r="I450" s="23" t="s">
        <v>24</v>
      </c>
      <c r="J450" s="23" t="s">
        <v>597</v>
      </c>
      <c r="K450" s="23" t="s">
        <v>1983</v>
      </c>
      <c r="L450" s="24">
        <v>45838</v>
      </c>
      <c r="M450" s="28">
        <v>2.0833333333333332E-2</v>
      </c>
      <c r="N450" s="3">
        <v>45820</v>
      </c>
      <c r="O450">
        <v>150158</v>
      </c>
      <c r="P450">
        <v>45</v>
      </c>
    </row>
    <row r="451" spans="1:16" hidden="1" x14ac:dyDescent="0.35">
      <c r="A451" s="23">
        <v>1020253</v>
      </c>
      <c r="B451" s="23">
        <v>1</v>
      </c>
      <c r="C451" s="23">
        <v>1020258</v>
      </c>
      <c r="D451" s="23" t="s">
        <v>1982</v>
      </c>
      <c r="E451" s="5">
        <v>30</v>
      </c>
      <c r="F451" s="23">
        <v>3</v>
      </c>
      <c r="G451" s="23">
        <v>0</v>
      </c>
      <c r="H451" s="23">
        <v>0</v>
      </c>
      <c r="I451" s="23" t="s">
        <v>24</v>
      </c>
      <c r="J451" s="23" t="s">
        <v>597</v>
      </c>
      <c r="K451" s="23" t="s">
        <v>1983</v>
      </c>
      <c r="L451" s="24">
        <v>45838</v>
      </c>
      <c r="M451" s="28">
        <v>2.0833333333333332E-2</v>
      </c>
      <c r="N451" s="3">
        <v>45820</v>
      </c>
      <c r="O451">
        <v>150159</v>
      </c>
      <c r="P451">
        <v>45</v>
      </c>
    </row>
    <row r="452" spans="1:16" hidden="1" x14ac:dyDescent="0.35">
      <c r="A452" s="23">
        <v>1024704</v>
      </c>
      <c r="B452" s="23">
        <v>1</v>
      </c>
      <c r="C452" s="23">
        <v>1024699</v>
      </c>
      <c r="D452" s="23" t="s">
        <v>239</v>
      </c>
      <c r="E452" s="5">
        <v>10</v>
      </c>
      <c r="F452" s="23">
        <v>1</v>
      </c>
      <c r="G452" s="23">
        <v>0</v>
      </c>
      <c r="H452" s="23">
        <v>0</v>
      </c>
      <c r="I452" s="23" t="s">
        <v>24</v>
      </c>
      <c r="J452" s="23" t="s">
        <v>597</v>
      </c>
      <c r="K452" s="23" t="s">
        <v>1984</v>
      </c>
      <c r="L452" s="24">
        <v>45835</v>
      </c>
      <c r="M452" s="28">
        <v>6.9444444444444441E-3</v>
      </c>
      <c r="N452" s="3">
        <v>45820</v>
      </c>
      <c r="O452">
        <v>155692</v>
      </c>
      <c r="P452">
        <v>45</v>
      </c>
    </row>
    <row r="453" spans="1:16" hidden="1" x14ac:dyDescent="0.35">
      <c r="A453" s="23">
        <v>1024704</v>
      </c>
      <c r="B453" s="23">
        <v>1</v>
      </c>
      <c r="C453" s="23">
        <v>1024685</v>
      </c>
      <c r="D453" s="23" t="s">
        <v>243</v>
      </c>
      <c r="E453" s="5">
        <v>10</v>
      </c>
      <c r="F453" s="23">
        <v>1</v>
      </c>
      <c r="G453" s="23">
        <v>0</v>
      </c>
      <c r="H453" s="23">
        <v>0</v>
      </c>
      <c r="I453" s="23" t="s">
        <v>24</v>
      </c>
      <c r="J453" s="23" t="s">
        <v>597</v>
      </c>
      <c r="K453" s="23" t="s">
        <v>1984</v>
      </c>
      <c r="L453" s="24">
        <v>45835</v>
      </c>
      <c r="M453" s="28">
        <v>6.9444444444444441E-3</v>
      </c>
      <c r="N453" s="3">
        <v>45820</v>
      </c>
      <c r="O453">
        <v>155678</v>
      </c>
      <c r="P453">
        <v>45</v>
      </c>
    </row>
    <row r="454" spans="1:16" hidden="1" x14ac:dyDescent="0.35">
      <c r="A454" s="23">
        <v>1024760</v>
      </c>
      <c r="B454" s="23">
        <v>1</v>
      </c>
      <c r="C454" s="23">
        <v>1024741</v>
      </c>
      <c r="D454" s="23" t="s">
        <v>243</v>
      </c>
      <c r="E454" s="5">
        <v>10</v>
      </c>
      <c r="F454" s="23">
        <v>1</v>
      </c>
      <c r="G454" s="23">
        <v>0</v>
      </c>
      <c r="H454" s="23">
        <v>0</v>
      </c>
      <c r="I454" s="23" t="s">
        <v>24</v>
      </c>
      <c r="J454" s="23" t="s">
        <v>597</v>
      </c>
      <c r="K454" s="23" t="s">
        <v>1985</v>
      </c>
      <c r="L454" s="24">
        <v>45835</v>
      </c>
      <c r="M454" s="28">
        <v>6.9444444444444441E-3</v>
      </c>
      <c r="N454" s="3">
        <v>45820</v>
      </c>
      <c r="O454">
        <v>155678</v>
      </c>
      <c r="P454">
        <v>45</v>
      </c>
    </row>
    <row r="455" spans="1:16" hidden="1" x14ac:dyDescent="0.35">
      <c r="A455" s="23">
        <v>1024760</v>
      </c>
      <c r="B455" s="23">
        <v>1</v>
      </c>
      <c r="C455" s="23">
        <v>1024755</v>
      </c>
      <c r="D455" s="23" t="s">
        <v>239</v>
      </c>
      <c r="E455" s="5">
        <v>10</v>
      </c>
      <c r="F455" s="23">
        <v>1</v>
      </c>
      <c r="G455" s="23">
        <v>0</v>
      </c>
      <c r="H455" s="23">
        <v>0</v>
      </c>
      <c r="I455" s="23" t="s">
        <v>24</v>
      </c>
      <c r="J455" s="23" t="s">
        <v>597</v>
      </c>
      <c r="K455" s="23" t="s">
        <v>1985</v>
      </c>
      <c r="L455" s="24">
        <v>45835</v>
      </c>
      <c r="M455" s="28">
        <v>6.9444444444444441E-3</v>
      </c>
      <c r="N455" s="3">
        <v>45820</v>
      </c>
      <c r="O455">
        <v>155692</v>
      </c>
      <c r="P455">
        <v>45</v>
      </c>
    </row>
    <row r="456" spans="1:16" hidden="1" x14ac:dyDescent="0.35">
      <c r="A456" s="23">
        <v>1024732</v>
      </c>
      <c r="B456" s="23">
        <v>1</v>
      </c>
      <c r="C456" s="23">
        <v>1024713</v>
      </c>
      <c r="D456" s="23" t="s">
        <v>243</v>
      </c>
      <c r="E456" s="5">
        <v>10</v>
      </c>
      <c r="F456" s="23">
        <v>1</v>
      </c>
      <c r="G456" s="23">
        <v>0</v>
      </c>
      <c r="H456" s="23">
        <v>0</v>
      </c>
      <c r="I456" s="23" t="s">
        <v>24</v>
      </c>
      <c r="J456" s="23" t="s">
        <v>597</v>
      </c>
      <c r="K456" s="23" t="s">
        <v>1986</v>
      </c>
      <c r="L456" s="24">
        <v>45835</v>
      </c>
      <c r="M456" s="28">
        <v>6.9444444444444441E-3</v>
      </c>
      <c r="N456" s="3">
        <v>45821</v>
      </c>
      <c r="O456">
        <v>155678</v>
      </c>
      <c r="P456">
        <v>45</v>
      </c>
    </row>
    <row r="457" spans="1:16" hidden="1" x14ac:dyDescent="0.35">
      <c r="A457" s="23">
        <v>1024732</v>
      </c>
      <c r="B457" s="23">
        <v>1</v>
      </c>
      <c r="C457" s="23">
        <v>1024727</v>
      </c>
      <c r="D457" s="23" t="s">
        <v>239</v>
      </c>
      <c r="E457" s="5">
        <v>10</v>
      </c>
      <c r="F457" s="23">
        <v>1</v>
      </c>
      <c r="G457" s="23">
        <v>0</v>
      </c>
      <c r="H457" s="23">
        <v>0</v>
      </c>
      <c r="I457" s="23" t="s">
        <v>24</v>
      </c>
      <c r="J457" s="23" t="s">
        <v>597</v>
      </c>
      <c r="K457" s="23" t="s">
        <v>1986</v>
      </c>
      <c r="L457" s="24">
        <v>45835</v>
      </c>
      <c r="M457" s="28">
        <v>6.9444444444444441E-3</v>
      </c>
      <c r="N457" s="3">
        <v>45821</v>
      </c>
      <c r="O457">
        <v>155692</v>
      </c>
      <c r="P457">
        <v>45</v>
      </c>
    </row>
    <row r="458" spans="1:16" hidden="1" x14ac:dyDescent="0.35">
      <c r="A458" s="23">
        <v>1028453</v>
      </c>
      <c r="B458" s="23">
        <v>1</v>
      </c>
      <c r="C458" s="23">
        <v>1028463</v>
      </c>
      <c r="D458" s="23" t="s">
        <v>1987</v>
      </c>
      <c r="E458" s="5">
        <v>40</v>
      </c>
      <c r="F458" s="23">
        <v>2</v>
      </c>
      <c r="G458" s="23">
        <v>0</v>
      </c>
      <c r="H458" s="23">
        <v>0</v>
      </c>
      <c r="I458" s="23" t="s">
        <v>24</v>
      </c>
      <c r="J458" s="23" t="s">
        <v>597</v>
      </c>
      <c r="K458" s="23" t="s">
        <v>1988</v>
      </c>
      <c r="L458" s="24">
        <v>45834</v>
      </c>
      <c r="M458" s="28">
        <v>2.7777777777777776E-2</v>
      </c>
      <c r="N458" s="3">
        <v>45821</v>
      </c>
      <c r="O458">
        <v>233032</v>
      </c>
      <c r="P458">
        <v>45</v>
      </c>
    </row>
    <row r="459" spans="1:16" hidden="1" x14ac:dyDescent="0.35">
      <c r="A459" s="23">
        <v>1028454</v>
      </c>
      <c r="B459" s="23">
        <v>1</v>
      </c>
      <c r="C459" s="23">
        <v>1028463</v>
      </c>
      <c r="D459" s="23" t="s">
        <v>1987</v>
      </c>
      <c r="E459" s="5">
        <v>40</v>
      </c>
      <c r="F459" s="23">
        <v>2</v>
      </c>
      <c r="G459" s="23">
        <v>0</v>
      </c>
      <c r="H459" s="23">
        <v>0</v>
      </c>
      <c r="I459" s="23" t="s">
        <v>24</v>
      </c>
      <c r="J459" s="23" t="s">
        <v>597</v>
      </c>
      <c r="K459" s="23" t="s">
        <v>1988</v>
      </c>
      <c r="L459" s="24">
        <v>45834</v>
      </c>
      <c r="M459" s="28">
        <v>2.7777777777777776E-2</v>
      </c>
      <c r="N459" s="3">
        <v>45821</v>
      </c>
      <c r="O459">
        <v>233032</v>
      </c>
      <c r="P459">
        <v>45</v>
      </c>
    </row>
    <row r="460" spans="1:16" hidden="1" x14ac:dyDescent="0.35">
      <c r="A460" s="23">
        <v>1028474</v>
      </c>
      <c r="B460" s="23">
        <v>1</v>
      </c>
      <c r="C460" s="23">
        <v>1028479</v>
      </c>
      <c r="D460" s="23" t="s">
        <v>1989</v>
      </c>
      <c r="E460" s="5">
        <v>40</v>
      </c>
      <c r="F460" s="23">
        <v>2</v>
      </c>
      <c r="G460" s="23">
        <v>0</v>
      </c>
      <c r="H460" s="23">
        <v>0</v>
      </c>
      <c r="I460" s="23" t="s">
        <v>24</v>
      </c>
      <c r="J460" s="23" t="s">
        <v>597</v>
      </c>
      <c r="K460" s="23" t="s">
        <v>1990</v>
      </c>
      <c r="L460" s="24">
        <v>45834</v>
      </c>
      <c r="M460" s="28">
        <v>2.7777777777777776E-2</v>
      </c>
      <c r="N460" s="3">
        <v>45821</v>
      </c>
      <c r="O460">
        <v>233047</v>
      </c>
      <c r="P460">
        <v>45</v>
      </c>
    </row>
    <row r="461" spans="1:16" hidden="1" x14ac:dyDescent="0.35">
      <c r="A461" s="23">
        <v>1028475</v>
      </c>
      <c r="B461" s="23">
        <v>1</v>
      </c>
      <c r="C461" s="23">
        <v>1028479</v>
      </c>
      <c r="D461" s="23" t="s">
        <v>1989</v>
      </c>
      <c r="E461" s="5">
        <v>40</v>
      </c>
      <c r="F461" s="23">
        <v>2</v>
      </c>
      <c r="G461" s="23">
        <v>0</v>
      </c>
      <c r="H461" s="23">
        <v>0</v>
      </c>
      <c r="I461" s="23" t="s">
        <v>24</v>
      </c>
      <c r="J461" s="23" t="s">
        <v>597</v>
      </c>
      <c r="K461" s="23" t="s">
        <v>1990</v>
      </c>
      <c r="L461" s="24">
        <v>45834</v>
      </c>
      <c r="M461" s="28">
        <v>2.7777777777777776E-2</v>
      </c>
      <c r="N461" s="3">
        <v>45821</v>
      </c>
      <c r="O461">
        <v>233047</v>
      </c>
      <c r="P461">
        <v>45</v>
      </c>
    </row>
    <row r="462" spans="1:16" hidden="1" x14ac:dyDescent="0.35">
      <c r="A462" s="23">
        <v>1028485</v>
      </c>
      <c r="B462" s="23">
        <v>1</v>
      </c>
      <c r="C462" s="23">
        <v>1028490</v>
      </c>
      <c r="D462" s="23" t="s">
        <v>1991</v>
      </c>
      <c r="E462" s="5">
        <v>40</v>
      </c>
      <c r="F462" s="23">
        <v>2</v>
      </c>
      <c r="G462" s="23">
        <v>0</v>
      </c>
      <c r="H462" s="23">
        <v>0</v>
      </c>
      <c r="I462" s="23" t="s">
        <v>24</v>
      </c>
      <c r="J462" s="23" t="s">
        <v>597</v>
      </c>
      <c r="K462" s="23" t="s">
        <v>1992</v>
      </c>
      <c r="L462" s="24">
        <v>45834</v>
      </c>
      <c r="M462" s="28">
        <v>2.7777777777777776E-2</v>
      </c>
      <c r="N462" s="3">
        <v>45821</v>
      </c>
      <c r="O462">
        <v>233055</v>
      </c>
      <c r="P462">
        <v>45</v>
      </c>
    </row>
    <row r="463" spans="1:16" hidden="1" x14ac:dyDescent="0.35">
      <c r="A463" s="23">
        <v>1028486</v>
      </c>
      <c r="B463" s="23">
        <v>1</v>
      </c>
      <c r="C463" s="23">
        <v>1028490</v>
      </c>
      <c r="D463" s="23" t="s">
        <v>1991</v>
      </c>
      <c r="E463" s="5">
        <v>40</v>
      </c>
      <c r="F463" s="23">
        <v>2</v>
      </c>
      <c r="G463" s="23">
        <v>0</v>
      </c>
      <c r="H463" s="23">
        <v>0</v>
      </c>
      <c r="I463" s="23" t="s">
        <v>24</v>
      </c>
      <c r="J463" s="23" t="s">
        <v>597</v>
      </c>
      <c r="K463" s="23" t="s">
        <v>1992</v>
      </c>
      <c r="L463" s="24">
        <v>45834</v>
      </c>
      <c r="M463" s="28">
        <v>2.7777777777777776E-2</v>
      </c>
      <c r="N463" s="3">
        <v>45821</v>
      </c>
      <c r="O463">
        <v>233055</v>
      </c>
      <c r="P463">
        <v>45</v>
      </c>
    </row>
    <row r="464" spans="1:16" hidden="1" x14ac:dyDescent="0.35">
      <c r="A464" s="23">
        <v>1017361</v>
      </c>
      <c r="B464" s="23">
        <v>1</v>
      </c>
      <c r="C464" s="23">
        <v>1017418</v>
      </c>
      <c r="D464" s="23" t="s">
        <v>1865</v>
      </c>
      <c r="E464" s="5">
        <v>15</v>
      </c>
      <c r="F464" s="23">
        <v>1</v>
      </c>
      <c r="G464" s="23">
        <v>0</v>
      </c>
      <c r="H464" s="23">
        <v>0</v>
      </c>
      <c r="I464" s="23" t="s">
        <v>24</v>
      </c>
      <c r="J464" s="23" t="s">
        <v>597</v>
      </c>
      <c r="K464" s="23" t="s">
        <v>1993</v>
      </c>
      <c r="L464" s="24">
        <v>45849</v>
      </c>
      <c r="M464" s="28">
        <v>1.0416666666666666E-2</v>
      </c>
      <c r="N464" s="3">
        <v>45824</v>
      </c>
      <c r="O464">
        <v>180182</v>
      </c>
      <c r="P464">
        <v>45</v>
      </c>
    </row>
    <row r="465" spans="1:16" hidden="1" x14ac:dyDescent="0.35">
      <c r="A465" s="23">
        <v>1017361</v>
      </c>
      <c r="B465" s="23">
        <v>1</v>
      </c>
      <c r="C465" s="23">
        <v>1017436</v>
      </c>
      <c r="D465" s="23" t="s">
        <v>979</v>
      </c>
      <c r="E465" s="5">
        <v>10</v>
      </c>
      <c r="F465" s="23">
        <v>1</v>
      </c>
      <c r="G465" s="23">
        <v>0</v>
      </c>
      <c r="H465" s="23">
        <v>0</v>
      </c>
      <c r="I465" s="23" t="s">
        <v>24</v>
      </c>
      <c r="J465" s="23" t="s">
        <v>597</v>
      </c>
      <c r="K465" s="23" t="s">
        <v>1993</v>
      </c>
      <c r="L465" s="24">
        <v>45849</v>
      </c>
      <c r="M465" s="28">
        <v>6.9444444444444441E-3</v>
      </c>
      <c r="N465" s="3">
        <v>45824</v>
      </c>
      <c r="O465">
        <v>180200</v>
      </c>
      <c r="P465">
        <v>45</v>
      </c>
    </row>
    <row r="466" spans="1:16" hidden="1" x14ac:dyDescent="0.35">
      <c r="A466" s="23">
        <v>1018678</v>
      </c>
      <c r="B466" s="23">
        <v>1</v>
      </c>
      <c r="C466" s="23">
        <v>1018709</v>
      </c>
      <c r="D466" s="23" t="s">
        <v>1994</v>
      </c>
      <c r="E466" s="5">
        <v>25</v>
      </c>
      <c r="F466" s="23">
        <v>1</v>
      </c>
      <c r="G466" s="23">
        <v>0</v>
      </c>
      <c r="H466" s="23">
        <v>0</v>
      </c>
      <c r="I466" s="23" t="s">
        <v>24</v>
      </c>
      <c r="J466" s="23" t="s">
        <v>597</v>
      </c>
      <c r="K466" s="23" t="s">
        <v>1995</v>
      </c>
      <c r="L466" s="24">
        <v>45833</v>
      </c>
      <c r="M466" s="28">
        <v>1.7361111111111112E-2</v>
      </c>
      <c r="N466" s="3">
        <v>45824</v>
      </c>
      <c r="O466">
        <v>209977</v>
      </c>
      <c r="P466">
        <v>45</v>
      </c>
    </row>
    <row r="467" spans="1:16" hidden="1" x14ac:dyDescent="0.35">
      <c r="A467" s="23">
        <v>1022081</v>
      </c>
      <c r="B467" s="23">
        <v>1</v>
      </c>
      <c r="C467" s="23">
        <v>1022001</v>
      </c>
      <c r="D467" s="23" t="s">
        <v>1612</v>
      </c>
      <c r="E467" s="5">
        <v>20</v>
      </c>
      <c r="F467" s="23">
        <v>6</v>
      </c>
      <c r="G467" s="23">
        <v>0</v>
      </c>
      <c r="H467" s="23">
        <v>0</v>
      </c>
      <c r="I467" s="23" t="s">
        <v>24</v>
      </c>
      <c r="J467" s="23" t="s">
        <v>597</v>
      </c>
      <c r="K467" s="23" t="s">
        <v>1996</v>
      </c>
      <c r="L467" s="24">
        <v>45841</v>
      </c>
      <c r="M467" s="28">
        <v>1.3888888888888888E-2</v>
      </c>
      <c r="N467" s="3">
        <v>45824</v>
      </c>
      <c r="O467">
        <v>215459</v>
      </c>
      <c r="P467">
        <v>45</v>
      </c>
    </row>
    <row r="468" spans="1:16" hidden="1" x14ac:dyDescent="0.35">
      <c r="A468" s="23">
        <v>1022081</v>
      </c>
      <c r="B468" s="23">
        <v>1</v>
      </c>
      <c r="C468" s="23">
        <v>1022002</v>
      </c>
      <c r="D468" s="23" t="s">
        <v>1623</v>
      </c>
      <c r="E468" s="5">
        <v>30</v>
      </c>
      <c r="F468" s="23">
        <v>6</v>
      </c>
      <c r="G468" s="23">
        <v>0</v>
      </c>
      <c r="H468" s="23">
        <v>0</v>
      </c>
      <c r="I468" s="23" t="s">
        <v>24</v>
      </c>
      <c r="J468" s="23" t="s">
        <v>597</v>
      </c>
      <c r="K468" s="23" t="s">
        <v>1996</v>
      </c>
      <c r="L468" s="24">
        <v>45841</v>
      </c>
      <c r="M468" s="28">
        <v>2.0833333333333332E-2</v>
      </c>
      <c r="N468" s="3">
        <v>45824</v>
      </c>
      <c r="O468">
        <v>215460</v>
      </c>
      <c r="P468">
        <v>45</v>
      </c>
    </row>
    <row r="469" spans="1:16" hidden="1" x14ac:dyDescent="0.35">
      <c r="A469" s="23">
        <v>1022081</v>
      </c>
      <c r="B469" s="23">
        <v>1</v>
      </c>
      <c r="C469" s="23">
        <v>1022044</v>
      </c>
      <c r="D469" s="23" t="s">
        <v>1710</v>
      </c>
      <c r="E469" s="5">
        <v>15</v>
      </c>
      <c r="F469" s="23">
        <v>6</v>
      </c>
      <c r="G469" s="23">
        <v>0</v>
      </c>
      <c r="H469" s="23">
        <v>0</v>
      </c>
      <c r="I469" s="23" t="s">
        <v>24</v>
      </c>
      <c r="J469" s="23" t="s">
        <v>597</v>
      </c>
      <c r="K469" s="23" t="s">
        <v>1996</v>
      </c>
      <c r="L469" s="24">
        <v>45841</v>
      </c>
      <c r="M469" s="28">
        <v>1.0416666666666666E-2</v>
      </c>
      <c r="N469" s="3">
        <v>45824</v>
      </c>
      <c r="O469">
        <v>215507</v>
      </c>
      <c r="P469">
        <v>45</v>
      </c>
    </row>
    <row r="470" spans="1:16" hidden="1" x14ac:dyDescent="0.35">
      <c r="A470" s="23">
        <v>1022082</v>
      </c>
      <c r="B470" s="23">
        <v>1</v>
      </c>
      <c r="C470" s="23">
        <v>1022002</v>
      </c>
      <c r="D470" s="23" t="s">
        <v>1623</v>
      </c>
      <c r="E470" s="5">
        <v>30</v>
      </c>
      <c r="F470" s="23">
        <v>6</v>
      </c>
      <c r="G470" s="23">
        <v>0</v>
      </c>
      <c r="H470" s="23">
        <v>0</v>
      </c>
      <c r="I470" s="23" t="s">
        <v>24</v>
      </c>
      <c r="J470" s="23" t="s">
        <v>597</v>
      </c>
      <c r="K470" s="23" t="s">
        <v>1996</v>
      </c>
      <c r="L470" s="24">
        <v>45841</v>
      </c>
      <c r="M470" s="28">
        <v>2.0833333333333332E-2</v>
      </c>
      <c r="N470" s="3">
        <v>45824</v>
      </c>
      <c r="O470">
        <v>215460</v>
      </c>
      <c r="P470">
        <v>45</v>
      </c>
    </row>
    <row r="471" spans="1:16" hidden="1" x14ac:dyDescent="0.35">
      <c r="A471" s="23">
        <v>1022082</v>
      </c>
      <c r="B471" s="23">
        <v>1</v>
      </c>
      <c r="C471" s="23">
        <v>1022001</v>
      </c>
      <c r="D471" s="23" t="s">
        <v>1612</v>
      </c>
      <c r="E471" s="5">
        <v>20</v>
      </c>
      <c r="F471" s="23">
        <v>6</v>
      </c>
      <c r="G471" s="23">
        <v>0</v>
      </c>
      <c r="H471" s="23">
        <v>0</v>
      </c>
      <c r="I471" s="23" t="s">
        <v>24</v>
      </c>
      <c r="J471" s="23" t="s">
        <v>597</v>
      </c>
      <c r="K471" s="23" t="s">
        <v>1996</v>
      </c>
      <c r="L471" s="24">
        <v>45841</v>
      </c>
      <c r="M471" s="28">
        <v>1.3888888888888888E-2</v>
      </c>
      <c r="N471" s="3">
        <v>45824</v>
      </c>
      <c r="O471">
        <v>215459</v>
      </c>
      <c r="P471">
        <v>45</v>
      </c>
    </row>
    <row r="472" spans="1:16" hidden="1" x14ac:dyDescent="0.35">
      <c r="A472" s="23">
        <v>1022082</v>
      </c>
      <c r="B472" s="23">
        <v>1</v>
      </c>
      <c r="C472" s="23">
        <v>1022044</v>
      </c>
      <c r="D472" s="23" t="s">
        <v>1710</v>
      </c>
      <c r="E472" s="5">
        <v>15</v>
      </c>
      <c r="F472" s="23">
        <v>6</v>
      </c>
      <c r="G472" s="23">
        <v>0</v>
      </c>
      <c r="H472" s="23">
        <v>0</v>
      </c>
      <c r="I472" s="23" t="s">
        <v>24</v>
      </c>
      <c r="J472" s="23" t="s">
        <v>597</v>
      </c>
      <c r="K472" s="23" t="s">
        <v>1996</v>
      </c>
      <c r="L472" s="24">
        <v>45841</v>
      </c>
      <c r="M472" s="28">
        <v>1.0416666666666666E-2</v>
      </c>
      <c r="N472" s="3">
        <v>45824</v>
      </c>
      <c r="O472">
        <v>215507</v>
      </c>
      <c r="P472">
        <v>45</v>
      </c>
    </row>
    <row r="473" spans="1:16" hidden="1" x14ac:dyDescent="0.35">
      <c r="A473" s="23">
        <v>1022083</v>
      </c>
      <c r="B473" s="23">
        <v>1</v>
      </c>
      <c r="C473" s="23">
        <v>1022044</v>
      </c>
      <c r="D473" s="23" t="s">
        <v>1710</v>
      </c>
      <c r="E473" s="5">
        <v>15</v>
      </c>
      <c r="F473" s="23">
        <v>6</v>
      </c>
      <c r="G473" s="23">
        <v>0</v>
      </c>
      <c r="H473" s="23">
        <v>0</v>
      </c>
      <c r="I473" s="23" t="s">
        <v>24</v>
      </c>
      <c r="J473" s="23" t="s">
        <v>597</v>
      </c>
      <c r="K473" s="23" t="s">
        <v>1996</v>
      </c>
      <c r="L473" s="24">
        <v>45841</v>
      </c>
      <c r="M473" s="28">
        <v>1.0416666666666666E-2</v>
      </c>
      <c r="N473" s="3">
        <v>45824</v>
      </c>
      <c r="O473">
        <v>215507</v>
      </c>
      <c r="P473">
        <v>45</v>
      </c>
    </row>
    <row r="474" spans="1:16" hidden="1" x14ac:dyDescent="0.35">
      <c r="A474" s="23">
        <v>1022083</v>
      </c>
      <c r="B474" s="23">
        <v>1</v>
      </c>
      <c r="C474" s="23">
        <v>1022002</v>
      </c>
      <c r="D474" s="23" t="s">
        <v>1623</v>
      </c>
      <c r="E474" s="5">
        <v>30</v>
      </c>
      <c r="F474" s="23">
        <v>6</v>
      </c>
      <c r="G474" s="23">
        <v>0</v>
      </c>
      <c r="H474" s="23">
        <v>0</v>
      </c>
      <c r="I474" s="23" t="s">
        <v>24</v>
      </c>
      <c r="J474" s="23" t="s">
        <v>597</v>
      </c>
      <c r="K474" s="23" t="s">
        <v>1996</v>
      </c>
      <c r="L474" s="24">
        <v>45841</v>
      </c>
      <c r="M474" s="28">
        <v>2.0833333333333332E-2</v>
      </c>
      <c r="N474" s="3">
        <v>45824</v>
      </c>
      <c r="O474">
        <v>215460</v>
      </c>
      <c r="P474">
        <v>45</v>
      </c>
    </row>
    <row r="475" spans="1:16" hidden="1" x14ac:dyDescent="0.35">
      <c r="A475" s="23">
        <v>1022083</v>
      </c>
      <c r="B475" s="23">
        <v>1</v>
      </c>
      <c r="C475" s="23">
        <v>1022001</v>
      </c>
      <c r="D475" s="23" t="s">
        <v>1612</v>
      </c>
      <c r="E475" s="5">
        <v>20</v>
      </c>
      <c r="F475" s="23">
        <v>6</v>
      </c>
      <c r="G475" s="23">
        <v>0</v>
      </c>
      <c r="H475" s="23">
        <v>0</v>
      </c>
      <c r="I475" s="23" t="s">
        <v>24</v>
      </c>
      <c r="J475" s="23" t="s">
        <v>597</v>
      </c>
      <c r="K475" s="23" t="s">
        <v>1996</v>
      </c>
      <c r="L475" s="24">
        <v>45841</v>
      </c>
      <c r="M475" s="28">
        <v>1.3888888888888888E-2</v>
      </c>
      <c r="N475" s="3">
        <v>45824</v>
      </c>
      <c r="O475">
        <v>215459</v>
      </c>
      <c r="P475">
        <v>45</v>
      </c>
    </row>
    <row r="476" spans="1:16" hidden="1" x14ac:dyDescent="0.35">
      <c r="A476" s="23">
        <v>1022084</v>
      </c>
      <c r="B476" s="23">
        <v>1</v>
      </c>
      <c r="C476" s="23">
        <v>1022001</v>
      </c>
      <c r="D476" s="23" t="s">
        <v>1612</v>
      </c>
      <c r="E476" s="5">
        <v>20</v>
      </c>
      <c r="F476" s="23">
        <v>6</v>
      </c>
      <c r="G476" s="23">
        <v>0</v>
      </c>
      <c r="H476" s="23">
        <v>0</v>
      </c>
      <c r="I476" s="23" t="s">
        <v>24</v>
      </c>
      <c r="J476" s="23" t="s">
        <v>597</v>
      </c>
      <c r="K476" s="23" t="s">
        <v>1996</v>
      </c>
      <c r="L476" s="24">
        <v>45841</v>
      </c>
      <c r="M476" s="28">
        <v>1.3888888888888888E-2</v>
      </c>
      <c r="N476" s="3">
        <v>45824</v>
      </c>
      <c r="O476">
        <v>215459</v>
      </c>
      <c r="P476">
        <v>45</v>
      </c>
    </row>
    <row r="477" spans="1:16" hidden="1" x14ac:dyDescent="0.35">
      <c r="A477" s="23">
        <v>1022084</v>
      </c>
      <c r="B477" s="23">
        <v>1</v>
      </c>
      <c r="C477" s="23">
        <v>1022044</v>
      </c>
      <c r="D477" s="23" t="s">
        <v>1710</v>
      </c>
      <c r="E477" s="5">
        <v>15</v>
      </c>
      <c r="F477" s="23">
        <v>6</v>
      </c>
      <c r="G477" s="23">
        <v>0</v>
      </c>
      <c r="H477" s="23">
        <v>0</v>
      </c>
      <c r="I477" s="23" t="s">
        <v>24</v>
      </c>
      <c r="J477" s="23" t="s">
        <v>597</v>
      </c>
      <c r="K477" s="23" t="s">
        <v>1996</v>
      </c>
      <c r="L477" s="24">
        <v>45841</v>
      </c>
      <c r="M477" s="28">
        <v>1.0416666666666666E-2</v>
      </c>
      <c r="N477" s="3">
        <v>45824</v>
      </c>
      <c r="O477">
        <v>215507</v>
      </c>
      <c r="P477">
        <v>45</v>
      </c>
    </row>
    <row r="478" spans="1:16" hidden="1" x14ac:dyDescent="0.35">
      <c r="A478" s="23">
        <v>1022084</v>
      </c>
      <c r="B478" s="23">
        <v>1</v>
      </c>
      <c r="C478" s="23">
        <v>1022002</v>
      </c>
      <c r="D478" s="23" t="s">
        <v>1623</v>
      </c>
      <c r="E478" s="5">
        <v>30</v>
      </c>
      <c r="F478" s="23">
        <v>6</v>
      </c>
      <c r="G478" s="23">
        <v>0</v>
      </c>
      <c r="H478" s="23">
        <v>0</v>
      </c>
      <c r="I478" s="23" t="s">
        <v>24</v>
      </c>
      <c r="J478" s="23" t="s">
        <v>597</v>
      </c>
      <c r="K478" s="23" t="s">
        <v>1996</v>
      </c>
      <c r="L478" s="24">
        <v>45841</v>
      </c>
      <c r="M478" s="28">
        <v>2.0833333333333332E-2</v>
      </c>
      <c r="N478" s="3">
        <v>45824</v>
      </c>
      <c r="O478">
        <v>215460</v>
      </c>
      <c r="P478">
        <v>45</v>
      </c>
    </row>
    <row r="479" spans="1:16" hidden="1" x14ac:dyDescent="0.35">
      <c r="A479" s="23">
        <v>1022085</v>
      </c>
      <c r="B479" s="23">
        <v>1</v>
      </c>
      <c r="C479" s="23">
        <v>1022002</v>
      </c>
      <c r="D479" s="23" t="s">
        <v>1623</v>
      </c>
      <c r="E479" s="5">
        <v>30</v>
      </c>
      <c r="F479" s="23">
        <v>6</v>
      </c>
      <c r="G479" s="23">
        <v>0</v>
      </c>
      <c r="H479" s="23">
        <v>0</v>
      </c>
      <c r="I479" s="23" t="s">
        <v>24</v>
      </c>
      <c r="J479" s="23" t="s">
        <v>597</v>
      </c>
      <c r="K479" s="23" t="s">
        <v>1996</v>
      </c>
      <c r="L479" s="24">
        <v>45841</v>
      </c>
      <c r="M479" s="28">
        <v>2.0833333333333332E-2</v>
      </c>
      <c r="N479" s="3">
        <v>45824</v>
      </c>
      <c r="O479">
        <v>215460</v>
      </c>
      <c r="P479">
        <v>45</v>
      </c>
    </row>
    <row r="480" spans="1:16" hidden="1" x14ac:dyDescent="0.35">
      <c r="A480" s="23">
        <v>1022085</v>
      </c>
      <c r="B480" s="23">
        <v>1</v>
      </c>
      <c r="C480" s="23">
        <v>1022001</v>
      </c>
      <c r="D480" s="23" t="s">
        <v>1612</v>
      </c>
      <c r="E480" s="5">
        <v>20</v>
      </c>
      <c r="F480" s="23">
        <v>6</v>
      </c>
      <c r="G480" s="23">
        <v>0</v>
      </c>
      <c r="H480" s="23">
        <v>0</v>
      </c>
      <c r="I480" s="23" t="s">
        <v>24</v>
      </c>
      <c r="J480" s="23" t="s">
        <v>597</v>
      </c>
      <c r="K480" s="23" t="s">
        <v>1996</v>
      </c>
      <c r="L480" s="24">
        <v>45841</v>
      </c>
      <c r="M480" s="28">
        <v>1.3888888888888888E-2</v>
      </c>
      <c r="N480" s="3">
        <v>45824</v>
      </c>
      <c r="O480">
        <v>215459</v>
      </c>
      <c r="P480">
        <v>45</v>
      </c>
    </row>
    <row r="481" spans="1:16" hidden="1" x14ac:dyDescent="0.35">
      <c r="A481" s="23">
        <v>1022085</v>
      </c>
      <c r="B481" s="23">
        <v>1</v>
      </c>
      <c r="C481" s="23">
        <v>1022044</v>
      </c>
      <c r="D481" s="23" t="s">
        <v>1710</v>
      </c>
      <c r="E481" s="5">
        <v>15</v>
      </c>
      <c r="F481" s="23">
        <v>6</v>
      </c>
      <c r="G481" s="23">
        <v>0</v>
      </c>
      <c r="H481" s="23">
        <v>0</v>
      </c>
      <c r="I481" s="23" t="s">
        <v>24</v>
      </c>
      <c r="J481" s="23" t="s">
        <v>597</v>
      </c>
      <c r="K481" s="23" t="s">
        <v>1996</v>
      </c>
      <c r="L481" s="24">
        <v>45841</v>
      </c>
      <c r="M481" s="28">
        <v>1.0416666666666666E-2</v>
      </c>
      <c r="N481" s="3">
        <v>45824</v>
      </c>
      <c r="O481">
        <v>215507</v>
      </c>
      <c r="P481">
        <v>45</v>
      </c>
    </row>
    <row r="482" spans="1:16" hidden="1" x14ac:dyDescent="0.35">
      <c r="A482" s="23">
        <v>1022086</v>
      </c>
      <c r="B482" s="23">
        <v>1</v>
      </c>
      <c r="C482" s="23">
        <v>1022001</v>
      </c>
      <c r="D482" s="23" t="s">
        <v>1612</v>
      </c>
      <c r="E482" s="5">
        <v>20</v>
      </c>
      <c r="F482" s="23">
        <v>6</v>
      </c>
      <c r="G482" s="23">
        <v>0</v>
      </c>
      <c r="H482" s="23">
        <v>0</v>
      </c>
      <c r="I482" s="23" t="s">
        <v>24</v>
      </c>
      <c r="J482" s="23" t="s">
        <v>597</v>
      </c>
      <c r="K482" s="23" t="s">
        <v>1996</v>
      </c>
      <c r="L482" s="24">
        <v>45841</v>
      </c>
      <c r="M482" s="28">
        <v>1.3888888888888888E-2</v>
      </c>
      <c r="N482" s="3">
        <v>45824</v>
      </c>
      <c r="O482">
        <v>215459</v>
      </c>
      <c r="P482">
        <v>45</v>
      </c>
    </row>
    <row r="483" spans="1:16" hidden="1" x14ac:dyDescent="0.35">
      <c r="A483" s="23">
        <v>1022086</v>
      </c>
      <c r="B483" s="23">
        <v>1</v>
      </c>
      <c r="C483" s="23">
        <v>1022002</v>
      </c>
      <c r="D483" s="23" t="s">
        <v>1623</v>
      </c>
      <c r="E483" s="5">
        <v>30</v>
      </c>
      <c r="F483" s="23">
        <v>6</v>
      </c>
      <c r="G483" s="23">
        <v>0</v>
      </c>
      <c r="H483" s="23">
        <v>0</v>
      </c>
      <c r="I483" s="23" t="s">
        <v>24</v>
      </c>
      <c r="J483" s="23" t="s">
        <v>597</v>
      </c>
      <c r="K483" s="23" t="s">
        <v>1996</v>
      </c>
      <c r="L483" s="24">
        <v>45841</v>
      </c>
      <c r="M483" s="28">
        <v>2.0833333333333332E-2</v>
      </c>
      <c r="N483" s="3">
        <v>45824</v>
      </c>
      <c r="O483">
        <v>215460</v>
      </c>
      <c r="P483">
        <v>45</v>
      </c>
    </row>
    <row r="484" spans="1:16" hidden="1" x14ac:dyDescent="0.35">
      <c r="A484" s="23">
        <v>1022086</v>
      </c>
      <c r="B484" s="23">
        <v>1</v>
      </c>
      <c r="C484" s="23">
        <v>1022044</v>
      </c>
      <c r="D484" s="23" t="s">
        <v>1710</v>
      </c>
      <c r="E484" s="5">
        <v>15</v>
      </c>
      <c r="F484" s="23">
        <v>6</v>
      </c>
      <c r="G484" s="23">
        <v>0</v>
      </c>
      <c r="H484" s="23">
        <v>0</v>
      </c>
      <c r="I484" s="23" t="s">
        <v>24</v>
      </c>
      <c r="J484" s="23" t="s">
        <v>597</v>
      </c>
      <c r="K484" s="23" t="s">
        <v>1996</v>
      </c>
      <c r="L484" s="24">
        <v>45841</v>
      </c>
      <c r="M484" s="28">
        <v>1.0416666666666666E-2</v>
      </c>
      <c r="N484" s="3">
        <v>45824</v>
      </c>
      <c r="O484">
        <v>215507</v>
      </c>
      <c r="P484">
        <v>45</v>
      </c>
    </row>
    <row r="485" spans="1:16" hidden="1" x14ac:dyDescent="0.35">
      <c r="A485" s="23">
        <v>1024893</v>
      </c>
      <c r="B485" s="23">
        <v>1</v>
      </c>
      <c r="C485" s="23">
        <v>1024874</v>
      </c>
      <c r="D485" s="23" t="s">
        <v>243</v>
      </c>
      <c r="E485" s="5">
        <v>10</v>
      </c>
      <c r="F485" s="23">
        <v>1</v>
      </c>
      <c r="G485" s="23">
        <v>0</v>
      </c>
      <c r="H485" s="23">
        <v>0</v>
      </c>
      <c r="I485" s="23" t="s">
        <v>24</v>
      </c>
      <c r="J485" s="23" t="s">
        <v>597</v>
      </c>
      <c r="K485" s="23" t="s">
        <v>1997</v>
      </c>
      <c r="L485" s="24">
        <v>45838</v>
      </c>
      <c r="M485" s="28">
        <v>6.9444444444444441E-3</v>
      </c>
      <c r="N485" s="3">
        <v>45824</v>
      </c>
      <c r="O485">
        <v>155678</v>
      </c>
      <c r="P485">
        <v>45</v>
      </c>
    </row>
    <row r="486" spans="1:16" hidden="1" x14ac:dyDescent="0.35">
      <c r="A486" s="23">
        <v>1024893</v>
      </c>
      <c r="B486" s="23">
        <v>1</v>
      </c>
      <c r="C486" s="23">
        <v>1024888</v>
      </c>
      <c r="D486" s="23" t="s">
        <v>239</v>
      </c>
      <c r="E486" s="5">
        <v>10</v>
      </c>
      <c r="F486" s="23">
        <v>1</v>
      </c>
      <c r="G486" s="23">
        <v>0</v>
      </c>
      <c r="H486" s="23">
        <v>0</v>
      </c>
      <c r="I486" s="23" t="s">
        <v>24</v>
      </c>
      <c r="J486" s="23" t="s">
        <v>597</v>
      </c>
      <c r="K486" s="23" t="s">
        <v>1997</v>
      </c>
      <c r="L486" s="24">
        <v>45838</v>
      </c>
      <c r="M486" s="28">
        <v>6.9444444444444441E-3</v>
      </c>
      <c r="N486" s="3">
        <v>45824</v>
      </c>
      <c r="O486">
        <v>155692</v>
      </c>
      <c r="P486">
        <v>45</v>
      </c>
    </row>
    <row r="487" spans="1:16" hidden="1" x14ac:dyDescent="0.35">
      <c r="A487" s="23">
        <v>1025693</v>
      </c>
      <c r="B487" s="23">
        <v>1</v>
      </c>
      <c r="C487" s="23">
        <v>1025789</v>
      </c>
      <c r="D487" s="23" t="s">
        <v>453</v>
      </c>
      <c r="E487" s="5">
        <v>30</v>
      </c>
      <c r="F487" s="23">
        <v>1</v>
      </c>
      <c r="G487" s="23">
        <v>0</v>
      </c>
      <c r="H487" s="23">
        <v>0</v>
      </c>
      <c r="I487" s="23" t="s">
        <v>24</v>
      </c>
      <c r="J487" s="23" t="s">
        <v>597</v>
      </c>
      <c r="K487" s="23" t="s">
        <v>1998</v>
      </c>
      <c r="L487" s="24">
        <v>45841</v>
      </c>
      <c r="M487" s="28">
        <v>2.0833333333333332E-2</v>
      </c>
      <c r="N487" s="3">
        <v>45824</v>
      </c>
      <c r="O487">
        <v>175904</v>
      </c>
      <c r="P487">
        <v>45</v>
      </c>
    </row>
    <row r="488" spans="1:16" hidden="1" x14ac:dyDescent="0.35">
      <c r="A488" s="23">
        <v>1025693</v>
      </c>
      <c r="B488" s="23">
        <v>1</v>
      </c>
      <c r="C488" s="23">
        <v>1025786</v>
      </c>
      <c r="D488" s="23" t="s">
        <v>452</v>
      </c>
      <c r="E488" s="5">
        <v>10</v>
      </c>
      <c r="F488" s="23">
        <v>1</v>
      </c>
      <c r="G488" s="23">
        <v>0</v>
      </c>
      <c r="H488" s="23">
        <v>0</v>
      </c>
      <c r="I488" s="23" t="s">
        <v>24</v>
      </c>
      <c r="J488" s="23" t="s">
        <v>597</v>
      </c>
      <c r="K488" s="23" t="s">
        <v>1998</v>
      </c>
      <c r="L488" s="24">
        <v>45841</v>
      </c>
      <c r="M488" s="28">
        <v>6.9444444444444441E-3</v>
      </c>
      <c r="N488" s="3">
        <v>45824</v>
      </c>
      <c r="O488">
        <v>175901</v>
      </c>
      <c r="P488">
        <v>45</v>
      </c>
    </row>
    <row r="489" spans="1:16" hidden="1" x14ac:dyDescent="0.35">
      <c r="A489" s="23">
        <v>1025693</v>
      </c>
      <c r="B489" s="23">
        <v>1</v>
      </c>
      <c r="C489" s="23">
        <v>1025783</v>
      </c>
      <c r="D489" s="23" t="s">
        <v>1888</v>
      </c>
      <c r="E489" s="5">
        <v>25</v>
      </c>
      <c r="F489" s="23">
        <v>1</v>
      </c>
      <c r="G489" s="23">
        <v>0</v>
      </c>
      <c r="H489" s="23">
        <v>0</v>
      </c>
      <c r="I489" s="23" t="s">
        <v>24</v>
      </c>
      <c r="J489" s="23" t="s">
        <v>597</v>
      </c>
      <c r="K489" s="23" t="s">
        <v>1998</v>
      </c>
      <c r="L489" s="24">
        <v>45841</v>
      </c>
      <c r="M489" s="28">
        <v>1.7361111111111112E-2</v>
      </c>
      <c r="N489" s="3">
        <v>45824</v>
      </c>
      <c r="O489">
        <v>175898</v>
      </c>
      <c r="P489">
        <v>45</v>
      </c>
    </row>
    <row r="490" spans="1:16" hidden="1" x14ac:dyDescent="0.35">
      <c r="A490" s="23">
        <v>1025693</v>
      </c>
      <c r="B490" s="23">
        <v>1</v>
      </c>
      <c r="C490" s="23">
        <v>1025714</v>
      </c>
      <c r="D490" s="23" t="s">
        <v>451</v>
      </c>
      <c r="E490" s="5">
        <v>15</v>
      </c>
      <c r="F490" s="23">
        <v>1</v>
      </c>
      <c r="G490" s="23">
        <v>0</v>
      </c>
      <c r="H490" s="23">
        <v>0</v>
      </c>
      <c r="I490" s="23" t="s">
        <v>24</v>
      </c>
      <c r="J490" s="23" t="s">
        <v>597</v>
      </c>
      <c r="K490" s="23" t="s">
        <v>1998</v>
      </c>
      <c r="L490" s="24">
        <v>45841</v>
      </c>
      <c r="M490" s="28">
        <v>1.0416666666666666E-2</v>
      </c>
      <c r="N490" s="3">
        <v>45824</v>
      </c>
      <c r="O490">
        <v>175819</v>
      </c>
      <c r="P490">
        <v>45</v>
      </c>
    </row>
    <row r="491" spans="1:16" hidden="1" x14ac:dyDescent="0.35">
      <c r="A491" s="23">
        <v>1026317</v>
      </c>
      <c r="B491" s="23">
        <v>1</v>
      </c>
      <c r="C491" s="23">
        <v>1026362</v>
      </c>
      <c r="D491" s="23" t="s">
        <v>1860</v>
      </c>
      <c r="E491" s="5">
        <v>60</v>
      </c>
      <c r="F491" s="23">
        <v>1</v>
      </c>
      <c r="G491" s="23">
        <v>0</v>
      </c>
      <c r="H491" s="23">
        <v>0</v>
      </c>
      <c r="I491" s="23" t="s">
        <v>24</v>
      </c>
      <c r="J491" s="23" t="s">
        <v>597</v>
      </c>
      <c r="K491" s="23" t="s">
        <v>1999</v>
      </c>
      <c r="L491" s="24">
        <v>45839</v>
      </c>
      <c r="M491" s="28">
        <v>4.1666666666666664E-2</v>
      </c>
      <c r="N491" s="3">
        <v>45824</v>
      </c>
      <c r="O491">
        <v>179960</v>
      </c>
      <c r="P491">
        <v>45</v>
      </c>
    </row>
    <row r="492" spans="1:16" hidden="1" x14ac:dyDescent="0.35">
      <c r="A492" s="23">
        <v>1026317</v>
      </c>
      <c r="B492" s="23">
        <v>1</v>
      </c>
      <c r="C492" s="23">
        <v>1026342</v>
      </c>
      <c r="D492" s="23" t="s">
        <v>1861</v>
      </c>
      <c r="E492" s="5">
        <v>60</v>
      </c>
      <c r="F492" s="23">
        <v>1</v>
      </c>
      <c r="G492" s="23">
        <v>0</v>
      </c>
      <c r="H492" s="23">
        <v>0</v>
      </c>
      <c r="I492" s="23" t="s">
        <v>24</v>
      </c>
      <c r="J492" s="23" t="s">
        <v>597</v>
      </c>
      <c r="K492" s="23" t="s">
        <v>1999</v>
      </c>
      <c r="L492" s="24">
        <v>45839</v>
      </c>
      <c r="M492" s="28">
        <v>4.1666666666666664E-2</v>
      </c>
      <c r="N492" s="3">
        <v>45824</v>
      </c>
      <c r="O492">
        <v>179940</v>
      </c>
      <c r="P492">
        <v>45</v>
      </c>
    </row>
    <row r="493" spans="1:16" hidden="1" x14ac:dyDescent="0.35">
      <c r="A493" s="23">
        <v>1026317</v>
      </c>
      <c r="B493" s="23">
        <v>1</v>
      </c>
      <c r="C493" s="23">
        <v>1026388</v>
      </c>
      <c r="D493" s="23" t="s">
        <v>1832</v>
      </c>
      <c r="E493" s="5">
        <v>7</v>
      </c>
      <c r="F493" s="23">
        <v>1</v>
      </c>
      <c r="G493" s="23">
        <v>0</v>
      </c>
      <c r="H493" s="23">
        <v>0</v>
      </c>
      <c r="I493" s="23" t="s">
        <v>24</v>
      </c>
      <c r="J493" s="23" t="s">
        <v>597</v>
      </c>
      <c r="K493" s="23" t="s">
        <v>1999</v>
      </c>
      <c r="L493" s="24">
        <v>45839</v>
      </c>
      <c r="M493" s="28">
        <v>4.8611111111111112E-3</v>
      </c>
      <c r="N493" s="3">
        <v>45824</v>
      </c>
      <c r="O493">
        <v>179986</v>
      </c>
      <c r="P493">
        <v>45</v>
      </c>
    </row>
    <row r="494" spans="1:16" hidden="1" x14ac:dyDescent="0.35">
      <c r="A494" s="23">
        <v>1028010</v>
      </c>
      <c r="B494" s="23">
        <v>1</v>
      </c>
      <c r="C494" s="23">
        <v>1028025</v>
      </c>
      <c r="D494" s="23" t="s">
        <v>1790</v>
      </c>
      <c r="E494" s="5">
        <v>20</v>
      </c>
      <c r="F494" s="23">
        <v>1</v>
      </c>
      <c r="G494" s="23">
        <v>0</v>
      </c>
      <c r="H494" s="23">
        <v>0</v>
      </c>
      <c r="I494" s="23" t="s">
        <v>24</v>
      </c>
      <c r="J494" s="23" t="s">
        <v>597</v>
      </c>
      <c r="K494" s="23" t="s">
        <v>2000</v>
      </c>
      <c r="L494" s="24">
        <v>45856</v>
      </c>
      <c r="M494" s="28">
        <v>1.3888888888888888E-2</v>
      </c>
      <c r="N494" s="3">
        <v>45824</v>
      </c>
      <c r="O494">
        <v>206091</v>
      </c>
      <c r="P494">
        <v>45</v>
      </c>
    </row>
    <row r="495" spans="1:16" hidden="1" x14ac:dyDescent="0.35">
      <c r="A495" s="23">
        <v>1004127</v>
      </c>
      <c r="B495" s="23">
        <v>1</v>
      </c>
      <c r="C495" s="23">
        <v>1004155</v>
      </c>
      <c r="D495" s="23" t="s">
        <v>1495</v>
      </c>
      <c r="E495" s="5">
        <v>30</v>
      </c>
      <c r="F495" s="23">
        <v>12</v>
      </c>
      <c r="G495" s="23">
        <v>0</v>
      </c>
      <c r="H495" s="23">
        <v>0</v>
      </c>
      <c r="I495" s="23" t="s">
        <v>24</v>
      </c>
      <c r="J495" s="23" t="s">
        <v>597</v>
      </c>
      <c r="K495" s="23" t="s">
        <v>1881</v>
      </c>
      <c r="L495" s="24">
        <v>45820</v>
      </c>
      <c r="M495" s="28">
        <v>2.0833333333333332E-2</v>
      </c>
      <c r="N495" s="3">
        <v>45825</v>
      </c>
      <c r="O495">
        <v>220643</v>
      </c>
      <c r="P495">
        <v>45</v>
      </c>
    </row>
    <row r="496" spans="1:16" hidden="1" x14ac:dyDescent="0.35">
      <c r="A496" s="23">
        <v>1004127</v>
      </c>
      <c r="B496" s="23">
        <v>1</v>
      </c>
      <c r="C496" s="23">
        <v>1004154</v>
      </c>
      <c r="D496" s="23" t="s">
        <v>1802</v>
      </c>
      <c r="E496" s="5">
        <v>20</v>
      </c>
      <c r="F496" s="23">
        <v>12</v>
      </c>
      <c r="G496" s="23">
        <v>0</v>
      </c>
      <c r="H496" s="23">
        <v>0</v>
      </c>
      <c r="I496" s="23" t="s">
        <v>24</v>
      </c>
      <c r="J496" s="23" t="s">
        <v>597</v>
      </c>
      <c r="K496" s="23" t="s">
        <v>1881</v>
      </c>
      <c r="L496" s="24">
        <v>45820</v>
      </c>
      <c r="M496" s="28">
        <v>1.3888888888888888E-2</v>
      </c>
      <c r="N496" s="3">
        <v>45825</v>
      </c>
      <c r="O496">
        <v>220642</v>
      </c>
      <c r="P496">
        <v>45</v>
      </c>
    </row>
    <row r="497" spans="1:16" hidden="1" x14ac:dyDescent="0.35">
      <c r="A497" s="23">
        <v>1023999</v>
      </c>
      <c r="B497" s="23">
        <v>12</v>
      </c>
      <c r="C497" s="23">
        <v>1024003</v>
      </c>
      <c r="D497" s="23" t="s">
        <v>1801</v>
      </c>
      <c r="E497" s="5">
        <v>180</v>
      </c>
      <c r="F497" s="23">
        <v>12</v>
      </c>
      <c r="G497" s="23">
        <v>0</v>
      </c>
      <c r="H497" s="23">
        <v>0</v>
      </c>
      <c r="I497" s="23" t="s">
        <v>24</v>
      </c>
      <c r="J497" s="23" t="s">
        <v>597</v>
      </c>
      <c r="K497" s="23" t="s">
        <v>2001</v>
      </c>
      <c r="L497" s="24">
        <v>45841</v>
      </c>
      <c r="M497" s="28">
        <v>0.125</v>
      </c>
      <c r="N497" s="3">
        <v>45825</v>
      </c>
      <c r="O497">
        <v>220685</v>
      </c>
      <c r="P497">
        <v>45</v>
      </c>
    </row>
    <row r="498" spans="1:16" hidden="1" x14ac:dyDescent="0.35">
      <c r="A498" s="23">
        <v>1024022</v>
      </c>
      <c r="B498" s="23">
        <v>1</v>
      </c>
      <c r="C498" s="23">
        <v>1024039</v>
      </c>
      <c r="D498" s="23" t="s">
        <v>1802</v>
      </c>
      <c r="E498" s="5">
        <v>20</v>
      </c>
      <c r="F498" s="23">
        <v>12</v>
      </c>
      <c r="G498" s="23">
        <v>0</v>
      </c>
      <c r="H498" s="23">
        <v>0</v>
      </c>
      <c r="I498" s="23" t="s">
        <v>24</v>
      </c>
      <c r="J498" s="23" t="s">
        <v>597</v>
      </c>
      <c r="K498" s="23" t="s">
        <v>2002</v>
      </c>
      <c r="L498" s="24">
        <v>45841</v>
      </c>
      <c r="M498" s="28">
        <v>1.3888888888888888E-2</v>
      </c>
      <c r="N498" s="3">
        <v>45825</v>
      </c>
      <c r="O498">
        <v>220642</v>
      </c>
      <c r="P498">
        <v>45</v>
      </c>
    </row>
    <row r="499" spans="1:16" hidden="1" x14ac:dyDescent="0.35">
      <c r="A499" s="23">
        <v>1024022</v>
      </c>
      <c r="B499" s="23">
        <v>1</v>
      </c>
      <c r="C499" s="23">
        <v>1024040</v>
      </c>
      <c r="D499" s="23" t="s">
        <v>1495</v>
      </c>
      <c r="E499" s="5">
        <v>30</v>
      </c>
      <c r="F499" s="23">
        <v>12</v>
      </c>
      <c r="G499" s="23">
        <v>0</v>
      </c>
      <c r="H499" s="23">
        <v>0</v>
      </c>
      <c r="I499" s="23" t="s">
        <v>24</v>
      </c>
      <c r="J499" s="23" t="s">
        <v>597</v>
      </c>
      <c r="K499" s="23" t="s">
        <v>2002</v>
      </c>
      <c r="L499" s="24">
        <v>45841</v>
      </c>
      <c r="M499" s="28">
        <v>2.0833333333333332E-2</v>
      </c>
      <c r="N499" s="3">
        <v>45825</v>
      </c>
      <c r="O499">
        <v>220643</v>
      </c>
      <c r="P499">
        <v>45</v>
      </c>
    </row>
    <row r="500" spans="1:16" hidden="1" x14ac:dyDescent="0.35">
      <c r="A500" s="23">
        <v>1024023</v>
      </c>
      <c r="B500" s="23">
        <v>1</v>
      </c>
      <c r="C500" s="23">
        <v>1024040</v>
      </c>
      <c r="D500" s="23" t="s">
        <v>1495</v>
      </c>
      <c r="E500" s="5">
        <v>30</v>
      </c>
      <c r="F500" s="23">
        <v>12</v>
      </c>
      <c r="G500" s="23">
        <v>0</v>
      </c>
      <c r="H500" s="23">
        <v>0</v>
      </c>
      <c r="I500" s="23" t="s">
        <v>24</v>
      </c>
      <c r="J500" s="23" t="s">
        <v>597</v>
      </c>
      <c r="K500" s="23" t="s">
        <v>2002</v>
      </c>
      <c r="L500" s="24">
        <v>45841</v>
      </c>
      <c r="M500" s="28">
        <v>2.0833333333333332E-2</v>
      </c>
      <c r="N500" s="3">
        <v>45825</v>
      </c>
      <c r="O500">
        <v>220643</v>
      </c>
      <c r="P500">
        <v>45</v>
      </c>
    </row>
    <row r="501" spans="1:16" hidden="1" x14ac:dyDescent="0.35">
      <c r="A501" s="23">
        <v>1024023</v>
      </c>
      <c r="B501" s="23">
        <v>1</v>
      </c>
      <c r="C501" s="23">
        <v>1024039</v>
      </c>
      <c r="D501" s="23" t="s">
        <v>1802</v>
      </c>
      <c r="E501" s="5">
        <v>20</v>
      </c>
      <c r="F501" s="23">
        <v>12</v>
      </c>
      <c r="G501" s="23">
        <v>0</v>
      </c>
      <c r="H501" s="23">
        <v>0</v>
      </c>
      <c r="I501" s="23" t="s">
        <v>24</v>
      </c>
      <c r="J501" s="23" t="s">
        <v>597</v>
      </c>
      <c r="K501" s="23" t="s">
        <v>2002</v>
      </c>
      <c r="L501" s="24">
        <v>45841</v>
      </c>
      <c r="M501" s="28">
        <v>1.3888888888888888E-2</v>
      </c>
      <c r="N501" s="3">
        <v>45825</v>
      </c>
      <c r="O501">
        <v>220642</v>
      </c>
      <c r="P501">
        <v>45</v>
      </c>
    </row>
    <row r="502" spans="1:16" hidden="1" x14ac:dyDescent="0.35">
      <c r="A502" s="23">
        <v>1024024</v>
      </c>
      <c r="B502" s="23">
        <v>1</v>
      </c>
      <c r="C502" s="23">
        <v>1024040</v>
      </c>
      <c r="D502" s="23" t="s">
        <v>1495</v>
      </c>
      <c r="E502" s="5">
        <v>30</v>
      </c>
      <c r="F502" s="23">
        <v>12</v>
      </c>
      <c r="G502" s="23">
        <v>0</v>
      </c>
      <c r="H502" s="23">
        <v>0</v>
      </c>
      <c r="I502" s="23" t="s">
        <v>24</v>
      </c>
      <c r="J502" s="23" t="s">
        <v>597</v>
      </c>
      <c r="K502" s="23" t="s">
        <v>2002</v>
      </c>
      <c r="L502" s="24">
        <v>45841</v>
      </c>
      <c r="M502" s="28">
        <v>2.0833333333333332E-2</v>
      </c>
      <c r="N502" s="3">
        <v>45825</v>
      </c>
      <c r="O502">
        <v>220643</v>
      </c>
      <c r="P502">
        <v>45</v>
      </c>
    </row>
    <row r="503" spans="1:16" hidden="1" x14ac:dyDescent="0.35">
      <c r="A503" s="23">
        <v>1024024</v>
      </c>
      <c r="B503" s="23">
        <v>1</v>
      </c>
      <c r="C503" s="23">
        <v>1024039</v>
      </c>
      <c r="D503" s="23" t="s">
        <v>1802</v>
      </c>
      <c r="E503" s="5">
        <v>20</v>
      </c>
      <c r="F503" s="23">
        <v>12</v>
      </c>
      <c r="G503" s="23">
        <v>0</v>
      </c>
      <c r="H503" s="23">
        <v>0</v>
      </c>
      <c r="I503" s="23" t="s">
        <v>24</v>
      </c>
      <c r="J503" s="23" t="s">
        <v>597</v>
      </c>
      <c r="K503" s="23" t="s">
        <v>2002</v>
      </c>
      <c r="L503" s="24">
        <v>45841</v>
      </c>
      <c r="M503" s="28">
        <v>1.3888888888888888E-2</v>
      </c>
      <c r="N503" s="3">
        <v>45825</v>
      </c>
      <c r="O503">
        <v>220642</v>
      </c>
      <c r="P503">
        <v>45</v>
      </c>
    </row>
    <row r="504" spans="1:16" hidden="1" x14ac:dyDescent="0.35">
      <c r="A504" s="23">
        <v>1024025</v>
      </c>
      <c r="B504" s="23">
        <v>1</v>
      </c>
      <c r="C504" s="23">
        <v>1024039</v>
      </c>
      <c r="D504" s="23" t="s">
        <v>1802</v>
      </c>
      <c r="E504" s="5">
        <v>20</v>
      </c>
      <c r="F504" s="23">
        <v>12</v>
      </c>
      <c r="G504" s="23">
        <v>0</v>
      </c>
      <c r="H504" s="23">
        <v>0</v>
      </c>
      <c r="I504" s="23" t="s">
        <v>24</v>
      </c>
      <c r="J504" s="23" t="s">
        <v>597</v>
      </c>
      <c r="K504" s="23" t="s">
        <v>2002</v>
      </c>
      <c r="L504" s="24">
        <v>45841</v>
      </c>
      <c r="M504" s="28">
        <v>1.3888888888888888E-2</v>
      </c>
      <c r="N504" s="3">
        <v>45825</v>
      </c>
      <c r="O504">
        <v>220642</v>
      </c>
      <c r="P504">
        <v>45</v>
      </c>
    </row>
    <row r="505" spans="1:16" hidden="1" x14ac:dyDescent="0.35">
      <c r="A505" s="23">
        <v>1024025</v>
      </c>
      <c r="B505" s="23">
        <v>1</v>
      </c>
      <c r="C505" s="23">
        <v>1024040</v>
      </c>
      <c r="D505" s="23" t="s">
        <v>1495</v>
      </c>
      <c r="E505" s="5">
        <v>30</v>
      </c>
      <c r="F505" s="23">
        <v>12</v>
      </c>
      <c r="G505" s="23">
        <v>0</v>
      </c>
      <c r="H505" s="23">
        <v>0</v>
      </c>
      <c r="I505" s="23" t="s">
        <v>24</v>
      </c>
      <c r="J505" s="23" t="s">
        <v>597</v>
      </c>
      <c r="K505" s="23" t="s">
        <v>2002</v>
      </c>
      <c r="L505" s="24">
        <v>45841</v>
      </c>
      <c r="M505" s="28">
        <v>2.0833333333333332E-2</v>
      </c>
      <c r="N505" s="3">
        <v>45825</v>
      </c>
      <c r="O505">
        <v>220643</v>
      </c>
      <c r="P505">
        <v>45</v>
      </c>
    </row>
    <row r="506" spans="1:16" hidden="1" x14ac:dyDescent="0.35">
      <c r="A506" s="23">
        <v>1024026</v>
      </c>
      <c r="B506" s="23">
        <v>1</v>
      </c>
      <c r="C506" s="23">
        <v>1024040</v>
      </c>
      <c r="D506" s="23" t="s">
        <v>1495</v>
      </c>
      <c r="E506" s="5">
        <v>30</v>
      </c>
      <c r="F506" s="23">
        <v>12</v>
      </c>
      <c r="G506" s="23">
        <v>0</v>
      </c>
      <c r="H506" s="23">
        <v>0</v>
      </c>
      <c r="I506" s="23" t="s">
        <v>24</v>
      </c>
      <c r="J506" s="23" t="s">
        <v>597</v>
      </c>
      <c r="K506" s="23" t="s">
        <v>2002</v>
      </c>
      <c r="L506" s="24">
        <v>45841</v>
      </c>
      <c r="M506" s="28">
        <v>2.0833333333333332E-2</v>
      </c>
      <c r="N506" s="3">
        <v>45825</v>
      </c>
      <c r="O506">
        <v>220643</v>
      </c>
      <c r="P506">
        <v>45</v>
      </c>
    </row>
    <row r="507" spans="1:16" hidden="1" x14ac:dyDescent="0.35">
      <c r="A507" s="23">
        <v>1024026</v>
      </c>
      <c r="B507" s="23">
        <v>1</v>
      </c>
      <c r="C507" s="23">
        <v>1024039</v>
      </c>
      <c r="D507" s="23" t="s">
        <v>1802</v>
      </c>
      <c r="E507" s="5">
        <v>20</v>
      </c>
      <c r="F507" s="23">
        <v>12</v>
      </c>
      <c r="G507" s="23">
        <v>0</v>
      </c>
      <c r="H507" s="23">
        <v>0</v>
      </c>
      <c r="I507" s="23" t="s">
        <v>24</v>
      </c>
      <c r="J507" s="23" t="s">
        <v>597</v>
      </c>
      <c r="K507" s="23" t="s">
        <v>2002</v>
      </c>
      <c r="L507" s="24">
        <v>45841</v>
      </c>
      <c r="M507" s="28">
        <v>1.3888888888888888E-2</v>
      </c>
      <c r="N507" s="3">
        <v>45825</v>
      </c>
      <c r="O507">
        <v>220642</v>
      </c>
      <c r="P507">
        <v>45</v>
      </c>
    </row>
    <row r="508" spans="1:16" hidden="1" x14ac:dyDescent="0.35">
      <c r="A508" s="23">
        <v>1024027</v>
      </c>
      <c r="B508" s="23">
        <v>1</v>
      </c>
      <c r="C508" s="23">
        <v>1024039</v>
      </c>
      <c r="D508" s="23" t="s">
        <v>1802</v>
      </c>
      <c r="E508" s="5">
        <v>20</v>
      </c>
      <c r="F508" s="23">
        <v>12</v>
      </c>
      <c r="G508" s="23">
        <v>0</v>
      </c>
      <c r="H508" s="23">
        <v>0</v>
      </c>
      <c r="I508" s="23" t="s">
        <v>24</v>
      </c>
      <c r="J508" s="23" t="s">
        <v>597</v>
      </c>
      <c r="K508" s="23" t="s">
        <v>2002</v>
      </c>
      <c r="L508" s="24">
        <v>45841</v>
      </c>
      <c r="M508" s="28">
        <v>1.3888888888888888E-2</v>
      </c>
      <c r="N508" s="3">
        <v>45825</v>
      </c>
      <c r="O508">
        <v>220642</v>
      </c>
      <c r="P508">
        <v>45</v>
      </c>
    </row>
    <row r="509" spans="1:16" hidden="1" x14ac:dyDescent="0.35">
      <c r="A509" s="23">
        <v>1024027</v>
      </c>
      <c r="B509" s="23">
        <v>1</v>
      </c>
      <c r="C509" s="23">
        <v>1024040</v>
      </c>
      <c r="D509" s="23" t="s">
        <v>1495</v>
      </c>
      <c r="E509" s="5">
        <v>30</v>
      </c>
      <c r="F509" s="23">
        <v>12</v>
      </c>
      <c r="G509" s="23">
        <v>0</v>
      </c>
      <c r="H509" s="23">
        <v>0</v>
      </c>
      <c r="I509" s="23" t="s">
        <v>24</v>
      </c>
      <c r="J509" s="23" t="s">
        <v>597</v>
      </c>
      <c r="K509" s="23" t="s">
        <v>2002</v>
      </c>
      <c r="L509" s="24">
        <v>45841</v>
      </c>
      <c r="M509" s="28">
        <v>2.0833333333333332E-2</v>
      </c>
      <c r="N509" s="3">
        <v>45825</v>
      </c>
      <c r="O509">
        <v>220643</v>
      </c>
      <c r="P509">
        <v>45</v>
      </c>
    </row>
    <row r="510" spans="1:16" hidden="1" x14ac:dyDescent="0.35">
      <c r="A510" s="23">
        <v>1024028</v>
      </c>
      <c r="B510" s="23">
        <v>1</v>
      </c>
      <c r="C510" s="23">
        <v>1024040</v>
      </c>
      <c r="D510" s="23" t="s">
        <v>1495</v>
      </c>
      <c r="E510" s="5">
        <v>30</v>
      </c>
      <c r="F510" s="23">
        <v>12</v>
      </c>
      <c r="G510" s="23">
        <v>0</v>
      </c>
      <c r="H510" s="23">
        <v>0</v>
      </c>
      <c r="I510" s="23" t="s">
        <v>24</v>
      </c>
      <c r="J510" s="23" t="s">
        <v>597</v>
      </c>
      <c r="K510" s="23" t="s">
        <v>2002</v>
      </c>
      <c r="L510" s="24">
        <v>45841</v>
      </c>
      <c r="M510" s="28">
        <v>2.0833333333333332E-2</v>
      </c>
      <c r="N510" s="3">
        <v>45825</v>
      </c>
      <c r="O510">
        <v>220643</v>
      </c>
      <c r="P510">
        <v>45</v>
      </c>
    </row>
    <row r="511" spans="1:16" hidden="1" x14ac:dyDescent="0.35">
      <c r="A511" s="23">
        <v>1024028</v>
      </c>
      <c r="B511" s="23">
        <v>1</v>
      </c>
      <c r="C511" s="23">
        <v>1024039</v>
      </c>
      <c r="D511" s="23" t="s">
        <v>1802</v>
      </c>
      <c r="E511" s="5">
        <v>20</v>
      </c>
      <c r="F511" s="23">
        <v>12</v>
      </c>
      <c r="G511" s="23">
        <v>0</v>
      </c>
      <c r="H511" s="23">
        <v>0</v>
      </c>
      <c r="I511" s="23" t="s">
        <v>24</v>
      </c>
      <c r="J511" s="23" t="s">
        <v>597</v>
      </c>
      <c r="K511" s="23" t="s">
        <v>2002</v>
      </c>
      <c r="L511" s="24">
        <v>45841</v>
      </c>
      <c r="M511" s="28">
        <v>1.3888888888888888E-2</v>
      </c>
      <c r="N511" s="3">
        <v>45825</v>
      </c>
      <c r="O511">
        <v>220642</v>
      </c>
      <c r="P511">
        <v>45</v>
      </c>
    </row>
    <row r="512" spans="1:16" hidden="1" x14ac:dyDescent="0.35">
      <c r="A512" s="23">
        <v>1024029</v>
      </c>
      <c r="B512" s="23">
        <v>1</v>
      </c>
      <c r="C512" s="23">
        <v>1024039</v>
      </c>
      <c r="D512" s="23" t="s">
        <v>1802</v>
      </c>
      <c r="E512" s="5">
        <v>20</v>
      </c>
      <c r="F512" s="23">
        <v>12</v>
      </c>
      <c r="G512" s="23">
        <v>0</v>
      </c>
      <c r="H512" s="23">
        <v>0</v>
      </c>
      <c r="I512" s="23" t="s">
        <v>24</v>
      </c>
      <c r="J512" s="23" t="s">
        <v>597</v>
      </c>
      <c r="K512" s="23" t="s">
        <v>2002</v>
      </c>
      <c r="L512" s="24">
        <v>45841</v>
      </c>
      <c r="M512" s="28">
        <v>1.3888888888888888E-2</v>
      </c>
      <c r="N512" s="3">
        <v>45825</v>
      </c>
      <c r="O512">
        <v>220642</v>
      </c>
      <c r="P512">
        <v>45</v>
      </c>
    </row>
    <row r="513" spans="1:16" hidden="1" x14ac:dyDescent="0.35">
      <c r="A513" s="23">
        <v>1024029</v>
      </c>
      <c r="B513" s="23">
        <v>1</v>
      </c>
      <c r="C513" s="23">
        <v>1024040</v>
      </c>
      <c r="D513" s="23" t="s">
        <v>1495</v>
      </c>
      <c r="E513" s="5">
        <v>30</v>
      </c>
      <c r="F513" s="23">
        <v>12</v>
      </c>
      <c r="G513" s="23">
        <v>0</v>
      </c>
      <c r="H513" s="23">
        <v>0</v>
      </c>
      <c r="I513" s="23" t="s">
        <v>24</v>
      </c>
      <c r="J513" s="23" t="s">
        <v>597</v>
      </c>
      <c r="K513" s="23" t="s">
        <v>2002</v>
      </c>
      <c r="L513" s="24">
        <v>45841</v>
      </c>
      <c r="M513" s="28">
        <v>2.0833333333333332E-2</v>
      </c>
      <c r="N513" s="3">
        <v>45825</v>
      </c>
      <c r="O513">
        <v>220643</v>
      </c>
      <c r="P513">
        <v>45</v>
      </c>
    </row>
    <row r="514" spans="1:16" hidden="1" x14ac:dyDescent="0.35">
      <c r="A514" s="23">
        <v>1024030</v>
      </c>
      <c r="B514" s="23">
        <v>1</v>
      </c>
      <c r="C514" s="23">
        <v>1024040</v>
      </c>
      <c r="D514" s="23" t="s">
        <v>1495</v>
      </c>
      <c r="E514" s="5">
        <v>30</v>
      </c>
      <c r="F514" s="23">
        <v>12</v>
      </c>
      <c r="G514" s="23">
        <v>0</v>
      </c>
      <c r="H514" s="23">
        <v>0</v>
      </c>
      <c r="I514" s="23" t="s">
        <v>24</v>
      </c>
      <c r="J514" s="23" t="s">
        <v>597</v>
      </c>
      <c r="K514" s="23" t="s">
        <v>2002</v>
      </c>
      <c r="L514" s="24">
        <v>45841</v>
      </c>
      <c r="M514" s="28">
        <v>2.0833333333333332E-2</v>
      </c>
      <c r="N514" s="3">
        <v>45825</v>
      </c>
      <c r="O514">
        <v>220643</v>
      </c>
      <c r="P514">
        <v>45</v>
      </c>
    </row>
    <row r="515" spans="1:16" hidden="1" x14ac:dyDescent="0.35">
      <c r="A515" s="23">
        <v>1024030</v>
      </c>
      <c r="B515" s="23">
        <v>1</v>
      </c>
      <c r="C515" s="23">
        <v>1024039</v>
      </c>
      <c r="D515" s="23" t="s">
        <v>1802</v>
      </c>
      <c r="E515" s="5">
        <v>20</v>
      </c>
      <c r="F515" s="23">
        <v>12</v>
      </c>
      <c r="G515" s="23">
        <v>0</v>
      </c>
      <c r="H515" s="23">
        <v>0</v>
      </c>
      <c r="I515" s="23" t="s">
        <v>24</v>
      </c>
      <c r="J515" s="23" t="s">
        <v>597</v>
      </c>
      <c r="K515" s="23" t="s">
        <v>2002</v>
      </c>
      <c r="L515" s="24">
        <v>45841</v>
      </c>
      <c r="M515" s="28">
        <v>1.3888888888888888E-2</v>
      </c>
      <c r="N515" s="3">
        <v>45825</v>
      </c>
      <c r="O515">
        <v>220642</v>
      </c>
      <c r="P515">
        <v>45</v>
      </c>
    </row>
    <row r="516" spans="1:16" hidden="1" x14ac:dyDescent="0.35">
      <c r="A516" s="23">
        <v>1024031</v>
      </c>
      <c r="B516" s="23">
        <v>1</v>
      </c>
      <c r="C516" s="23">
        <v>1024039</v>
      </c>
      <c r="D516" s="23" t="s">
        <v>1802</v>
      </c>
      <c r="E516" s="5">
        <v>20</v>
      </c>
      <c r="F516" s="23">
        <v>12</v>
      </c>
      <c r="G516" s="23">
        <v>0</v>
      </c>
      <c r="H516" s="23">
        <v>0</v>
      </c>
      <c r="I516" s="23" t="s">
        <v>24</v>
      </c>
      <c r="J516" s="23" t="s">
        <v>597</v>
      </c>
      <c r="K516" s="23" t="s">
        <v>2002</v>
      </c>
      <c r="L516" s="24">
        <v>45841</v>
      </c>
      <c r="M516" s="28">
        <v>1.3888888888888888E-2</v>
      </c>
      <c r="N516" s="3">
        <v>45825</v>
      </c>
      <c r="O516">
        <v>220642</v>
      </c>
      <c r="P516">
        <v>45</v>
      </c>
    </row>
    <row r="517" spans="1:16" hidden="1" x14ac:dyDescent="0.35">
      <c r="A517" s="23">
        <v>1024031</v>
      </c>
      <c r="B517" s="23">
        <v>1</v>
      </c>
      <c r="C517" s="23">
        <v>1024040</v>
      </c>
      <c r="D517" s="23" t="s">
        <v>1495</v>
      </c>
      <c r="E517" s="5">
        <v>30</v>
      </c>
      <c r="F517" s="23">
        <v>12</v>
      </c>
      <c r="G517" s="23">
        <v>0</v>
      </c>
      <c r="H517" s="23">
        <v>0</v>
      </c>
      <c r="I517" s="23" t="s">
        <v>24</v>
      </c>
      <c r="J517" s="23" t="s">
        <v>597</v>
      </c>
      <c r="K517" s="23" t="s">
        <v>2002</v>
      </c>
      <c r="L517" s="24">
        <v>45841</v>
      </c>
      <c r="M517" s="28">
        <v>2.0833333333333332E-2</v>
      </c>
      <c r="N517" s="3">
        <v>45825</v>
      </c>
      <c r="O517">
        <v>220643</v>
      </c>
      <c r="P517">
        <v>45</v>
      </c>
    </row>
    <row r="518" spans="1:16" hidden="1" x14ac:dyDescent="0.35">
      <c r="A518" s="23">
        <v>1024032</v>
      </c>
      <c r="B518" s="23">
        <v>1</v>
      </c>
      <c r="C518" s="23">
        <v>1024040</v>
      </c>
      <c r="D518" s="23" t="s">
        <v>1495</v>
      </c>
      <c r="E518" s="5">
        <v>30</v>
      </c>
      <c r="F518" s="23">
        <v>12</v>
      </c>
      <c r="G518" s="23">
        <v>0</v>
      </c>
      <c r="H518" s="23">
        <v>0</v>
      </c>
      <c r="I518" s="23" t="s">
        <v>24</v>
      </c>
      <c r="J518" s="23" t="s">
        <v>597</v>
      </c>
      <c r="K518" s="23" t="s">
        <v>2002</v>
      </c>
      <c r="L518" s="24">
        <v>45841</v>
      </c>
      <c r="M518" s="28">
        <v>2.0833333333333332E-2</v>
      </c>
      <c r="N518" s="3">
        <v>45825</v>
      </c>
      <c r="O518">
        <v>220643</v>
      </c>
      <c r="P518">
        <v>45</v>
      </c>
    </row>
    <row r="519" spans="1:16" hidden="1" x14ac:dyDescent="0.35">
      <c r="A519" s="23">
        <v>1024032</v>
      </c>
      <c r="B519" s="23">
        <v>1</v>
      </c>
      <c r="C519" s="23">
        <v>1024039</v>
      </c>
      <c r="D519" s="23" t="s">
        <v>1802</v>
      </c>
      <c r="E519" s="5">
        <v>20</v>
      </c>
      <c r="F519" s="23">
        <v>12</v>
      </c>
      <c r="G519" s="23">
        <v>0</v>
      </c>
      <c r="H519" s="23">
        <v>0</v>
      </c>
      <c r="I519" s="23" t="s">
        <v>24</v>
      </c>
      <c r="J519" s="23" t="s">
        <v>597</v>
      </c>
      <c r="K519" s="23" t="s">
        <v>2002</v>
      </c>
      <c r="L519" s="24">
        <v>45841</v>
      </c>
      <c r="M519" s="28">
        <v>1.3888888888888888E-2</v>
      </c>
      <c r="N519" s="3">
        <v>45825</v>
      </c>
      <c r="O519">
        <v>220642</v>
      </c>
      <c r="P519">
        <v>45</v>
      </c>
    </row>
    <row r="520" spans="1:16" hidden="1" x14ac:dyDescent="0.35">
      <c r="A520" s="23">
        <v>1024033</v>
      </c>
      <c r="B520" s="23">
        <v>1</v>
      </c>
      <c r="C520" s="23">
        <v>1024040</v>
      </c>
      <c r="D520" s="23" t="s">
        <v>1495</v>
      </c>
      <c r="E520" s="5">
        <v>30</v>
      </c>
      <c r="F520" s="23">
        <v>12</v>
      </c>
      <c r="G520" s="23">
        <v>0</v>
      </c>
      <c r="H520" s="23">
        <v>0</v>
      </c>
      <c r="I520" s="23" t="s">
        <v>24</v>
      </c>
      <c r="J520" s="23" t="s">
        <v>597</v>
      </c>
      <c r="K520" s="23" t="s">
        <v>2002</v>
      </c>
      <c r="L520" s="24">
        <v>45841</v>
      </c>
      <c r="M520" s="28">
        <v>2.0833333333333332E-2</v>
      </c>
      <c r="N520" s="3">
        <v>45825</v>
      </c>
      <c r="O520">
        <v>220643</v>
      </c>
      <c r="P520">
        <v>45</v>
      </c>
    </row>
    <row r="521" spans="1:16" hidden="1" x14ac:dyDescent="0.35">
      <c r="A521" s="23">
        <v>1024033</v>
      </c>
      <c r="B521" s="23">
        <v>1</v>
      </c>
      <c r="C521" s="23">
        <v>1024039</v>
      </c>
      <c r="D521" s="23" t="s">
        <v>1802</v>
      </c>
      <c r="E521" s="5">
        <v>20</v>
      </c>
      <c r="F521" s="23">
        <v>12</v>
      </c>
      <c r="G521" s="23">
        <v>0</v>
      </c>
      <c r="H521" s="23">
        <v>0</v>
      </c>
      <c r="I521" s="23" t="s">
        <v>24</v>
      </c>
      <c r="J521" s="23" t="s">
        <v>597</v>
      </c>
      <c r="K521" s="23" t="s">
        <v>2002</v>
      </c>
      <c r="L521" s="24">
        <v>45841</v>
      </c>
      <c r="M521" s="28">
        <v>1.3888888888888888E-2</v>
      </c>
      <c r="N521" s="3">
        <v>45825</v>
      </c>
      <c r="O521">
        <v>220642</v>
      </c>
      <c r="P521">
        <v>45</v>
      </c>
    </row>
    <row r="522" spans="1:16" hidden="1" x14ac:dyDescent="0.35">
      <c r="A522" s="23">
        <v>1024865</v>
      </c>
      <c r="B522" s="23">
        <v>1</v>
      </c>
      <c r="C522" s="23">
        <v>1024846</v>
      </c>
      <c r="D522" s="23" t="s">
        <v>243</v>
      </c>
      <c r="E522" s="5">
        <v>10</v>
      </c>
      <c r="F522" s="23">
        <v>1</v>
      </c>
      <c r="G522" s="23">
        <v>0</v>
      </c>
      <c r="H522" s="23">
        <v>0</v>
      </c>
      <c r="I522" s="23" t="s">
        <v>24</v>
      </c>
      <c r="J522" s="23" t="s">
        <v>597</v>
      </c>
      <c r="K522" s="23" t="s">
        <v>2003</v>
      </c>
      <c r="L522" s="24">
        <v>45838</v>
      </c>
      <c r="M522" s="28">
        <v>6.9444444444444441E-3</v>
      </c>
      <c r="N522" s="3">
        <v>45825</v>
      </c>
      <c r="O522">
        <v>155678</v>
      </c>
      <c r="P522">
        <v>45</v>
      </c>
    </row>
    <row r="523" spans="1:16" hidden="1" x14ac:dyDescent="0.35">
      <c r="A523" s="23">
        <v>1024865</v>
      </c>
      <c r="B523" s="23">
        <v>1</v>
      </c>
      <c r="C523" s="23">
        <v>1024860</v>
      </c>
      <c r="D523" s="23" t="s">
        <v>239</v>
      </c>
      <c r="E523" s="5">
        <v>10</v>
      </c>
      <c r="F523" s="23">
        <v>1</v>
      </c>
      <c r="G523" s="23">
        <v>0</v>
      </c>
      <c r="H523" s="23">
        <v>0</v>
      </c>
      <c r="I523" s="23" t="s">
        <v>24</v>
      </c>
      <c r="J523" s="23" t="s">
        <v>597</v>
      </c>
      <c r="K523" s="23" t="s">
        <v>2003</v>
      </c>
      <c r="L523" s="24">
        <v>45838</v>
      </c>
      <c r="M523" s="28">
        <v>6.9444444444444441E-3</v>
      </c>
      <c r="N523" s="3">
        <v>45825</v>
      </c>
      <c r="O523">
        <v>155692</v>
      </c>
      <c r="P523">
        <v>45</v>
      </c>
    </row>
    <row r="524" spans="1:16" hidden="1" x14ac:dyDescent="0.35">
      <c r="A524" s="23">
        <v>1020544</v>
      </c>
      <c r="B524" s="23">
        <v>1</v>
      </c>
      <c r="C524" s="23">
        <v>1020549</v>
      </c>
      <c r="D524" s="23" t="s">
        <v>994</v>
      </c>
      <c r="E524" s="5">
        <v>12.5</v>
      </c>
      <c r="F524" s="23">
        <v>4</v>
      </c>
      <c r="G524" s="23">
        <v>0</v>
      </c>
      <c r="H524" s="23">
        <v>0</v>
      </c>
      <c r="I524" s="23" t="s">
        <v>24</v>
      </c>
      <c r="J524" s="23" t="s">
        <v>597</v>
      </c>
      <c r="K524" s="23" t="s">
        <v>2004</v>
      </c>
      <c r="L524" s="24">
        <v>45869</v>
      </c>
      <c r="M524" s="28">
        <v>8.6805555555555559E-3</v>
      </c>
      <c r="N524" s="3">
        <v>45826</v>
      </c>
      <c r="O524">
        <v>139606</v>
      </c>
      <c r="P524">
        <v>45</v>
      </c>
    </row>
    <row r="525" spans="1:16" hidden="1" x14ac:dyDescent="0.35">
      <c r="A525" s="23">
        <v>1020544</v>
      </c>
      <c r="B525" s="23">
        <v>1</v>
      </c>
      <c r="C525" s="23">
        <v>1020551</v>
      </c>
      <c r="D525" s="23" t="s">
        <v>1772</v>
      </c>
      <c r="E525" s="5">
        <v>20</v>
      </c>
      <c r="F525" s="23">
        <v>4</v>
      </c>
      <c r="G525" s="23">
        <v>0</v>
      </c>
      <c r="H525" s="23">
        <v>0</v>
      </c>
      <c r="I525" s="23" t="s">
        <v>24</v>
      </c>
      <c r="J525" s="23" t="s">
        <v>597</v>
      </c>
      <c r="K525" s="23" t="s">
        <v>2004</v>
      </c>
      <c r="L525" s="24">
        <v>45869</v>
      </c>
      <c r="M525" s="28">
        <v>1.3888888888888888E-2</v>
      </c>
      <c r="N525" s="3">
        <v>45826</v>
      </c>
      <c r="O525">
        <v>139608</v>
      </c>
      <c r="P525">
        <v>45</v>
      </c>
    </row>
    <row r="526" spans="1:16" hidden="1" x14ac:dyDescent="0.35">
      <c r="A526" s="23">
        <v>1020544</v>
      </c>
      <c r="B526" s="23">
        <v>1</v>
      </c>
      <c r="C526" s="23">
        <v>1020558</v>
      </c>
      <c r="D526" s="23" t="s">
        <v>1771</v>
      </c>
      <c r="E526" s="5">
        <v>15</v>
      </c>
      <c r="F526" s="23">
        <v>4</v>
      </c>
      <c r="G526" s="23">
        <v>0</v>
      </c>
      <c r="H526" s="23">
        <v>0</v>
      </c>
      <c r="I526" s="23" t="s">
        <v>24</v>
      </c>
      <c r="J526" s="23" t="s">
        <v>597</v>
      </c>
      <c r="K526" s="23" t="s">
        <v>2004</v>
      </c>
      <c r="L526" s="24">
        <v>45869</v>
      </c>
      <c r="M526" s="28">
        <v>1.0416666666666666E-2</v>
      </c>
      <c r="N526" s="3">
        <v>45826</v>
      </c>
      <c r="O526">
        <v>139615</v>
      </c>
      <c r="P526">
        <v>45</v>
      </c>
    </row>
    <row r="527" spans="1:16" hidden="1" x14ac:dyDescent="0.35">
      <c r="A527" s="23">
        <v>1020544</v>
      </c>
      <c r="B527" s="23">
        <v>1</v>
      </c>
      <c r="C527" s="23">
        <v>1020562</v>
      </c>
      <c r="D527" s="23" t="s">
        <v>1770</v>
      </c>
      <c r="E527" s="5">
        <v>30</v>
      </c>
      <c r="F527" s="23">
        <v>4</v>
      </c>
      <c r="G527" s="23">
        <v>0</v>
      </c>
      <c r="H527" s="23">
        <v>0</v>
      </c>
      <c r="I527" s="23" t="s">
        <v>24</v>
      </c>
      <c r="J527" s="23" t="s">
        <v>597</v>
      </c>
      <c r="K527" s="23" t="s">
        <v>2004</v>
      </c>
      <c r="L527" s="24">
        <v>45869</v>
      </c>
      <c r="M527" s="28">
        <v>2.0833333333333332E-2</v>
      </c>
      <c r="N527" s="3">
        <v>45826</v>
      </c>
      <c r="O527">
        <v>139619</v>
      </c>
      <c r="P527">
        <v>45</v>
      </c>
    </row>
    <row r="528" spans="1:16" hidden="1" x14ac:dyDescent="0.35">
      <c r="A528" s="23">
        <v>1020544</v>
      </c>
      <c r="B528" s="23">
        <v>1</v>
      </c>
      <c r="C528" s="23">
        <v>1020567</v>
      </c>
      <c r="D528" s="23" t="s">
        <v>1855</v>
      </c>
      <c r="E528" s="5">
        <v>20</v>
      </c>
      <c r="F528" s="23">
        <v>8</v>
      </c>
      <c r="G528" s="23">
        <v>0</v>
      </c>
      <c r="H528" s="23">
        <v>0</v>
      </c>
      <c r="I528" s="23" t="s">
        <v>24</v>
      </c>
      <c r="J528" s="23" t="s">
        <v>597</v>
      </c>
      <c r="K528" s="23" t="s">
        <v>2004</v>
      </c>
      <c r="L528" s="24">
        <v>45869</v>
      </c>
      <c r="M528" s="28">
        <v>1.3888888888888888E-2</v>
      </c>
      <c r="N528" s="3">
        <v>45826</v>
      </c>
      <c r="O528">
        <v>139624</v>
      </c>
      <c r="P528">
        <v>45</v>
      </c>
    </row>
    <row r="529" spans="1:16" hidden="1" x14ac:dyDescent="0.35">
      <c r="A529" s="23">
        <v>1020544</v>
      </c>
      <c r="B529" s="23">
        <v>1</v>
      </c>
      <c r="C529" s="23">
        <v>1020561</v>
      </c>
      <c r="D529" s="23" t="s">
        <v>977</v>
      </c>
      <c r="E529" s="5">
        <v>25</v>
      </c>
      <c r="F529" s="23">
        <v>4</v>
      </c>
      <c r="G529" s="23">
        <v>0</v>
      </c>
      <c r="H529" s="23">
        <v>0</v>
      </c>
      <c r="I529" s="23" t="s">
        <v>24</v>
      </c>
      <c r="J529" s="23" t="s">
        <v>597</v>
      </c>
      <c r="K529" s="23" t="s">
        <v>2004</v>
      </c>
      <c r="L529" s="24">
        <v>45869</v>
      </c>
      <c r="M529" s="28">
        <v>1.7361111111111112E-2</v>
      </c>
      <c r="N529" s="3">
        <v>45826</v>
      </c>
      <c r="O529">
        <v>139618</v>
      </c>
      <c r="P529">
        <v>45</v>
      </c>
    </row>
    <row r="530" spans="1:16" hidden="1" x14ac:dyDescent="0.35">
      <c r="A530" s="23">
        <v>1020544</v>
      </c>
      <c r="B530" s="23">
        <v>1</v>
      </c>
      <c r="C530" s="23">
        <v>1020574</v>
      </c>
      <c r="D530" s="23" t="s">
        <v>1457</v>
      </c>
      <c r="E530" s="5">
        <v>75</v>
      </c>
      <c r="F530" s="23">
        <v>4</v>
      </c>
      <c r="G530" s="23">
        <v>0</v>
      </c>
      <c r="H530" s="23">
        <v>0</v>
      </c>
      <c r="I530" s="23" t="s">
        <v>24</v>
      </c>
      <c r="J530" s="23" t="s">
        <v>597</v>
      </c>
      <c r="K530" s="23" t="s">
        <v>2004</v>
      </c>
      <c r="L530" s="24">
        <v>45869</v>
      </c>
      <c r="M530" s="28">
        <v>5.2083333333333336E-2</v>
      </c>
      <c r="N530" s="3">
        <v>45826</v>
      </c>
      <c r="O530">
        <v>139631</v>
      </c>
      <c r="P530">
        <v>45</v>
      </c>
    </row>
    <row r="531" spans="1:16" hidden="1" x14ac:dyDescent="0.35">
      <c r="A531" s="23">
        <v>1020544</v>
      </c>
      <c r="B531" s="23">
        <v>1</v>
      </c>
      <c r="C531" s="23">
        <v>1020548</v>
      </c>
      <c r="D531" s="23" t="s">
        <v>993</v>
      </c>
      <c r="E531" s="5">
        <v>12.5</v>
      </c>
      <c r="F531" s="23">
        <v>4</v>
      </c>
      <c r="G531" s="23">
        <v>0</v>
      </c>
      <c r="H531" s="23">
        <v>0</v>
      </c>
      <c r="I531" s="23" t="s">
        <v>24</v>
      </c>
      <c r="J531" s="23" t="s">
        <v>597</v>
      </c>
      <c r="K531" s="23" t="s">
        <v>2004</v>
      </c>
      <c r="L531" s="24">
        <v>45869</v>
      </c>
      <c r="M531" s="28">
        <v>8.6805555555555559E-3</v>
      </c>
      <c r="N531" s="3">
        <v>45826</v>
      </c>
      <c r="O531">
        <v>139605</v>
      </c>
      <c r="P531">
        <v>45</v>
      </c>
    </row>
    <row r="532" spans="1:16" hidden="1" x14ac:dyDescent="0.35">
      <c r="A532" s="23">
        <v>1020545</v>
      </c>
      <c r="B532" s="23">
        <v>1</v>
      </c>
      <c r="C532" s="23">
        <v>1020551</v>
      </c>
      <c r="D532" s="23" t="s">
        <v>1772</v>
      </c>
      <c r="E532" s="5">
        <v>20</v>
      </c>
      <c r="F532" s="23">
        <v>4</v>
      </c>
      <c r="G532" s="23">
        <v>0</v>
      </c>
      <c r="H532" s="23">
        <v>0</v>
      </c>
      <c r="I532" s="23" t="s">
        <v>24</v>
      </c>
      <c r="J532" s="23" t="s">
        <v>597</v>
      </c>
      <c r="K532" s="23" t="s">
        <v>2004</v>
      </c>
      <c r="L532" s="24">
        <v>45869</v>
      </c>
      <c r="M532" s="28">
        <v>1.3888888888888888E-2</v>
      </c>
      <c r="N532" s="3">
        <v>45826</v>
      </c>
      <c r="O532">
        <v>139608</v>
      </c>
      <c r="P532">
        <v>45</v>
      </c>
    </row>
    <row r="533" spans="1:16" hidden="1" x14ac:dyDescent="0.35">
      <c r="A533" s="23">
        <v>1020545</v>
      </c>
      <c r="B533" s="23">
        <v>1</v>
      </c>
      <c r="C533" s="23">
        <v>1020558</v>
      </c>
      <c r="D533" s="23" t="s">
        <v>1771</v>
      </c>
      <c r="E533" s="5">
        <v>15</v>
      </c>
      <c r="F533" s="23">
        <v>4</v>
      </c>
      <c r="G533" s="23">
        <v>0</v>
      </c>
      <c r="H533" s="23">
        <v>0</v>
      </c>
      <c r="I533" s="23" t="s">
        <v>24</v>
      </c>
      <c r="J533" s="23" t="s">
        <v>597</v>
      </c>
      <c r="K533" s="23" t="s">
        <v>2004</v>
      </c>
      <c r="L533" s="24">
        <v>45869</v>
      </c>
      <c r="M533" s="28">
        <v>1.0416666666666666E-2</v>
      </c>
      <c r="N533" s="3">
        <v>45826</v>
      </c>
      <c r="O533">
        <v>139615</v>
      </c>
      <c r="P533">
        <v>45</v>
      </c>
    </row>
    <row r="534" spans="1:16" hidden="1" x14ac:dyDescent="0.35">
      <c r="A534" s="23">
        <v>1020545</v>
      </c>
      <c r="B534" s="23">
        <v>1</v>
      </c>
      <c r="C534" s="23">
        <v>1020549</v>
      </c>
      <c r="D534" s="23" t="s">
        <v>994</v>
      </c>
      <c r="E534" s="5">
        <v>12.5</v>
      </c>
      <c r="F534" s="23">
        <v>4</v>
      </c>
      <c r="G534" s="23">
        <v>0</v>
      </c>
      <c r="H534" s="23">
        <v>0</v>
      </c>
      <c r="I534" s="23" t="s">
        <v>24</v>
      </c>
      <c r="J534" s="23" t="s">
        <v>597</v>
      </c>
      <c r="K534" s="23" t="s">
        <v>2004</v>
      </c>
      <c r="L534" s="24">
        <v>45869</v>
      </c>
      <c r="M534" s="28">
        <v>8.6805555555555559E-3</v>
      </c>
      <c r="N534" s="3">
        <v>45826</v>
      </c>
      <c r="O534">
        <v>139606</v>
      </c>
      <c r="P534">
        <v>45</v>
      </c>
    </row>
    <row r="535" spans="1:16" hidden="1" x14ac:dyDescent="0.35">
      <c r="A535" s="23">
        <v>1020545</v>
      </c>
      <c r="B535" s="23">
        <v>1</v>
      </c>
      <c r="C535" s="23">
        <v>1020548</v>
      </c>
      <c r="D535" s="23" t="s">
        <v>993</v>
      </c>
      <c r="E535" s="5">
        <v>12.5</v>
      </c>
      <c r="F535" s="23">
        <v>4</v>
      </c>
      <c r="G535" s="23">
        <v>0</v>
      </c>
      <c r="H535" s="23">
        <v>0</v>
      </c>
      <c r="I535" s="23" t="s">
        <v>24</v>
      </c>
      <c r="J535" s="23" t="s">
        <v>597</v>
      </c>
      <c r="K535" s="23" t="s">
        <v>2004</v>
      </c>
      <c r="L535" s="24">
        <v>45869</v>
      </c>
      <c r="M535" s="28">
        <v>8.6805555555555559E-3</v>
      </c>
      <c r="N535" s="3">
        <v>45826</v>
      </c>
      <c r="O535">
        <v>139605</v>
      </c>
      <c r="P535">
        <v>45</v>
      </c>
    </row>
    <row r="536" spans="1:16" hidden="1" x14ac:dyDescent="0.35">
      <c r="A536" s="23">
        <v>1020545</v>
      </c>
      <c r="B536" s="23">
        <v>1</v>
      </c>
      <c r="C536" s="23">
        <v>1020561</v>
      </c>
      <c r="D536" s="23" t="s">
        <v>977</v>
      </c>
      <c r="E536" s="5">
        <v>25</v>
      </c>
      <c r="F536" s="23">
        <v>4</v>
      </c>
      <c r="G536" s="23">
        <v>0</v>
      </c>
      <c r="H536" s="23">
        <v>0</v>
      </c>
      <c r="I536" s="23" t="s">
        <v>24</v>
      </c>
      <c r="J536" s="23" t="s">
        <v>597</v>
      </c>
      <c r="K536" s="23" t="s">
        <v>2004</v>
      </c>
      <c r="L536" s="24">
        <v>45869</v>
      </c>
      <c r="M536" s="28">
        <v>1.7361111111111112E-2</v>
      </c>
      <c r="N536" s="3">
        <v>45826</v>
      </c>
      <c r="O536">
        <v>139618</v>
      </c>
      <c r="P536">
        <v>45</v>
      </c>
    </row>
    <row r="537" spans="1:16" hidden="1" x14ac:dyDescent="0.35">
      <c r="A537" s="23">
        <v>1020545</v>
      </c>
      <c r="B537" s="23">
        <v>1</v>
      </c>
      <c r="C537" s="23">
        <v>1020562</v>
      </c>
      <c r="D537" s="23" t="s">
        <v>1770</v>
      </c>
      <c r="E537" s="5">
        <v>30</v>
      </c>
      <c r="F537" s="23">
        <v>4</v>
      </c>
      <c r="G537" s="23">
        <v>0</v>
      </c>
      <c r="H537" s="23">
        <v>0</v>
      </c>
      <c r="I537" s="23" t="s">
        <v>24</v>
      </c>
      <c r="J537" s="23" t="s">
        <v>597</v>
      </c>
      <c r="K537" s="23" t="s">
        <v>2004</v>
      </c>
      <c r="L537" s="24">
        <v>45869</v>
      </c>
      <c r="M537" s="28">
        <v>2.0833333333333332E-2</v>
      </c>
      <c r="N537" s="3">
        <v>45826</v>
      </c>
      <c r="O537">
        <v>139619</v>
      </c>
      <c r="P537">
        <v>45</v>
      </c>
    </row>
    <row r="538" spans="1:16" hidden="1" x14ac:dyDescent="0.35">
      <c r="A538" s="23">
        <v>1020545</v>
      </c>
      <c r="B538" s="23">
        <v>1</v>
      </c>
      <c r="C538" s="23">
        <v>1020567</v>
      </c>
      <c r="D538" s="23" t="s">
        <v>1855</v>
      </c>
      <c r="E538" s="5">
        <v>20</v>
      </c>
      <c r="F538" s="23">
        <v>8</v>
      </c>
      <c r="G538" s="23">
        <v>0</v>
      </c>
      <c r="H538" s="23">
        <v>0</v>
      </c>
      <c r="I538" s="23" t="s">
        <v>24</v>
      </c>
      <c r="J538" s="23" t="s">
        <v>597</v>
      </c>
      <c r="K538" s="23" t="s">
        <v>2004</v>
      </c>
      <c r="L538" s="24">
        <v>45869</v>
      </c>
      <c r="M538" s="28">
        <v>1.3888888888888888E-2</v>
      </c>
      <c r="N538" s="3">
        <v>45826</v>
      </c>
      <c r="O538">
        <v>139624</v>
      </c>
      <c r="P538">
        <v>45</v>
      </c>
    </row>
    <row r="539" spans="1:16" hidden="1" x14ac:dyDescent="0.35">
      <c r="A539" s="23">
        <v>1020545</v>
      </c>
      <c r="B539" s="23">
        <v>1</v>
      </c>
      <c r="C539" s="23">
        <v>1020574</v>
      </c>
      <c r="D539" s="23" t="s">
        <v>1457</v>
      </c>
      <c r="E539" s="5">
        <v>75</v>
      </c>
      <c r="F539" s="23">
        <v>4</v>
      </c>
      <c r="G539" s="23">
        <v>0</v>
      </c>
      <c r="H539" s="23">
        <v>0</v>
      </c>
      <c r="I539" s="23" t="s">
        <v>24</v>
      </c>
      <c r="J539" s="23" t="s">
        <v>597</v>
      </c>
      <c r="K539" s="23" t="s">
        <v>2004</v>
      </c>
      <c r="L539" s="24">
        <v>45869</v>
      </c>
      <c r="M539" s="28">
        <v>5.2083333333333336E-2</v>
      </c>
      <c r="N539" s="3">
        <v>45826</v>
      </c>
      <c r="O539">
        <v>139631</v>
      </c>
      <c r="P539">
        <v>45</v>
      </c>
    </row>
    <row r="540" spans="1:16" hidden="1" x14ac:dyDescent="0.35">
      <c r="A540" s="23">
        <v>1020546</v>
      </c>
      <c r="B540" s="23">
        <v>1</v>
      </c>
      <c r="C540" s="23">
        <v>1020558</v>
      </c>
      <c r="D540" s="23" t="s">
        <v>1771</v>
      </c>
      <c r="E540" s="5">
        <v>15</v>
      </c>
      <c r="F540" s="23">
        <v>4</v>
      </c>
      <c r="G540" s="23">
        <v>0</v>
      </c>
      <c r="H540" s="23">
        <v>0</v>
      </c>
      <c r="I540" s="23" t="s">
        <v>24</v>
      </c>
      <c r="J540" s="23" t="s">
        <v>597</v>
      </c>
      <c r="K540" s="23" t="s">
        <v>2004</v>
      </c>
      <c r="L540" s="24">
        <v>45869</v>
      </c>
      <c r="M540" s="28">
        <v>1.0416666666666666E-2</v>
      </c>
      <c r="N540" s="3">
        <v>45826</v>
      </c>
      <c r="O540">
        <v>139615</v>
      </c>
      <c r="P540">
        <v>45</v>
      </c>
    </row>
    <row r="541" spans="1:16" hidden="1" x14ac:dyDescent="0.35">
      <c r="A541" s="23">
        <v>1020546</v>
      </c>
      <c r="B541" s="23">
        <v>1</v>
      </c>
      <c r="C541" s="23">
        <v>1020548</v>
      </c>
      <c r="D541" s="23" t="s">
        <v>993</v>
      </c>
      <c r="E541" s="5">
        <v>12.5</v>
      </c>
      <c r="F541" s="23">
        <v>4</v>
      </c>
      <c r="G541" s="23">
        <v>0</v>
      </c>
      <c r="H541" s="23">
        <v>0</v>
      </c>
      <c r="I541" s="23" t="s">
        <v>24</v>
      </c>
      <c r="J541" s="23" t="s">
        <v>597</v>
      </c>
      <c r="K541" s="23" t="s">
        <v>2004</v>
      </c>
      <c r="L541" s="24">
        <v>45869</v>
      </c>
      <c r="M541" s="28">
        <v>8.6805555555555559E-3</v>
      </c>
      <c r="N541" s="3">
        <v>45826</v>
      </c>
      <c r="O541">
        <v>139605</v>
      </c>
      <c r="P541">
        <v>45</v>
      </c>
    </row>
    <row r="542" spans="1:16" hidden="1" x14ac:dyDescent="0.35">
      <c r="A542" s="23">
        <v>1020546</v>
      </c>
      <c r="B542" s="23">
        <v>1</v>
      </c>
      <c r="C542" s="23">
        <v>1020567</v>
      </c>
      <c r="D542" s="23" t="s">
        <v>1855</v>
      </c>
      <c r="E542" s="5">
        <v>20</v>
      </c>
      <c r="F542" s="23">
        <v>8</v>
      </c>
      <c r="G542" s="23">
        <v>0</v>
      </c>
      <c r="H542" s="23">
        <v>0</v>
      </c>
      <c r="I542" s="23" t="s">
        <v>24</v>
      </c>
      <c r="J542" s="23" t="s">
        <v>597</v>
      </c>
      <c r="K542" s="23" t="s">
        <v>2004</v>
      </c>
      <c r="L542" s="24">
        <v>45869</v>
      </c>
      <c r="M542" s="28">
        <v>1.3888888888888888E-2</v>
      </c>
      <c r="N542" s="3">
        <v>45826</v>
      </c>
      <c r="O542">
        <v>139624</v>
      </c>
      <c r="P542">
        <v>45</v>
      </c>
    </row>
    <row r="543" spans="1:16" hidden="1" x14ac:dyDescent="0.35">
      <c r="A543" s="23">
        <v>1020546</v>
      </c>
      <c r="B543" s="23">
        <v>1</v>
      </c>
      <c r="C543" s="23">
        <v>1020574</v>
      </c>
      <c r="D543" s="23" t="s">
        <v>1457</v>
      </c>
      <c r="E543" s="5">
        <v>75</v>
      </c>
      <c r="F543" s="23">
        <v>4</v>
      </c>
      <c r="G543" s="23">
        <v>0</v>
      </c>
      <c r="H543" s="23">
        <v>0</v>
      </c>
      <c r="I543" s="23" t="s">
        <v>24</v>
      </c>
      <c r="J543" s="23" t="s">
        <v>597</v>
      </c>
      <c r="K543" s="23" t="s">
        <v>2004</v>
      </c>
      <c r="L543" s="24">
        <v>45869</v>
      </c>
      <c r="M543" s="28">
        <v>5.2083333333333336E-2</v>
      </c>
      <c r="N543" s="3">
        <v>45826</v>
      </c>
      <c r="O543">
        <v>139631</v>
      </c>
      <c r="P543">
        <v>45</v>
      </c>
    </row>
    <row r="544" spans="1:16" hidden="1" x14ac:dyDescent="0.35">
      <c r="A544" s="23">
        <v>1020546</v>
      </c>
      <c r="B544" s="23">
        <v>1</v>
      </c>
      <c r="C544" s="23">
        <v>1020562</v>
      </c>
      <c r="D544" s="23" t="s">
        <v>1770</v>
      </c>
      <c r="E544" s="5">
        <v>30</v>
      </c>
      <c r="F544" s="23">
        <v>4</v>
      </c>
      <c r="G544" s="23">
        <v>0</v>
      </c>
      <c r="H544" s="23">
        <v>0</v>
      </c>
      <c r="I544" s="23" t="s">
        <v>24</v>
      </c>
      <c r="J544" s="23" t="s">
        <v>597</v>
      </c>
      <c r="K544" s="23" t="s">
        <v>2004</v>
      </c>
      <c r="L544" s="24">
        <v>45869</v>
      </c>
      <c r="M544" s="28">
        <v>2.0833333333333332E-2</v>
      </c>
      <c r="N544" s="3">
        <v>45826</v>
      </c>
      <c r="O544">
        <v>139619</v>
      </c>
      <c r="P544">
        <v>45</v>
      </c>
    </row>
    <row r="545" spans="1:16" hidden="1" x14ac:dyDescent="0.35">
      <c r="A545" s="23">
        <v>1020546</v>
      </c>
      <c r="B545" s="23">
        <v>1</v>
      </c>
      <c r="C545" s="23">
        <v>1020561</v>
      </c>
      <c r="D545" s="23" t="s">
        <v>977</v>
      </c>
      <c r="E545" s="5">
        <v>25</v>
      </c>
      <c r="F545" s="23">
        <v>4</v>
      </c>
      <c r="G545" s="23">
        <v>0</v>
      </c>
      <c r="H545" s="23">
        <v>0</v>
      </c>
      <c r="I545" s="23" t="s">
        <v>24</v>
      </c>
      <c r="J545" s="23" t="s">
        <v>597</v>
      </c>
      <c r="K545" s="23" t="s">
        <v>2004</v>
      </c>
      <c r="L545" s="24">
        <v>45869</v>
      </c>
      <c r="M545" s="28">
        <v>1.7361111111111112E-2</v>
      </c>
      <c r="N545" s="3">
        <v>45826</v>
      </c>
      <c r="O545">
        <v>139618</v>
      </c>
      <c r="P545">
        <v>45</v>
      </c>
    </row>
    <row r="546" spans="1:16" hidden="1" x14ac:dyDescent="0.35">
      <c r="A546" s="23">
        <v>1020546</v>
      </c>
      <c r="B546" s="23">
        <v>1</v>
      </c>
      <c r="C546" s="23">
        <v>1020551</v>
      </c>
      <c r="D546" s="23" t="s">
        <v>1772</v>
      </c>
      <c r="E546" s="5">
        <v>20</v>
      </c>
      <c r="F546" s="23">
        <v>4</v>
      </c>
      <c r="G546" s="23">
        <v>0</v>
      </c>
      <c r="H546" s="23">
        <v>0</v>
      </c>
      <c r="I546" s="23" t="s">
        <v>24</v>
      </c>
      <c r="J546" s="23" t="s">
        <v>597</v>
      </c>
      <c r="K546" s="23" t="s">
        <v>2004</v>
      </c>
      <c r="L546" s="24">
        <v>45869</v>
      </c>
      <c r="M546" s="28">
        <v>1.3888888888888888E-2</v>
      </c>
      <c r="N546" s="3">
        <v>45826</v>
      </c>
      <c r="O546">
        <v>139608</v>
      </c>
      <c r="P546">
        <v>45</v>
      </c>
    </row>
    <row r="547" spans="1:16" hidden="1" x14ac:dyDescent="0.35">
      <c r="A547" s="23">
        <v>1020546</v>
      </c>
      <c r="B547" s="23">
        <v>1</v>
      </c>
      <c r="C547" s="23">
        <v>1020549</v>
      </c>
      <c r="D547" s="23" t="s">
        <v>994</v>
      </c>
      <c r="E547" s="5">
        <v>12.5</v>
      </c>
      <c r="F547" s="23">
        <v>4</v>
      </c>
      <c r="G547" s="23">
        <v>0</v>
      </c>
      <c r="H547" s="23">
        <v>0</v>
      </c>
      <c r="I547" s="23" t="s">
        <v>24</v>
      </c>
      <c r="J547" s="23" t="s">
        <v>597</v>
      </c>
      <c r="K547" s="23" t="s">
        <v>2004</v>
      </c>
      <c r="L547" s="24">
        <v>45869</v>
      </c>
      <c r="M547" s="28">
        <v>8.6805555555555559E-3</v>
      </c>
      <c r="N547" s="3">
        <v>45826</v>
      </c>
      <c r="O547">
        <v>139606</v>
      </c>
      <c r="P547">
        <v>45</v>
      </c>
    </row>
    <row r="548" spans="1:16" hidden="1" x14ac:dyDescent="0.35">
      <c r="A548" s="23">
        <v>1020547</v>
      </c>
      <c r="B548" s="23">
        <v>1</v>
      </c>
      <c r="C548" s="23">
        <v>1020549</v>
      </c>
      <c r="D548" s="23" t="s">
        <v>994</v>
      </c>
      <c r="E548" s="5">
        <v>12.5</v>
      </c>
      <c r="F548" s="23">
        <v>4</v>
      </c>
      <c r="G548" s="23">
        <v>0</v>
      </c>
      <c r="H548" s="23">
        <v>0</v>
      </c>
      <c r="I548" s="23" t="s">
        <v>24</v>
      </c>
      <c r="J548" s="23" t="s">
        <v>597</v>
      </c>
      <c r="K548" s="23" t="s">
        <v>2004</v>
      </c>
      <c r="L548" s="24">
        <v>45869</v>
      </c>
      <c r="M548" s="28">
        <v>8.6805555555555559E-3</v>
      </c>
      <c r="N548" s="3">
        <v>45826</v>
      </c>
      <c r="O548">
        <v>139606</v>
      </c>
      <c r="P548">
        <v>45</v>
      </c>
    </row>
    <row r="549" spans="1:16" hidden="1" x14ac:dyDescent="0.35">
      <c r="A549" s="23">
        <v>1020547</v>
      </c>
      <c r="B549" s="23">
        <v>1</v>
      </c>
      <c r="C549" s="23">
        <v>1020551</v>
      </c>
      <c r="D549" s="23" t="s">
        <v>1772</v>
      </c>
      <c r="E549" s="5">
        <v>20</v>
      </c>
      <c r="F549" s="23">
        <v>4</v>
      </c>
      <c r="G549" s="23">
        <v>0</v>
      </c>
      <c r="H549" s="23">
        <v>0</v>
      </c>
      <c r="I549" s="23" t="s">
        <v>24</v>
      </c>
      <c r="J549" s="23" t="s">
        <v>597</v>
      </c>
      <c r="K549" s="23" t="s">
        <v>2004</v>
      </c>
      <c r="L549" s="24">
        <v>45869</v>
      </c>
      <c r="M549" s="28">
        <v>1.3888888888888888E-2</v>
      </c>
      <c r="N549" s="3">
        <v>45826</v>
      </c>
      <c r="O549">
        <v>139608</v>
      </c>
      <c r="P549">
        <v>45</v>
      </c>
    </row>
    <row r="550" spans="1:16" hidden="1" x14ac:dyDescent="0.35">
      <c r="A550" s="23">
        <v>1020547</v>
      </c>
      <c r="B550" s="23">
        <v>1</v>
      </c>
      <c r="C550" s="23">
        <v>1020558</v>
      </c>
      <c r="D550" s="23" t="s">
        <v>1771</v>
      </c>
      <c r="E550" s="5">
        <v>15</v>
      </c>
      <c r="F550" s="23">
        <v>4</v>
      </c>
      <c r="G550" s="23">
        <v>0</v>
      </c>
      <c r="H550" s="23">
        <v>0</v>
      </c>
      <c r="I550" s="23" t="s">
        <v>24</v>
      </c>
      <c r="J550" s="23" t="s">
        <v>597</v>
      </c>
      <c r="K550" s="23" t="s">
        <v>2004</v>
      </c>
      <c r="L550" s="24">
        <v>45869</v>
      </c>
      <c r="M550" s="28">
        <v>1.0416666666666666E-2</v>
      </c>
      <c r="N550" s="3">
        <v>45826</v>
      </c>
      <c r="O550">
        <v>139615</v>
      </c>
      <c r="P550">
        <v>45</v>
      </c>
    </row>
    <row r="551" spans="1:16" hidden="1" x14ac:dyDescent="0.35">
      <c r="A551" s="23">
        <v>1020547</v>
      </c>
      <c r="B551" s="23">
        <v>1</v>
      </c>
      <c r="C551" s="23">
        <v>1020561</v>
      </c>
      <c r="D551" s="23" t="s">
        <v>977</v>
      </c>
      <c r="E551" s="5">
        <v>25</v>
      </c>
      <c r="F551" s="23">
        <v>4</v>
      </c>
      <c r="G551" s="23">
        <v>0</v>
      </c>
      <c r="H551" s="23">
        <v>0</v>
      </c>
      <c r="I551" s="23" t="s">
        <v>24</v>
      </c>
      <c r="J551" s="23" t="s">
        <v>597</v>
      </c>
      <c r="K551" s="23" t="s">
        <v>2004</v>
      </c>
      <c r="L551" s="24">
        <v>45869</v>
      </c>
      <c r="M551" s="28">
        <v>1.7361111111111112E-2</v>
      </c>
      <c r="N551" s="3">
        <v>45826</v>
      </c>
      <c r="O551">
        <v>139618</v>
      </c>
      <c r="P551">
        <v>45</v>
      </c>
    </row>
    <row r="552" spans="1:16" hidden="1" x14ac:dyDescent="0.35">
      <c r="A552" s="23">
        <v>1020547</v>
      </c>
      <c r="B552" s="23">
        <v>1</v>
      </c>
      <c r="C552" s="23">
        <v>1020562</v>
      </c>
      <c r="D552" s="23" t="s">
        <v>1770</v>
      </c>
      <c r="E552" s="5">
        <v>30</v>
      </c>
      <c r="F552" s="23">
        <v>4</v>
      </c>
      <c r="G552" s="23">
        <v>0</v>
      </c>
      <c r="H552" s="23">
        <v>0</v>
      </c>
      <c r="I552" s="23" t="s">
        <v>24</v>
      </c>
      <c r="J552" s="23" t="s">
        <v>597</v>
      </c>
      <c r="K552" s="23" t="s">
        <v>2004</v>
      </c>
      <c r="L552" s="24">
        <v>45869</v>
      </c>
      <c r="M552" s="28">
        <v>2.0833333333333332E-2</v>
      </c>
      <c r="N552" s="3">
        <v>45826</v>
      </c>
      <c r="O552">
        <v>139619</v>
      </c>
      <c r="P552">
        <v>45</v>
      </c>
    </row>
    <row r="553" spans="1:16" hidden="1" x14ac:dyDescent="0.35">
      <c r="A553" s="23">
        <v>1020547</v>
      </c>
      <c r="B553" s="23">
        <v>1</v>
      </c>
      <c r="C553" s="23">
        <v>1020567</v>
      </c>
      <c r="D553" s="23" t="s">
        <v>1855</v>
      </c>
      <c r="E553" s="5">
        <v>20</v>
      </c>
      <c r="F553" s="23">
        <v>8</v>
      </c>
      <c r="G553" s="23">
        <v>0</v>
      </c>
      <c r="H553" s="23">
        <v>0</v>
      </c>
      <c r="I553" s="23" t="s">
        <v>24</v>
      </c>
      <c r="J553" s="23" t="s">
        <v>597</v>
      </c>
      <c r="K553" s="23" t="s">
        <v>2004</v>
      </c>
      <c r="L553" s="24">
        <v>45869</v>
      </c>
      <c r="M553" s="28">
        <v>1.3888888888888888E-2</v>
      </c>
      <c r="N553" s="3">
        <v>45826</v>
      </c>
      <c r="O553">
        <v>139624</v>
      </c>
      <c r="P553">
        <v>45</v>
      </c>
    </row>
    <row r="554" spans="1:16" hidden="1" x14ac:dyDescent="0.35">
      <c r="A554" s="23">
        <v>1020547</v>
      </c>
      <c r="B554" s="23">
        <v>1</v>
      </c>
      <c r="C554" s="23">
        <v>1020574</v>
      </c>
      <c r="D554" s="23" t="s">
        <v>1457</v>
      </c>
      <c r="E554" s="5">
        <v>75</v>
      </c>
      <c r="F554" s="23">
        <v>4</v>
      </c>
      <c r="G554" s="23">
        <v>0</v>
      </c>
      <c r="H554" s="23">
        <v>0</v>
      </c>
      <c r="I554" s="23" t="s">
        <v>24</v>
      </c>
      <c r="J554" s="23" t="s">
        <v>597</v>
      </c>
      <c r="K554" s="23" t="s">
        <v>2004</v>
      </c>
      <c r="L554" s="24">
        <v>45869</v>
      </c>
      <c r="M554" s="28">
        <v>5.2083333333333336E-2</v>
      </c>
      <c r="N554" s="3">
        <v>45826</v>
      </c>
      <c r="O554">
        <v>139631</v>
      </c>
      <c r="P554">
        <v>45</v>
      </c>
    </row>
    <row r="555" spans="1:16" hidden="1" x14ac:dyDescent="0.35">
      <c r="A555" s="23">
        <v>1020547</v>
      </c>
      <c r="B555" s="23">
        <v>1</v>
      </c>
      <c r="C555" s="23">
        <v>1020548</v>
      </c>
      <c r="D555" s="23" t="s">
        <v>993</v>
      </c>
      <c r="E555" s="5">
        <v>12.5</v>
      </c>
      <c r="F555" s="23">
        <v>4</v>
      </c>
      <c r="G555" s="23">
        <v>0</v>
      </c>
      <c r="H555" s="23">
        <v>0</v>
      </c>
      <c r="I555" s="23" t="s">
        <v>24</v>
      </c>
      <c r="J555" s="23" t="s">
        <v>597</v>
      </c>
      <c r="K555" s="23" t="s">
        <v>2004</v>
      </c>
      <c r="L555" s="24">
        <v>45869</v>
      </c>
      <c r="M555" s="28">
        <v>8.6805555555555559E-3</v>
      </c>
      <c r="N555" s="3">
        <v>45826</v>
      </c>
      <c r="O555">
        <v>139605</v>
      </c>
      <c r="P555">
        <v>45</v>
      </c>
    </row>
    <row r="556" spans="1:16" hidden="1" x14ac:dyDescent="0.35">
      <c r="A556" s="23">
        <v>1024670</v>
      </c>
      <c r="B556" s="23">
        <v>1</v>
      </c>
      <c r="C556" s="23">
        <v>1024657</v>
      </c>
      <c r="D556" s="23" t="s">
        <v>247</v>
      </c>
      <c r="E556" s="5">
        <v>20</v>
      </c>
      <c r="F556" s="23">
        <v>1</v>
      </c>
      <c r="G556" s="23">
        <v>0</v>
      </c>
      <c r="H556" s="23">
        <v>0</v>
      </c>
      <c r="I556" s="23" t="s">
        <v>24</v>
      </c>
      <c r="J556" s="23" t="s">
        <v>597</v>
      </c>
      <c r="K556" s="23" t="s">
        <v>2005</v>
      </c>
      <c r="L556" s="24">
        <v>45833</v>
      </c>
      <c r="M556" s="28">
        <v>1.3888888888888888E-2</v>
      </c>
      <c r="N556" s="3">
        <v>45826</v>
      </c>
      <c r="O556">
        <v>155381</v>
      </c>
      <c r="P556">
        <v>45</v>
      </c>
    </row>
    <row r="557" spans="1:16" hidden="1" x14ac:dyDescent="0.35">
      <c r="A557" s="23">
        <v>1024670</v>
      </c>
      <c r="B557" s="23">
        <v>1</v>
      </c>
      <c r="C557" s="23">
        <v>1024648</v>
      </c>
      <c r="D557" s="23" t="s">
        <v>246</v>
      </c>
      <c r="E557" s="5">
        <v>10</v>
      </c>
      <c r="F557" s="23">
        <v>1</v>
      </c>
      <c r="G557" s="23">
        <v>0</v>
      </c>
      <c r="H557" s="23">
        <v>0</v>
      </c>
      <c r="I557" s="23" t="s">
        <v>24</v>
      </c>
      <c r="J557" s="23" t="s">
        <v>597</v>
      </c>
      <c r="K557" s="23" t="s">
        <v>2005</v>
      </c>
      <c r="L557" s="24">
        <v>45833</v>
      </c>
      <c r="M557" s="28">
        <v>6.9444444444444441E-3</v>
      </c>
      <c r="N557" s="3">
        <v>45826</v>
      </c>
      <c r="O557">
        <v>155372</v>
      </c>
      <c r="P557">
        <v>45</v>
      </c>
    </row>
    <row r="558" spans="1:16" hidden="1" x14ac:dyDescent="0.35">
      <c r="A558" s="23">
        <v>1024670</v>
      </c>
      <c r="B558" s="23">
        <v>1</v>
      </c>
      <c r="C558" s="23">
        <v>1024649</v>
      </c>
      <c r="D558" s="23" t="s">
        <v>1491</v>
      </c>
      <c r="E558" s="5">
        <v>5</v>
      </c>
      <c r="F558" s="23">
        <v>1</v>
      </c>
      <c r="G558" s="23">
        <v>0</v>
      </c>
      <c r="H558" s="23">
        <v>0</v>
      </c>
      <c r="I558" s="23" t="s">
        <v>24</v>
      </c>
      <c r="J558" s="23" t="s">
        <v>597</v>
      </c>
      <c r="K558" s="23" t="s">
        <v>2005</v>
      </c>
      <c r="L558" s="24">
        <v>45833</v>
      </c>
      <c r="M558" s="28">
        <v>3.472222222222222E-3</v>
      </c>
      <c r="N558" s="3">
        <v>45826</v>
      </c>
      <c r="O558">
        <v>155373</v>
      </c>
      <c r="P558">
        <v>45</v>
      </c>
    </row>
    <row r="559" spans="1:16" hidden="1" x14ac:dyDescent="0.35">
      <c r="A559" s="23">
        <v>1024670</v>
      </c>
      <c r="B559" s="23">
        <v>1</v>
      </c>
      <c r="C559" s="23">
        <v>1024656</v>
      </c>
      <c r="D559" s="23" t="s">
        <v>1640</v>
      </c>
      <c r="E559" s="5">
        <v>15</v>
      </c>
      <c r="F559" s="23">
        <v>1</v>
      </c>
      <c r="G559" s="23">
        <v>0</v>
      </c>
      <c r="H559" s="23">
        <v>0</v>
      </c>
      <c r="I559" s="23" t="s">
        <v>24</v>
      </c>
      <c r="J559" s="23" t="s">
        <v>597</v>
      </c>
      <c r="K559" s="23" t="s">
        <v>2005</v>
      </c>
      <c r="L559" s="24">
        <v>45833</v>
      </c>
      <c r="M559" s="28">
        <v>1.0416666666666666E-2</v>
      </c>
      <c r="N559" s="3">
        <v>45826</v>
      </c>
      <c r="O559">
        <v>155380</v>
      </c>
      <c r="P559">
        <v>45</v>
      </c>
    </row>
    <row r="560" spans="1:16" hidden="1" x14ac:dyDescent="0.35">
      <c r="A560" s="23">
        <v>1024670</v>
      </c>
      <c r="B560" s="23">
        <v>1</v>
      </c>
      <c r="C560" s="23">
        <v>1024660</v>
      </c>
      <c r="D560" s="23" t="s">
        <v>248</v>
      </c>
      <c r="E560" s="5">
        <v>7</v>
      </c>
      <c r="F560" s="23">
        <v>1</v>
      </c>
      <c r="G560" s="23">
        <v>0</v>
      </c>
      <c r="H560" s="23">
        <v>0</v>
      </c>
      <c r="I560" s="23" t="s">
        <v>24</v>
      </c>
      <c r="J560" s="23" t="s">
        <v>597</v>
      </c>
      <c r="K560" s="23" t="s">
        <v>2005</v>
      </c>
      <c r="L560" s="24">
        <v>45833</v>
      </c>
      <c r="M560" s="28">
        <v>4.8611111111111112E-3</v>
      </c>
      <c r="N560" s="3">
        <v>45826</v>
      </c>
      <c r="O560">
        <v>155384</v>
      </c>
      <c r="P560">
        <v>45</v>
      </c>
    </row>
    <row r="561" spans="1:16" hidden="1" x14ac:dyDescent="0.35">
      <c r="A561" s="23">
        <v>1026679</v>
      </c>
      <c r="B561" s="23">
        <v>1</v>
      </c>
      <c r="C561" s="23">
        <v>1026657</v>
      </c>
      <c r="D561" s="23" t="s">
        <v>246</v>
      </c>
      <c r="E561" s="5">
        <v>10</v>
      </c>
      <c r="F561" s="23">
        <v>1</v>
      </c>
      <c r="G561" s="23">
        <v>0</v>
      </c>
      <c r="H561" s="23">
        <v>0</v>
      </c>
      <c r="I561" s="23" t="s">
        <v>24</v>
      </c>
      <c r="J561" s="23" t="s">
        <v>597</v>
      </c>
      <c r="K561" s="23" t="s">
        <v>2006</v>
      </c>
      <c r="L561" s="24">
        <v>45841</v>
      </c>
      <c r="M561" s="28">
        <v>6.9444444444444441E-3</v>
      </c>
      <c r="N561" s="3">
        <v>45827</v>
      </c>
      <c r="O561">
        <v>155372</v>
      </c>
      <c r="P561">
        <v>45</v>
      </c>
    </row>
    <row r="562" spans="1:16" hidden="1" x14ac:dyDescent="0.35">
      <c r="A562" s="23">
        <v>1026679</v>
      </c>
      <c r="B562" s="23">
        <v>1</v>
      </c>
      <c r="C562" s="23">
        <v>1026658</v>
      </c>
      <c r="D562" s="23" t="s">
        <v>1491</v>
      </c>
      <c r="E562" s="5">
        <v>5</v>
      </c>
      <c r="F562" s="23">
        <v>1</v>
      </c>
      <c r="G562" s="23">
        <v>0</v>
      </c>
      <c r="H562" s="23">
        <v>0</v>
      </c>
      <c r="I562" s="23" t="s">
        <v>24</v>
      </c>
      <c r="J562" s="23" t="s">
        <v>597</v>
      </c>
      <c r="K562" s="23" t="s">
        <v>2006</v>
      </c>
      <c r="L562" s="24">
        <v>45841</v>
      </c>
      <c r="M562" s="28">
        <v>3.472222222222222E-3</v>
      </c>
      <c r="N562" s="3">
        <v>45827</v>
      </c>
      <c r="O562">
        <v>155373</v>
      </c>
      <c r="P562">
        <v>45</v>
      </c>
    </row>
    <row r="563" spans="1:16" hidden="1" x14ac:dyDescent="0.35">
      <c r="A563" s="23">
        <v>1026679</v>
      </c>
      <c r="B563" s="23">
        <v>1</v>
      </c>
      <c r="C563" s="23">
        <v>1026669</v>
      </c>
      <c r="D563" s="23" t="s">
        <v>248</v>
      </c>
      <c r="E563" s="5">
        <v>7</v>
      </c>
      <c r="F563" s="23">
        <v>1</v>
      </c>
      <c r="G563" s="23">
        <v>0</v>
      </c>
      <c r="H563" s="23">
        <v>0</v>
      </c>
      <c r="I563" s="23" t="s">
        <v>24</v>
      </c>
      <c r="J563" s="23" t="s">
        <v>597</v>
      </c>
      <c r="K563" s="23" t="s">
        <v>2006</v>
      </c>
      <c r="L563" s="24">
        <v>45841</v>
      </c>
      <c r="M563" s="28">
        <v>4.8611111111111112E-3</v>
      </c>
      <c r="N563" s="3">
        <v>45827</v>
      </c>
      <c r="O563">
        <v>155384</v>
      </c>
      <c r="P563">
        <v>45</v>
      </c>
    </row>
    <row r="564" spans="1:16" hidden="1" x14ac:dyDescent="0.35">
      <c r="A564" s="23">
        <v>1028338</v>
      </c>
      <c r="B564" s="23">
        <v>3</v>
      </c>
      <c r="C564" s="23">
        <v>1028353</v>
      </c>
      <c r="D564" s="23" t="s">
        <v>2007</v>
      </c>
      <c r="E564" s="5">
        <v>75</v>
      </c>
      <c r="F564" s="23">
        <v>3</v>
      </c>
      <c r="G564" s="23">
        <v>0</v>
      </c>
      <c r="H564" s="23">
        <v>0</v>
      </c>
      <c r="I564" s="23" t="s">
        <v>24</v>
      </c>
      <c r="J564" s="23" t="s">
        <v>597</v>
      </c>
      <c r="K564" s="23" t="s">
        <v>2008</v>
      </c>
      <c r="L564" s="24">
        <v>45856</v>
      </c>
      <c r="M564" s="28">
        <v>5.2083333333333336E-2</v>
      </c>
      <c r="N564" s="3">
        <v>45827</v>
      </c>
      <c r="O564">
        <v>232279</v>
      </c>
      <c r="P564">
        <v>45</v>
      </c>
    </row>
    <row r="565" spans="1:16" hidden="1" x14ac:dyDescent="0.35">
      <c r="A565" s="23">
        <v>1028338</v>
      </c>
      <c r="B565" s="23">
        <v>3</v>
      </c>
      <c r="C565" s="23">
        <v>1028355</v>
      </c>
      <c r="D565" s="23" t="s">
        <v>2009</v>
      </c>
      <c r="E565" s="5">
        <v>300</v>
      </c>
      <c r="F565" s="23">
        <v>6</v>
      </c>
      <c r="G565" s="23">
        <v>0</v>
      </c>
      <c r="H565" s="23">
        <v>0</v>
      </c>
      <c r="I565" s="23" t="s">
        <v>24</v>
      </c>
      <c r="J565" s="23" t="s">
        <v>597</v>
      </c>
      <c r="K565" s="23" t="s">
        <v>2008</v>
      </c>
      <c r="L565" s="24">
        <v>45856</v>
      </c>
      <c r="M565" s="28">
        <v>0.20833333333333334</v>
      </c>
      <c r="N565" s="3">
        <v>45827</v>
      </c>
      <c r="O565">
        <v>232281</v>
      </c>
      <c r="P565">
        <v>45</v>
      </c>
    </row>
    <row r="566" spans="1:16" hidden="1" x14ac:dyDescent="0.35">
      <c r="A566" s="23">
        <v>1028338</v>
      </c>
      <c r="B566" s="23">
        <v>3</v>
      </c>
      <c r="C566" s="23">
        <v>1028356</v>
      </c>
      <c r="D566" s="23" t="s">
        <v>2010</v>
      </c>
      <c r="E566" s="5">
        <v>300</v>
      </c>
      <c r="F566" s="23">
        <v>6</v>
      </c>
      <c r="G566" s="23">
        <v>0</v>
      </c>
      <c r="H566" s="23">
        <v>0</v>
      </c>
      <c r="I566" s="23" t="s">
        <v>24</v>
      </c>
      <c r="J566" s="23" t="s">
        <v>597</v>
      </c>
      <c r="K566" s="23" t="s">
        <v>2008</v>
      </c>
      <c r="L566" s="24">
        <v>45856</v>
      </c>
      <c r="M566" s="28">
        <v>0.20833333333333334</v>
      </c>
      <c r="N566" s="3">
        <v>45827</v>
      </c>
      <c r="O566">
        <v>232282</v>
      </c>
      <c r="P566">
        <v>45</v>
      </c>
    </row>
    <row r="567" spans="1:16" hidden="1" x14ac:dyDescent="0.35">
      <c r="A567" s="23">
        <v>1026734</v>
      </c>
      <c r="B567" s="23">
        <v>1</v>
      </c>
      <c r="C567" s="23">
        <v>1026712</v>
      </c>
      <c r="D567" s="23" t="s">
        <v>246</v>
      </c>
      <c r="E567" s="5">
        <v>10</v>
      </c>
      <c r="F567" s="23">
        <v>1</v>
      </c>
      <c r="G567" s="23">
        <v>0</v>
      </c>
      <c r="H567" s="23">
        <v>0</v>
      </c>
      <c r="I567" s="23" t="s">
        <v>24</v>
      </c>
      <c r="J567" s="23" t="s">
        <v>597</v>
      </c>
      <c r="K567" s="23" t="s">
        <v>2011</v>
      </c>
      <c r="L567" s="24">
        <v>45841</v>
      </c>
      <c r="M567" s="28">
        <v>6.9444444444444441E-3</v>
      </c>
      <c r="N567" s="3">
        <v>45828</v>
      </c>
      <c r="O567">
        <v>155372</v>
      </c>
      <c r="P567">
        <v>45</v>
      </c>
    </row>
    <row r="568" spans="1:16" hidden="1" x14ac:dyDescent="0.35">
      <c r="A568" s="23">
        <v>1026734</v>
      </c>
      <c r="B568" s="23">
        <v>1</v>
      </c>
      <c r="C568" s="23">
        <v>1026724</v>
      </c>
      <c r="D568" s="23" t="s">
        <v>248</v>
      </c>
      <c r="E568" s="5">
        <v>7</v>
      </c>
      <c r="F568" s="23">
        <v>1</v>
      </c>
      <c r="G568" s="23">
        <v>0</v>
      </c>
      <c r="H568" s="23">
        <v>0</v>
      </c>
      <c r="I568" s="23" t="s">
        <v>24</v>
      </c>
      <c r="J568" s="23" t="s">
        <v>597</v>
      </c>
      <c r="K568" s="23" t="s">
        <v>2011</v>
      </c>
      <c r="L568" s="24">
        <v>45841</v>
      </c>
      <c r="M568" s="28">
        <v>4.8611111111111112E-3</v>
      </c>
      <c r="N568" s="3">
        <v>45828</v>
      </c>
      <c r="O568">
        <v>155384</v>
      </c>
      <c r="P568">
        <v>45</v>
      </c>
    </row>
    <row r="569" spans="1:16" hidden="1" x14ac:dyDescent="0.35">
      <c r="A569" s="23">
        <v>1026734</v>
      </c>
      <c r="B569" s="23">
        <v>1</v>
      </c>
      <c r="C569" s="23">
        <v>1026713</v>
      </c>
      <c r="D569" s="23" t="s">
        <v>1491</v>
      </c>
      <c r="E569" s="5">
        <v>5</v>
      </c>
      <c r="F569" s="23">
        <v>1</v>
      </c>
      <c r="G569" s="23">
        <v>0</v>
      </c>
      <c r="H569" s="23">
        <v>0</v>
      </c>
      <c r="I569" s="23" t="s">
        <v>24</v>
      </c>
      <c r="J569" s="23" t="s">
        <v>597</v>
      </c>
      <c r="K569" s="23" t="s">
        <v>2011</v>
      </c>
      <c r="L569" s="24">
        <v>45841</v>
      </c>
      <c r="M569" s="28">
        <v>3.472222222222222E-3</v>
      </c>
      <c r="N569" s="3">
        <v>45828</v>
      </c>
      <c r="O569">
        <v>155373</v>
      </c>
      <c r="P569">
        <v>45</v>
      </c>
    </row>
    <row r="570" spans="1:16" hidden="1" x14ac:dyDescent="0.35">
      <c r="A570" s="23">
        <v>998834</v>
      </c>
      <c r="B570" s="23">
        <v>1</v>
      </c>
      <c r="C570" s="23">
        <v>998882</v>
      </c>
      <c r="D570" s="23" t="s">
        <v>1755</v>
      </c>
      <c r="E570" s="5">
        <v>55</v>
      </c>
      <c r="F570" s="23">
        <v>12</v>
      </c>
      <c r="G570" s="23">
        <v>0</v>
      </c>
      <c r="H570" s="23">
        <v>0</v>
      </c>
      <c r="I570" s="23" t="s">
        <v>24</v>
      </c>
      <c r="J570" s="23" t="s">
        <v>597</v>
      </c>
      <c r="K570" s="23" t="s">
        <v>1805</v>
      </c>
      <c r="L570" s="24">
        <v>45870</v>
      </c>
      <c r="M570" s="28">
        <v>3.8194444444444441E-2</v>
      </c>
      <c r="N570" s="3">
        <v>45831</v>
      </c>
      <c r="O570">
        <v>227566</v>
      </c>
      <c r="P570">
        <v>45</v>
      </c>
    </row>
    <row r="571" spans="1:16" hidden="1" x14ac:dyDescent="0.35">
      <c r="A571" s="23">
        <v>998835</v>
      </c>
      <c r="B571" s="23">
        <v>1</v>
      </c>
      <c r="C571" s="23">
        <v>998882</v>
      </c>
      <c r="D571" s="23" t="s">
        <v>1755</v>
      </c>
      <c r="E571" s="5">
        <v>55</v>
      </c>
      <c r="F571" s="23">
        <v>12</v>
      </c>
      <c r="G571" s="23">
        <v>0</v>
      </c>
      <c r="H571" s="23">
        <v>0</v>
      </c>
      <c r="I571" s="23" t="s">
        <v>24</v>
      </c>
      <c r="J571" s="23" t="s">
        <v>597</v>
      </c>
      <c r="K571" s="23" t="s">
        <v>1805</v>
      </c>
      <c r="L571" s="24">
        <v>45870</v>
      </c>
      <c r="M571" s="28">
        <v>3.8194444444444441E-2</v>
      </c>
      <c r="N571" s="3">
        <v>45831</v>
      </c>
      <c r="O571">
        <v>227566</v>
      </c>
      <c r="P571">
        <v>45</v>
      </c>
    </row>
    <row r="572" spans="1:16" hidden="1" x14ac:dyDescent="0.35">
      <c r="A572" s="23">
        <v>998836</v>
      </c>
      <c r="B572" s="23">
        <v>1</v>
      </c>
      <c r="C572" s="23">
        <v>998882</v>
      </c>
      <c r="D572" s="23" t="s">
        <v>1755</v>
      </c>
      <c r="E572" s="5">
        <v>55</v>
      </c>
      <c r="F572" s="23">
        <v>12</v>
      </c>
      <c r="G572" s="23">
        <v>0</v>
      </c>
      <c r="H572" s="23">
        <v>0</v>
      </c>
      <c r="I572" s="23" t="s">
        <v>24</v>
      </c>
      <c r="J572" s="23" t="s">
        <v>597</v>
      </c>
      <c r="K572" s="23" t="s">
        <v>1805</v>
      </c>
      <c r="L572" s="24">
        <v>45870</v>
      </c>
      <c r="M572" s="28">
        <v>3.8194444444444441E-2</v>
      </c>
      <c r="N572" s="3">
        <v>45831</v>
      </c>
      <c r="O572">
        <v>227566</v>
      </c>
      <c r="P572">
        <v>45</v>
      </c>
    </row>
  </sheetData>
  <sortState xmlns:xlrd2="http://schemas.microsoft.com/office/spreadsheetml/2017/richdata2" ref="A2:P422">
    <sortCondition ref="P2:P1048576"/>
    <sortCondition ref="N2:N1048576"/>
  </sortState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/>
  <dimension ref="A1:AQ2272"/>
  <sheetViews>
    <sheetView topLeftCell="A1840" zoomScale="85" zoomScaleNormal="85" workbookViewId="0">
      <selection activeCell="E1903" sqref="E1903"/>
    </sheetView>
  </sheetViews>
  <sheetFormatPr defaultRowHeight="14.5" x14ac:dyDescent="0.35"/>
  <cols>
    <col min="1" max="1" width="10.26953125" style="7" bestFit="1" customWidth="1"/>
    <col min="2" max="2" width="10" style="6" customWidth="1"/>
    <col min="3" max="5" width="8.81640625" style="10" customWidth="1"/>
    <col min="6" max="6" width="58.81640625" style="1" bestFit="1" customWidth="1"/>
    <col min="7" max="7" width="17" style="1" customWidth="1"/>
    <col min="8" max="8" width="63.81640625" style="1" customWidth="1"/>
    <col min="9" max="9" width="19.7265625" style="1" customWidth="1"/>
    <col min="10" max="10" width="13" style="46" customWidth="1"/>
    <col min="11" max="14" width="10.1796875" customWidth="1"/>
    <col min="42" max="42" width="10.81640625" customWidth="1"/>
  </cols>
  <sheetData>
    <row r="1" spans="1:43" x14ac:dyDescent="0.35">
      <c r="A1" s="43" t="s">
        <v>180</v>
      </c>
      <c r="B1" s="44" t="s">
        <v>181</v>
      </c>
      <c r="C1" s="45" t="s">
        <v>214</v>
      </c>
      <c r="D1" s="45" t="s">
        <v>212</v>
      </c>
      <c r="E1" s="45" t="s">
        <v>213</v>
      </c>
      <c r="F1" s="7"/>
      <c r="G1" s="7">
        <v>43831</v>
      </c>
      <c r="H1" s="1" t="s">
        <v>205</v>
      </c>
      <c r="I1" s="75" t="s">
        <v>432</v>
      </c>
      <c r="J1" s="75"/>
      <c r="K1" s="4"/>
      <c r="L1" s="4"/>
      <c r="AA1" s="23"/>
      <c r="AB1" s="23"/>
      <c r="AC1" s="23" t="s">
        <v>198</v>
      </c>
      <c r="AD1" s="23" t="s">
        <v>198</v>
      </c>
      <c r="AE1" s="23" t="s">
        <v>198</v>
      </c>
      <c r="AF1" s="23" t="s">
        <v>198</v>
      </c>
      <c r="AG1" s="23" t="s">
        <v>198</v>
      </c>
      <c r="AH1" s="23" t="s">
        <v>199</v>
      </c>
      <c r="AI1" s="23" t="s">
        <v>198</v>
      </c>
      <c r="AJ1" s="23" t="s">
        <v>198</v>
      </c>
      <c r="AK1" s="23" t="s">
        <v>198</v>
      </c>
      <c r="AL1" s="23" t="s">
        <v>198</v>
      </c>
      <c r="AM1" s="23" t="s">
        <v>198</v>
      </c>
      <c r="AN1" s="23" t="s">
        <v>198</v>
      </c>
      <c r="AO1" s="25">
        <v>2.0833333333333356E-2</v>
      </c>
      <c r="AP1" s="29" t="s">
        <v>198</v>
      </c>
      <c r="AQ1" s="29" t="s">
        <v>198</v>
      </c>
    </row>
    <row r="2" spans="1:43" x14ac:dyDescent="0.35">
      <c r="A2" s="3">
        <v>43831</v>
      </c>
      <c r="B2" s="1">
        <f>IF(A2&gt;0,WEEKDAY(A2,2),"")</f>
        <v>3</v>
      </c>
      <c r="C2" s="10" t="s">
        <v>313</v>
      </c>
      <c r="D2" s="10" t="s">
        <v>313</v>
      </c>
      <c r="E2" s="10" t="s">
        <v>313</v>
      </c>
      <c r="F2" s="1" t="str">
        <f>IFERROR(VLOOKUP(A2,$G$1:$H$18,2,FALSE),"")</f>
        <v>Nova godina</v>
      </c>
      <c r="G2" s="7">
        <v>43831</v>
      </c>
      <c r="H2" s="1" t="s">
        <v>205</v>
      </c>
      <c r="I2" s="5" t="s">
        <v>382</v>
      </c>
      <c r="J2" s="5">
        <v>0</v>
      </c>
      <c r="AA2" s="23"/>
      <c r="AB2" s="23"/>
      <c r="AC2" s="23" t="s">
        <v>321</v>
      </c>
      <c r="AD2" s="23" t="s">
        <v>321</v>
      </c>
      <c r="AE2" s="23" t="s">
        <v>321</v>
      </c>
      <c r="AF2" s="23" t="s">
        <v>321</v>
      </c>
      <c r="AG2" s="23" t="s">
        <v>321</v>
      </c>
      <c r="AH2" s="23" t="s">
        <v>199</v>
      </c>
      <c r="AI2" s="23" t="s">
        <v>321</v>
      </c>
      <c r="AJ2" s="23" t="s">
        <v>321</v>
      </c>
      <c r="AK2" s="23" t="s">
        <v>321</v>
      </c>
      <c r="AL2" s="23" t="s">
        <v>321</v>
      </c>
      <c r="AM2" s="23" t="s">
        <v>321</v>
      </c>
      <c r="AN2" s="23" t="s">
        <v>321</v>
      </c>
      <c r="AO2" s="25">
        <v>0.33333333333333331</v>
      </c>
      <c r="AP2" s="23" t="s">
        <v>321</v>
      </c>
      <c r="AQ2" s="23" t="s">
        <v>321</v>
      </c>
    </row>
    <row r="3" spans="1:43" ht="15" customHeight="1" x14ac:dyDescent="0.35">
      <c r="A3" s="3">
        <v>43832</v>
      </c>
      <c r="B3" s="1">
        <f t="shared" ref="B3:B31" si="0">IF(A3&gt;0,WEEKDAY(A3,2),"")</f>
        <v>4</v>
      </c>
      <c r="C3" s="10" t="s">
        <v>315</v>
      </c>
      <c r="D3" s="10" t="s">
        <v>315</v>
      </c>
      <c r="E3" s="10" t="s">
        <v>315</v>
      </c>
      <c r="F3" s="1" t="str">
        <f t="shared" ref="F3:F66" si="1">IFERROR(VLOOKUP(A3,$G$1:$H$18,2,FALSE),"")</f>
        <v/>
      </c>
      <c r="G3" s="7">
        <v>43891</v>
      </c>
      <c r="H3" s="1" t="s">
        <v>374</v>
      </c>
      <c r="I3" s="5" t="s">
        <v>383</v>
      </c>
      <c r="J3" s="5">
        <v>0</v>
      </c>
    </row>
    <row r="4" spans="1:43" x14ac:dyDescent="0.35">
      <c r="A4" s="3">
        <v>43833</v>
      </c>
      <c r="B4" s="1">
        <f t="shared" si="0"/>
        <v>5</v>
      </c>
      <c r="C4" s="10" t="s">
        <v>315</v>
      </c>
      <c r="D4" s="10" t="s">
        <v>315</v>
      </c>
      <c r="E4" s="10" t="s">
        <v>315</v>
      </c>
      <c r="F4" s="1" t="str">
        <f t="shared" si="1"/>
        <v/>
      </c>
      <c r="G4" s="7">
        <v>43931</v>
      </c>
      <c r="H4" s="1" t="s">
        <v>375</v>
      </c>
      <c r="I4" s="5" t="s">
        <v>384</v>
      </c>
      <c r="J4" s="5">
        <v>0</v>
      </c>
    </row>
    <row r="5" spans="1:43" x14ac:dyDescent="0.35">
      <c r="A5" s="3">
        <v>43834</v>
      </c>
      <c r="B5" s="1">
        <f t="shared" si="0"/>
        <v>6</v>
      </c>
      <c r="C5" s="10" t="s">
        <v>315</v>
      </c>
      <c r="D5" s="10" t="s">
        <v>315</v>
      </c>
      <c r="E5" s="10" t="s">
        <v>315</v>
      </c>
      <c r="F5" s="1" t="str">
        <f t="shared" si="1"/>
        <v/>
      </c>
      <c r="G5" s="7">
        <v>43933</v>
      </c>
      <c r="H5" s="1" t="s">
        <v>375</v>
      </c>
      <c r="I5" s="5" t="s">
        <v>385</v>
      </c>
      <c r="J5" s="5">
        <v>0</v>
      </c>
    </row>
    <row r="6" spans="1:43" x14ac:dyDescent="0.35">
      <c r="A6" s="3">
        <v>43835</v>
      </c>
      <c r="B6" s="1">
        <f t="shared" si="0"/>
        <v>7</v>
      </c>
      <c r="C6" s="10" t="s">
        <v>313</v>
      </c>
      <c r="D6" s="10" t="s">
        <v>313</v>
      </c>
      <c r="E6" s="10" t="s">
        <v>313</v>
      </c>
      <c r="F6" s="1" t="str">
        <f t="shared" si="1"/>
        <v/>
      </c>
      <c r="G6" s="7">
        <v>43934</v>
      </c>
      <c r="H6" s="1" t="s">
        <v>375</v>
      </c>
      <c r="I6" s="5" t="s">
        <v>386</v>
      </c>
      <c r="J6" s="5">
        <v>0</v>
      </c>
    </row>
    <row r="7" spans="1:43" x14ac:dyDescent="0.35">
      <c r="A7" s="3">
        <v>43836</v>
      </c>
      <c r="B7" s="1">
        <f t="shared" si="0"/>
        <v>1</v>
      </c>
      <c r="C7" s="10" t="s">
        <v>315</v>
      </c>
      <c r="D7" s="10" t="s">
        <v>315</v>
      </c>
      <c r="E7" s="10" t="s">
        <v>315</v>
      </c>
      <c r="F7" s="1" t="str">
        <f t="shared" si="1"/>
        <v/>
      </c>
      <c r="G7" s="7">
        <v>43938</v>
      </c>
      <c r="H7" s="1" t="s">
        <v>376</v>
      </c>
      <c r="I7" s="5" t="s">
        <v>387</v>
      </c>
      <c r="J7" s="5">
        <v>14</v>
      </c>
    </row>
    <row r="8" spans="1:43" x14ac:dyDescent="0.35">
      <c r="A8" s="3">
        <v>43837</v>
      </c>
      <c r="B8" s="1">
        <f t="shared" si="0"/>
        <v>2</v>
      </c>
      <c r="C8" s="10" t="s">
        <v>315</v>
      </c>
      <c r="D8" s="10" t="s">
        <v>315</v>
      </c>
      <c r="E8" s="10" t="s">
        <v>315</v>
      </c>
      <c r="F8" s="1" t="str">
        <f t="shared" si="1"/>
        <v/>
      </c>
      <c r="G8" s="7">
        <v>43940</v>
      </c>
      <c r="H8" s="1" t="s">
        <v>376</v>
      </c>
      <c r="I8" s="5" t="s">
        <v>388</v>
      </c>
      <c r="J8" s="5">
        <v>14</v>
      </c>
    </row>
    <row r="9" spans="1:43" x14ac:dyDescent="0.35">
      <c r="A9" s="3">
        <v>43838</v>
      </c>
      <c r="B9" s="1">
        <f t="shared" si="0"/>
        <v>3</v>
      </c>
      <c r="C9" s="10" t="s">
        <v>315</v>
      </c>
      <c r="D9" s="10" t="s">
        <v>315</v>
      </c>
      <c r="E9" s="10" t="s">
        <v>315</v>
      </c>
      <c r="F9" s="1" t="str">
        <f t="shared" si="1"/>
        <v/>
      </c>
      <c r="G9" s="7">
        <v>43941</v>
      </c>
      <c r="H9" s="1" t="s">
        <v>376</v>
      </c>
      <c r="I9" s="5" t="s">
        <v>389</v>
      </c>
      <c r="J9" s="5">
        <v>0</v>
      </c>
    </row>
    <row r="10" spans="1:43" x14ac:dyDescent="0.35">
      <c r="A10" s="3">
        <v>43839</v>
      </c>
      <c r="B10" s="1">
        <f t="shared" si="0"/>
        <v>4</v>
      </c>
      <c r="C10" s="10" t="s">
        <v>315</v>
      </c>
      <c r="D10" s="10" t="s">
        <v>315</v>
      </c>
      <c r="E10" s="10" t="s">
        <v>315</v>
      </c>
      <c r="F10" s="1" t="str">
        <f t="shared" si="1"/>
        <v/>
      </c>
      <c r="G10" s="7">
        <v>43952</v>
      </c>
      <c r="H10" s="1" t="s">
        <v>206</v>
      </c>
      <c r="I10" s="5" t="s">
        <v>390</v>
      </c>
      <c r="J10" s="5">
        <v>0</v>
      </c>
    </row>
    <row r="11" spans="1:43" x14ac:dyDescent="0.35">
      <c r="A11" s="3">
        <v>43840</v>
      </c>
      <c r="B11" s="1">
        <f t="shared" si="0"/>
        <v>5</v>
      </c>
      <c r="C11" s="10" t="s">
        <v>315</v>
      </c>
      <c r="D11" s="10" t="s">
        <v>315</v>
      </c>
      <c r="E11" s="10" t="s">
        <v>315</v>
      </c>
      <c r="F11" s="1" t="str">
        <f t="shared" si="1"/>
        <v/>
      </c>
      <c r="G11" s="7">
        <v>43953</v>
      </c>
      <c r="H11" s="1" t="s">
        <v>206</v>
      </c>
      <c r="I11" s="5" t="s">
        <v>391</v>
      </c>
      <c r="J11" s="5">
        <v>0</v>
      </c>
    </row>
    <row r="12" spans="1:43" x14ac:dyDescent="0.35">
      <c r="A12" s="3">
        <v>43841</v>
      </c>
      <c r="B12" s="1">
        <f t="shared" si="0"/>
        <v>6</v>
      </c>
      <c r="C12" s="10" t="s">
        <v>315</v>
      </c>
      <c r="D12" s="10" t="s">
        <v>315</v>
      </c>
      <c r="E12" s="10" t="s">
        <v>315</v>
      </c>
      <c r="F12" s="1" t="str">
        <f t="shared" si="1"/>
        <v/>
      </c>
      <c r="G12" s="7">
        <v>43975</v>
      </c>
      <c r="H12" s="1" t="s">
        <v>377</v>
      </c>
      <c r="I12" s="5" t="s">
        <v>392</v>
      </c>
      <c r="J12" s="5">
        <v>0</v>
      </c>
    </row>
    <row r="13" spans="1:43" x14ac:dyDescent="0.35">
      <c r="A13" s="3">
        <v>43842</v>
      </c>
      <c r="B13" s="1">
        <f t="shared" si="0"/>
        <v>7</v>
      </c>
      <c r="C13" s="10" t="s">
        <v>313</v>
      </c>
      <c r="D13" s="10" t="s">
        <v>313</v>
      </c>
      <c r="E13" s="10" t="s">
        <v>313</v>
      </c>
      <c r="F13" s="1" t="str">
        <f t="shared" si="1"/>
        <v/>
      </c>
      <c r="G13" s="7">
        <v>43976</v>
      </c>
      <c r="H13" s="1" t="s">
        <v>377</v>
      </c>
      <c r="I13" s="5" t="s">
        <v>393</v>
      </c>
      <c r="J13" s="5">
        <v>0</v>
      </c>
    </row>
    <row r="14" spans="1:43" x14ac:dyDescent="0.35">
      <c r="A14" s="3">
        <v>43843</v>
      </c>
      <c r="B14" s="1">
        <f t="shared" si="0"/>
        <v>1</v>
      </c>
      <c r="C14" s="10" t="s">
        <v>315</v>
      </c>
      <c r="D14" s="10" t="s">
        <v>315</v>
      </c>
      <c r="E14" s="10" t="s">
        <v>315</v>
      </c>
      <c r="F14" s="1" t="str">
        <f t="shared" si="1"/>
        <v/>
      </c>
      <c r="G14" s="7">
        <v>44043</v>
      </c>
      <c r="H14" s="1" t="s">
        <v>378</v>
      </c>
      <c r="I14" t="s">
        <v>394</v>
      </c>
      <c r="J14">
        <v>0</v>
      </c>
    </row>
    <row r="15" spans="1:43" x14ac:dyDescent="0.35">
      <c r="A15" s="3">
        <v>43844</v>
      </c>
      <c r="B15" s="1">
        <f t="shared" si="0"/>
        <v>2</v>
      </c>
      <c r="C15" s="10" t="s">
        <v>315</v>
      </c>
      <c r="D15" s="10" t="s">
        <v>315</v>
      </c>
      <c r="E15" s="10" t="s">
        <v>315</v>
      </c>
      <c r="F15" s="1" t="str">
        <f t="shared" si="1"/>
        <v/>
      </c>
      <c r="G15" s="7">
        <v>44044</v>
      </c>
      <c r="H15" s="1" t="s">
        <v>378</v>
      </c>
      <c r="I15" t="s">
        <v>395</v>
      </c>
      <c r="J15">
        <v>0</v>
      </c>
    </row>
    <row r="16" spans="1:43" x14ac:dyDescent="0.35">
      <c r="A16" s="3">
        <v>43845</v>
      </c>
      <c r="B16" s="1">
        <f t="shared" si="0"/>
        <v>3</v>
      </c>
      <c r="C16" s="10" t="s">
        <v>315</v>
      </c>
      <c r="D16" s="10" t="s">
        <v>315</v>
      </c>
      <c r="E16" s="10" t="s">
        <v>315</v>
      </c>
      <c r="F16" s="1" t="str">
        <f t="shared" si="1"/>
        <v/>
      </c>
      <c r="G16" s="7">
        <v>44160</v>
      </c>
      <c r="H16" s="1" t="s">
        <v>379</v>
      </c>
      <c r="I16" t="s">
        <v>396</v>
      </c>
      <c r="J16">
        <v>11</v>
      </c>
    </row>
    <row r="17" spans="1:10" x14ac:dyDescent="0.35">
      <c r="A17" s="3">
        <v>43846</v>
      </c>
      <c r="B17" s="1">
        <f t="shared" si="0"/>
        <v>4</v>
      </c>
      <c r="C17" s="10" t="s">
        <v>315</v>
      </c>
      <c r="D17" s="10" t="s">
        <v>315</v>
      </c>
      <c r="E17" s="10" t="s">
        <v>315</v>
      </c>
      <c r="F17" s="1" t="str">
        <f t="shared" si="1"/>
        <v/>
      </c>
      <c r="G17" s="7">
        <v>44189</v>
      </c>
      <c r="H17" s="1" t="s">
        <v>380</v>
      </c>
      <c r="I17" t="s">
        <v>397</v>
      </c>
      <c r="J17">
        <v>0</v>
      </c>
    </row>
    <row r="18" spans="1:10" x14ac:dyDescent="0.35">
      <c r="A18" s="3">
        <v>43847</v>
      </c>
      <c r="B18" s="1">
        <f t="shared" si="0"/>
        <v>5</v>
      </c>
      <c r="C18" s="10" t="s">
        <v>315</v>
      </c>
      <c r="D18" s="10" t="s">
        <v>315</v>
      </c>
      <c r="E18" s="10" t="s">
        <v>315</v>
      </c>
      <c r="F18" s="1" t="str">
        <f t="shared" si="1"/>
        <v/>
      </c>
      <c r="G18" s="7">
        <v>44190</v>
      </c>
      <c r="H18" s="1" t="s">
        <v>380</v>
      </c>
      <c r="I18" t="s">
        <v>398</v>
      </c>
      <c r="J18">
        <v>0</v>
      </c>
    </row>
    <row r="19" spans="1:10" x14ac:dyDescent="0.35">
      <c r="A19" s="3">
        <v>43848</v>
      </c>
      <c r="B19" s="1">
        <f t="shared" si="0"/>
        <v>6</v>
      </c>
      <c r="C19" s="10" t="s">
        <v>315</v>
      </c>
      <c r="D19" s="10" t="s">
        <v>315</v>
      </c>
      <c r="E19" s="10" t="s">
        <v>315</v>
      </c>
      <c r="F19" s="1" t="str">
        <f t="shared" si="1"/>
        <v/>
      </c>
      <c r="I19" t="s">
        <v>399</v>
      </c>
      <c r="J19">
        <v>0</v>
      </c>
    </row>
    <row r="20" spans="1:10" x14ac:dyDescent="0.35">
      <c r="A20" s="3">
        <v>43849</v>
      </c>
      <c r="B20" s="1">
        <f t="shared" si="0"/>
        <v>7</v>
      </c>
      <c r="C20" s="10" t="s">
        <v>313</v>
      </c>
      <c r="D20" s="10" t="s">
        <v>313</v>
      </c>
      <c r="E20" s="10" t="s">
        <v>313</v>
      </c>
      <c r="F20" s="1" t="str">
        <f t="shared" si="1"/>
        <v/>
      </c>
      <c r="I20" t="s">
        <v>400</v>
      </c>
      <c r="J20">
        <v>0</v>
      </c>
    </row>
    <row r="21" spans="1:10" x14ac:dyDescent="0.35">
      <c r="A21" s="3">
        <v>43850</v>
      </c>
      <c r="B21" s="1">
        <f t="shared" si="0"/>
        <v>1</v>
      </c>
      <c r="C21" s="10" t="s">
        <v>315</v>
      </c>
      <c r="D21" s="10" t="s">
        <v>315</v>
      </c>
      <c r="E21" s="10" t="s">
        <v>315</v>
      </c>
      <c r="F21" s="1" t="str">
        <f t="shared" si="1"/>
        <v/>
      </c>
      <c r="I21" t="s">
        <v>401</v>
      </c>
      <c r="J21">
        <v>0</v>
      </c>
    </row>
    <row r="22" spans="1:10" x14ac:dyDescent="0.35">
      <c r="A22" s="3">
        <v>43851</v>
      </c>
      <c r="B22" s="1">
        <f t="shared" si="0"/>
        <v>2</v>
      </c>
      <c r="C22" s="10" t="s">
        <v>315</v>
      </c>
      <c r="D22" s="10" t="s">
        <v>315</v>
      </c>
      <c r="E22" s="10" t="s">
        <v>315</v>
      </c>
      <c r="F22" s="1" t="str">
        <f t="shared" si="1"/>
        <v/>
      </c>
      <c r="I22" t="s">
        <v>402</v>
      </c>
      <c r="J22">
        <v>0</v>
      </c>
    </row>
    <row r="23" spans="1:10" x14ac:dyDescent="0.35">
      <c r="A23" s="3">
        <v>43852</v>
      </c>
      <c r="B23" s="1">
        <f t="shared" si="0"/>
        <v>3</v>
      </c>
      <c r="C23" s="10" t="s">
        <v>315</v>
      </c>
      <c r="D23" s="10" t="s">
        <v>315</v>
      </c>
      <c r="E23" s="10" t="s">
        <v>315</v>
      </c>
      <c r="F23" s="1" t="str">
        <f t="shared" si="1"/>
        <v/>
      </c>
      <c r="I23" t="s">
        <v>403</v>
      </c>
      <c r="J23">
        <v>0</v>
      </c>
    </row>
    <row r="24" spans="1:10" x14ac:dyDescent="0.35">
      <c r="A24" s="3">
        <v>43853</v>
      </c>
      <c r="B24" s="1">
        <f t="shared" si="0"/>
        <v>4</v>
      </c>
      <c r="C24" s="10" t="s">
        <v>315</v>
      </c>
      <c r="D24" s="10" t="s">
        <v>315</v>
      </c>
      <c r="E24" s="10" t="s">
        <v>315</v>
      </c>
      <c r="F24" s="1" t="str">
        <f t="shared" si="1"/>
        <v/>
      </c>
      <c r="I24" t="s">
        <v>404</v>
      </c>
      <c r="J24">
        <v>7</v>
      </c>
    </row>
    <row r="25" spans="1:10" x14ac:dyDescent="0.35">
      <c r="A25" s="3">
        <v>43854</v>
      </c>
      <c r="B25" s="1">
        <f t="shared" si="0"/>
        <v>5</v>
      </c>
      <c r="C25" s="10" t="s">
        <v>315</v>
      </c>
      <c r="D25" s="10" t="s">
        <v>315</v>
      </c>
      <c r="E25" s="10" t="s">
        <v>315</v>
      </c>
      <c r="F25" s="1" t="str">
        <f t="shared" si="1"/>
        <v/>
      </c>
      <c r="I25" t="s">
        <v>405</v>
      </c>
      <c r="J25">
        <v>0</v>
      </c>
    </row>
    <row r="26" spans="1:10" x14ac:dyDescent="0.35">
      <c r="A26" s="3">
        <v>43855</v>
      </c>
      <c r="B26" s="1">
        <f t="shared" si="0"/>
        <v>6</v>
      </c>
      <c r="C26" s="10" t="s">
        <v>315</v>
      </c>
      <c r="D26" s="10" t="s">
        <v>315</v>
      </c>
      <c r="E26" s="10" t="s">
        <v>315</v>
      </c>
      <c r="F26" s="1" t="str">
        <f t="shared" si="1"/>
        <v/>
      </c>
      <c r="I26" t="s">
        <v>406</v>
      </c>
      <c r="J26">
        <v>0</v>
      </c>
    </row>
    <row r="27" spans="1:10" x14ac:dyDescent="0.35">
      <c r="A27" s="3">
        <v>43856</v>
      </c>
      <c r="B27" s="1">
        <f t="shared" si="0"/>
        <v>7</v>
      </c>
      <c r="C27" s="10" t="s">
        <v>313</v>
      </c>
      <c r="D27" s="10" t="s">
        <v>313</v>
      </c>
      <c r="E27" s="10" t="s">
        <v>313</v>
      </c>
      <c r="F27" s="1" t="str">
        <f t="shared" si="1"/>
        <v/>
      </c>
      <c r="I27" t="s">
        <v>407</v>
      </c>
      <c r="J27">
        <v>7</v>
      </c>
    </row>
    <row r="28" spans="1:10" x14ac:dyDescent="0.35">
      <c r="A28" s="3">
        <v>43857</v>
      </c>
      <c r="B28" s="1">
        <f t="shared" si="0"/>
        <v>1</v>
      </c>
      <c r="C28" s="10" t="s">
        <v>315</v>
      </c>
      <c r="D28" s="10" t="s">
        <v>315</v>
      </c>
      <c r="E28" s="10" t="s">
        <v>315</v>
      </c>
      <c r="F28" s="1" t="str">
        <f t="shared" si="1"/>
        <v/>
      </c>
      <c r="I28" t="s">
        <v>408</v>
      </c>
      <c r="J28">
        <v>0</v>
      </c>
    </row>
    <row r="29" spans="1:10" x14ac:dyDescent="0.35">
      <c r="A29" s="3">
        <v>43858</v>
      </c>
      <c r="B29" s="1">
        <f t="shared" si="0"/>
        <v>2</v>
      </c>
      <c r="C29" s="10" t="s">
        <v>315</v>
      </c>
      <c r="D29" s="10" t="s">
        <v>315</v>
      </c>
      <c r="E29" s="10" t="s">
        <v>315</v>
      </c>
      <c r="F29" s="1" t="str">
        <f t="shared" si="1"/>
        <v/>
      </c>
      <c r="I29" t="s">
        <v>409</v>
      </c>
      <c r="J29">
        <v>0</v>
      </c>
    </row>
    <row r="30" spans="1:10" x14ac:dyDescent="0.35">
      <c r="A30" s="3">
        <v>43859</v>
      </c>
      <c r="B30" s="1">
        <f t="shared" si="0"/>
        <v>3</v>
      </c>
      <c r="C30" s="10" t="s">
        <v>315</v>
      </c>
      <c r="D30" s="10" t="s">
        <v>315</v>
      </c>
      <c r="E30" s="10" t="s">
        <v>315</v>
      </c>
      <c r="F30" s="1" t="str">
        <f t="shared" si="1"/>
        <v/>
      </c>
      <c r="I30" t="s">
        <v>410</v>
      </c>
      <c r="J30">
        <v>0</v>
      </c>
    </row>
    <row r="31" spans="1:10" x14ac:dyDescent="0.35">
      <c r="A31" s="3">
        <v>43860</v>
      </c>
      <c r="B31" s="1">
        <f t="shared" si="0"/>
        <v>4</v>
      </c>
      <c r="C31" s="10" t="s">
        <v>315</v>
      </c>
      <c r="D31" s="10" t="s">
        <v>315</v>
      </c>
      <c r="E31" s="10" t="s">
        <v>315</v>
      </c>
      <c r="F31" s="1" t="str">
        <f t="shared" si="1"/>
        <v/>
      </c>
      <c r="I31" t="s">
        <v>411</v>
      </c>
      <c r="J31">
        <v>0</v>
      </c>
    </row>
    <row r="32" spans="1:10" x14ac:dyDescent="0.35">
      <c r="A32" s="3">
        <v>43861</v>
      </c>
      <c r="B32" s="1">
        <f t="shared" ref="B32:B95" si="2">IF(A32&gt;0,WEEKDAY(A32,2),"")</f>
        <v>5</v>
      </c>
      <c r="C32" s="10" t="s">
        <v>315</v>
      </c>
      <c r="D32" s="10" t="s">
        <v>315</v>
      </c>
      <c r="E32" s="10" t="s">
        <v>315</v>
      </c>
      <c r="F32" s="1" t="str">
        <f t="shared" si="1"/>
        <v/>
      </c>
      <c r="I32" t="s">
        <v>412</v>
      </c>
      <c r="J32">
        <v>0</v>
      </c>
    </row>
    <row r="33" spans="1:10" x14ac:dyDescent="0.35">
      <c r="A33" s="3">
        <v>43862</v>
      </c>
      <c r="B33" s="1">
        <f t="shared" si="2"/>
        <v>6</v>
      </c>
      <c r="C33" s="10" t="s">
        <v>315</v>
      </c>
      <c r="D33" s="10" t="s">
        <v>315</v>
      </c>
      <c r="E33" s="10" t="s">
        <v>315</v>
      </c>
      <c r="F33" s="1" t="str">
        <f t="shared" si="1"/>
        <v/>
      </c>
      <c r="I33" t="s">
        <v>413</v>
      </c>
      <c r="J33">
        <v>0</v>
      </c>
    </row>
    <row r="34" spans="1:10" x14ac:dyDescent="0.35">
      <c r="A34" s="3">
        <v>43863</v>
      </c>
      <c r="B34" s="1">
        <f t="shared" si="2"/>
        <v>7</v>
      </c>
      <c r="C34" s="10" t="s">
        <v>313</v>
      </c>
      <c r="D34" s="10" t="s">
        <v>313</v>
      </c>
      <c r="E34" s="10" t="s">
        <v>313</v>
      </c>
      <c r="F34" s="1" t="str">
        <f t="shared" si="1"/>
        <v/>
      </c>
      <c r="I34" t="s">
        <v>414</v>
      </c>
      <c r="J34">
        <v>0</v>
      </c>
    </row>
    <row r="35" spans="1:10" x14ac:dyDescent="0.35">
      <c r="A35" s="3">
        <v>43864</v>
      </c>
      <c r="B35" s="1">
        <f t="shared" si="2"/>
        <v>1</v>
      </c>
      <c r="C35" s="10" t="s">
        <v>315</v>
      </c>
      <c r="D35" s="10" t="s">
        <v>315</v>
      </c>
      <c r="E35" s="10" t="s">
        <v>315</v>
      </c>
      <c r="F35" s="1" t="str">
        <f t="shared" si="1"/>
        <v/>
      </c>
      <c r="I35" t="s">
        <v>415</v>
      </c>
      <c r="J35">
        <v>7</v>
      </c>
    </row>
    <row r="36" spans="1:10" x14ac:dyDescent="0.35">
      <c r="A36" s="3">
        <v>43865</v>
      </c>
      <c r="B36" s="1">
        <f t="shared" si="2"/>
        <v>2</v>
      </c>
      <c r="C36" s="10" t="s">
        <v>315</v>
      </c>
      <c r="D36" s="10" t="s">
        <v>315</v>
      </c>
      <c r="E36" s="10" t="s">
        <v>315</v>
      </c>
      <c r="F36" s="1" t="str">
        <f t="shared" si="1"/>
        <v/>
      </c>
      <c r="I36" t="s">
        <v>416</v>
      </c>
      <c r="J36">
        <v>0</v>
      </c>
    </row>
    <row r="37" spans="1:10" x14ac:dyDescent="0.35">
      <c r="A37" s="3">
        <v>43866</v>
      </c>
      <c r="B37" s="1">
        <f t="shared" si="2"/>
        <v>3</v>
      </c>
      <c r="C37" s="10" t="s">
        <v>315</v>
      </c>
      <c r="D37" s="10" t="s">
        <v>315</v>
      </c>
      <c r="E37" s="10" t="s">
        <v>315</v>
      </c>
      <c r="F37" s="1" t="str">
        <f t="shared" si="1"/>
        <v/>
      </c>
      <c r="I37" t="s">
        <v>417</v>
      </c>
      <c r="J37">
        <v>0</v>
      </c>
    </row>
    <row r="38" spans="1:10" x14ac:dyDescent="0.35">
      <c r="A38" s="3">
        <v>43867</v>
      </c>
      <c r="B38" s="1">
        <f t="shared" si="2"/>
        <v>4</v>
      </c>
      <c r="C38" s="10" t="s">
        <v>315</v>
      </c>
      <c r="D38" s="10" t="s">
        <v>315</v>
      </c>
      <c r="E38" s="10" t="s">
        <v>315</v>
      </c>
      <c r="F38" s="1" t="str">
        <f t="shared" si="1"/>
        <v/>
      </c>
      <c r="I38" t="s">
        <v>418</v>
      </c>
      <c r="J38">
        <v>0</v>
      </c>
    </row>
    <row r="39" spans="1:10" x14ac:dyDescent="0.35">
      <c r="A39" s="3">
        <v>43868</v>
      </c>
      <c r="B39" s="1">
        <f t="shared" si="2"/>
        <v>5</v>
      </c>
      <c r="C39" s="10" t="s">
        <v>315</v>
      </c>
      <c r="D39" s="10" t="s">
        <v>315</v>
      </c>
      <c r="E39" s="10" t="s">
        <v>315</v>
      </c>
      <c r="F39" s="1" t="str">
        <f t="shared" si="1"/>
        <v/>
      </c>
      <c r="I39" t="s">
        <v>419</v>
      </c>
      <c r="J39">
        <v>8</v>
      </c>
    </row>
    <row r="40" spans="1:10" x14ac:dyDescent="0.35">
      <c r="A40" s="3">
        <v>43869</v>
      </c>
      <c r="B40" s="1">
        <f t="shared" si="2"/>
        <v>6</v>
      </c>
      <c r="C40" s="10" t="s">
        <v>315</v>
      </c>
      <c r="D40" s="10" t="s">
        <v>315</v>
      </c>
      <c r="E40" s="10" t="s">
        <v>315</v>
      </c>
      <c r="F40" s="1" t="str">
        <f t="shared" si="1"/>
        <v/>
      </c>
      <c r="I40" t="s">
        <v>420</v>
      </c>
      <c r="J40">
        <v>0</v>
      </c>
    </row>
    <row r="41" spans="1:10" x14ac:dyDescent="0.35">
      <c r="A41" s="3">
        <v>43870</v>
      </c>
      <c r="B41" s="1">
        <f t="shared" si="2"/>
        <v>7</v>
      </c>
      <c r="C41" s="10" t="s">
        <v>313</v>
      </c>
      <c r="D41" s="10" t="s">
        <v>313</v>
      </c>
      <c r="E41" s="10" t="s">
        <v>313</v>
      </c>
      <c r="F41" s="1" t="str">
        <f t="shared" si="1"/>
        <v/>
      </c>
      <c r="I41" t="s">
        <v>421</v>
      </c>
      <c r="J41">
        <v>0</v>
      </c>
    </row>
    <row r="42" spans="1:10" x14ac:dyDescent="0.35">
      <c r="A42" s="3">
        <v>43871</v>
      </c>
      <c r="B42" s="1">
        <f t="shared" si="2"/>
        <v>1</v>
      </c>
      <c r="C42" s="10" t="s">
        <v>315</v>
      </c>
      <c r="D42" s="10" t="s">
        <v>315</v>
      </c>
      <c r="E42" s="10" t="s">
        <v>315</v>
      </c>
      <c r="F42" s="1" t="str">
        <f t="shared" si="1"/>
        <v/>
      </c>
      <c r="I42" t="s">
        <v>422</v>
      </c>
      <c r="J42">
        <v>6</v>
      </c>
    </row>
    <row r="43" spans="1:10" x14ac:dyDescent="0.35">
      <c r="A43" s="3">
        <v>43872</v>
      </c>
      <c r="B43" s="1">
        <f t="shared" si="2"/>
        <v>2</v>
      </c>
      <c r="C43" s="10" t="s">
        <v>315</v>
      </c>
      <c r="D43" s="10" t="s">
        <v>315</v>
      </c>
      <c r="E43" s="10" t="s">
        <v>315</v>
      </c>
      <c r="F43" s="1" t="str">
        <f t="shared" si="1"/>
        <v/>
      </c>
      <c r="I43" t="s">
        <v>423</v>
      </c>
      <c r="J43">
        <v>0</v>
      </c>
    </row>
    <row r="44" spans="1:10" x14ac:dyDescent="0.35">
      <c r="A44" s="3">
        <v>43873</v>
      </c>
      <c r="B44" s="1">
        <f t="shared" si="2"/>
        <v>3</v>
      </c>
      <c r="C44" s="10" t="s">
        <v>315</v>
      </c>
      <c r="D44" s="10" t="s">
        <v>315</v>
      </c>
      <c r="E44" s="10" t="s">
        <v>315</v>
      </c>
      <c r="F44" s="1" t="str">
        <f t="shared" si="1"/>
        <v/>
      </c>
      <c r="I44" t="s">
        <v>424</v>
      </c>
      <c r="J44">
        <v>0</v>
      </c>
    </row>
    <row r="45" spans="1:10" x14ac:dyDescent="0.35">
      <c r="A45" s="3">
        <v>43874</v>
      </c>
      <c r="B45" s="1">
        <f t="shared" si="2"/>
        <v>4</v>
      </c>
      <c r="C45" s="10" t="s">
        <v>315</v>
      </c>
      <c r="D45" s="10" t="s">
        <v>315</v>
      </c>
      <c r="E45" s="10" t="s">
        <v>315</v>
      </c>
      <c r="F45" s="1" t="str">
        <f t="shared" si="1"/>
        <v/>
      </c>
      <c r="I45" t="s">
        <v>425</v>
      </c>
      <c r="J45">
        <v>10</v>
      </c>
    </row>
    <row r="46" spans="1:10" x14ac:dyDescent="0.35">
      <c r="A46" s="3">
        <v>43875</v>
      </c>
      <c r="B46" s="1">
        <f t="shared" si="2"/>
        <v>5</v>
      </c>
      <c r="C46" s="10" t="s">
        <v>315</v>
      </c>
      <c r="D46" s="10" t="s">
        <v>315</v>
      </c>
      <c r="E46" s="10" t="s">
        <v>315</v>
      </c>
      <c r="F46" s="1" t="str">
        <f t="shared" si="1"/>
        <v/>
      </c>
      <c r="I46" t="s">
        <v>426</v>
      </c>
      <c r="J46">
        <v>10</v>
      </c>
    </row>
    <row r="47" spans="1:10" x14ac:dyDescent="0.35">
      <c r="A47" s="3">
        <v>43876</v>
      </c>
      <c r="B47" s="1">
        <f t="shared" si="2"/>
        <v>6</v>
      </c>
      <c r="C47" s="10" t="s">
        <v>315</v>
      </c>
      <c r="D47" s="10" t="s">
        <v>315</v>
      </c>
      <c r="E47" s="10" t="s">
        <v>315</v>
      </c>
      <c r="F47" s="1" t="str">
        <f t="shared" si="1"/>
        <v/>
      </c>
      <c r="I47" t="s">
        <v>427</v>
      </c>
      <c r="J47">
        <v>14</v>
      </c>
    </row>
    <row r="48" spans="1:10" x14ac:dyDescent="0.35">
      <c r="A48" s="3">
        <v>43877</v>
      </c>
      <c r="B48" s="1">
        <f t="shared" si="2"/>
        <v>7</v>
      </c>
      <c r="C48" s="10" t="s">
        <v>313</v>
      </c>
      <c r="D48" s="10" t="s">
        <v>313</v>
      </c>
      <c r="E48" s="10" t="s">
        <v>313</v>
      </c>
      <c r="F48" s="1" t="str">
        <f t="shared" si="1"/>
        <v/>
      </c>
    </row>
    <row r="49" spans="1:6" x14ac:dyDescent="0.35">
      <c r="A49" s="3">
        <v>43878</v>
      </c>
      <c r="B49" s="1">
        <f t="shared" si="2"/>
        <v>1</v>
      </c>
      <c r="C49" s="10" t="s">
        <v>315</v>
      </c>
      <c r="D49" s="10" t="s">
        <v>315</v>
      </c>
      <c r="E49" s="10" t="s">
        <v>315</v>
      </c>
      <c r="F49" s="1" t="str">
        <f t="shared" si="1"/>
        <v/>
      </c>
    </row>
    <row r="50" spans="1:6" x14ac:dyDescent="0.35">
      <c r="A50" s="3">
        <v>43879</v>
      </c>
      <c r="B50" s="1">
        <f t="shared" si="2"/>
        <v>2</v>
      </c>
      <c r="C50" s="10" t="s">
        <v>315</v>
      </c>
      <c r="D50" s="10" t="s">
        <v>315</v>
      </c>
      <c r="E50" s="10" t="s">
        <v>315</v>
      </c>
      <c r="F50" s="1" t="str">
        <f t="shared" si="1"/>
        <v/>
      </c>
    </row>
    <row r="51" spans="1:6" x14ac:dyDescent="0.35">
      <c r="A51" s="3">
        <v>43880</v>
      </c>
      <c r="B51" s="1">
        <f t="shared" si="2"/>
        <v>3</v>
      </c>
      <c r="C51" s="10" t="s">
        <v>315</v>
      </c>
      <c r="D51" s="10" t="s">
        <v>315</v>
      </c>
      <c r="E51" s="10" t="s">
        <v>315</v>
      </c>
      <c r="F51" s="1" t="str">
        <f t="shared" si="1"/>
        <v/>
      </c>
    </row>
    <row r="52" spans="1:6" x14ac:dyDescent="0.35">
      <c r="A52" s="3">
        <v>43881</v>
      </c>
      <c r="B52" s="1">
        <f t="shared" si="2"/>
        <v>4</v>
      </c>
      <c r="C52" s="10" t="s">
        <v>315</v>
      </c>
      <c r="D52" s="10" t="s">
        <v>315</v>
      </c>
      <c r="E52" s="10" t="s">
        <v>315</v>
      </c>
      <c r="F52" s="1" t="str">
        <f t="shared" si="1"/>
        <v/>
      </c>
    </row>
    <row r="53" spans="1:6" x14ac:dyDescent="0.35">
      <c r="A53" s="3">
        <v>43882</v>
      </c>
      <c r="B53" s="1">
        <f t="shared" si="2"/>
        <v>5</v>
      </c>
      <c r="C53" s="10" t="s">
        <v>315</v>
      </c>
      <c r="D53" s="10" t="s">
        <v>315</v>
      </c>
      <c r="E53" s="10" t="s">
        <v>315</v>
      </c>
      <c r="F53" s="1" t="str">
        <f t="shared" si="1"/>
        <v/>
      </c>
    </row>
    <row r="54" spans="1:6" x14ac:dyDescent="0.35">
      <c r="A54" s="3">
        <v>43883</v>
      </c>
      <c r="B54" s="1">
        <f t="shared" si="2"/>
        <v>6</v>
      </c>
      <c r="C54" s="10" t="s">
        <v>315</v>
      </c>
      <c r="D54" s="10" t="s">
        <v>315</v>
      </c>
      <c r="E54" s="10" t="s">
        <v>315</v>
      </c>
      <c r="F54" s="1" t="str">
        <f t="shared" si="1"/>
        <v/>
      </c>
    </row>
    <row r="55" spans="1:6" x14ac:dyDescent="0.35">
      <c r="A55" s="3">
        <v>43884</v>
      </c>
      <c r="B55" s="1">
        <f t="shared" si="2"/>
        <v>7</v>
      </c>
      <c r="C55" s="10" t="s">
        <v>313</v>
      </c>
      <c r="D55" s="10" t="s">
        <v>313</v>
      </c>
      <c r="E55" s="10" t="s">
        <v>313</v>
      </c>
      <c r="F55" s="1" t="str">
        <f t="shared" si="1"/>
        <v/>
      </c>
    </row>
    <row r="56" spans="1:6" x14ac:dyDescent="0.35">
      <c r="A56" s="3">
        <v>43885</v>
      </c>
      <c r="B56" s="1">
        <f t="shared" si="2"/>
        <v>1</v>
      </c>
      <c r="C56" s="10" t="s">
        <v>315</v>
      </c>
      <c r="D56" s="10" t="s">
        <v>315</v>
      </c>
      <c r="E56" s="10" t="s">
        <v>315</v>
      </c>
      <c r="F56" s="1" t="str">
        <f t="shared" si="1"/>
        <v/>
      </c>
    </row>
    <row r="57" spans="1:6" x14ac:dyDescent="0.35">
      <c r="A57" s="3">
        <v>43886</v>
      </c>
      <c r="B57" s="1">
        <f t="shared" si="2"/>
        <v>2</v>
      </c>
      <c r="C57" s="10" t="s">
        <v>315</v>
      </c>
      <c r="D57" s="10" t="s">
        <v>315</v>
      </c>
      <c r="E57" s="10" t="s">
        <v>315</v>
      </c>
      <c r="F57" s="1" t="str">
        <f t="shared" si="1"/>
        <v/>
      </c>
    </row>
    <row r="58" spans="1:6" x14ac:dyDescent="0.35">
      <c r="A58" s="3">
        <v>43887</v>
      </c>
      <c r="B58" s="1">
        <f t="shared" si="2"/>
        <v>3</v>
      </c>
      <c r="C58" s="10" t="s">
        <v>315</v>
      </c>
      <c r="D58" s="10" t="s">
        <v>315</v>
      </c>
      <c r="E58" s="10" t="s">
        <v>315</v>
      </c>
      <c r="F58" s="1" t="str">
        <f t="shared" si="1"/>
        <v/>
      </c>
    </row>
    <row r="59" spans="1:6" x14ac:dyDescent="0.35">
      <c r="A59" s="3">
        <v>43888</v>
      </c>
      <c r="B59" s="1">
        <f t="shared" si="2"/>
        <v>4</v>
      </c>
      <c r="C59" s="10" t="s">
        <v>315</v>
      </c>
      <c r="D59" s="10" t="s">
        <v>315</v>
      </c>
      <c r="E59" s="10" t="s">
        <v>315</v>
      </c>
      <c r="F59" s="1" t="str">
        <f t="shared" si="1"/>
        <v/>
      </c>
    </row>
    <row r="60" spans="1:6" x14ac:dyDescent="0.35">
      <c r="A60" s="3">
        <v>43889</v>
      </c>
      <c r="B60" s="1">
        <f t="shared" si="2"/>
        <v>5</v>
      </c>
      <c r="C60" s="10" t="s">
        <v>315</v>
      </c>
      <c r="D60" s="10" t="s">
        <v>315</v>
      </c>
      <c r="E60" s="10" t="s">
        <v>315</v>
      </c>
      <c r="F60" s="1" t="str">
        <f t="shared" si="1"/>
        <v/>
      </c>
    </row>
    <row r="61" spans="1:6" x14ac:dyDescent="0.35">
      <c r="A61" s="3">
        <v>43890</v>
      </c>
      <c r="B61" s="1">
        <f t="shared" si="2"/>
        <v>6</v>
      </c>
      <c r="C61" s="10" t="s">
        <v>315</v>
      </c>
      <c r="D61" s="10" t="s">
        <v>315</v>
      </c>
      <c r="E61" s="10" t="s">
        <v>315</v>
      </c>
      <c r="F61" s="1" t="str">
        <f t="shared" si="1"/>
        <v/>
      </c>
    </row>
    <row r="62" spans="1:6" x14ac:dyDescent="0.35">
      <c r="A62" s="3">
        <v>43891</v>
      </c>
      <c r="B62" s="1">
        <f t="shared" si="2"/>
        <v>7</v>
      </c>
      <c r="C62" s="10" t="s">
        <v>313</v>
      </c>
      <c r="D62" s="10" t="s">
        <v>313</v>
      </c>
      <c r="E62" s="10" t="s">
        <v>313</v>
      </c>
      <c r="F62" s="1" t="str">
        <f t="shared" si="1"/>
        <v>Dan nezavisnosti Bosne i Hercegovine</v>
      </c>
    </row>
    <row r="63" spans="1:6" x14ac:dyDescent="0.35">
      <c r="A63" s="3">
        <v>43892</v>
      </c>
      <c r="B63" s="1">
        <f t="shared" si="2"/>
        <v>1</v>
      </c>
      <c r="C63" s="10" t="s">
        <v>315</v>
      </c>
      <c r="D63" s="10" t="s">
        <v>315</v>
      </c>
      <c r="E63" s="10" t="s">
        <v>315</v>
      </c>
      <c r="F63" s="1" t="str">
        <f t="shared" si="1"/>
        <v/>
      </c>
    </row>
    <row r="64" spans="1:6" x14ac:dyDescent="0.35">
      <c r="A64" s="3">
        <v>43893</v>
      </c>
      <c r="B64" s="1">
        <f t="shared" si="2"/>
        <v>2</v>
      </c>
      <c r="C64" s="10" t="s">
        <v>315</v>
      </c>
      <c r="D64" s="10" t="s">
        <v>315</v>
      </c>
      <c r="E64" s="10" t="s">
        <v>315</v>
      </c>
      <c r="F64" s="1" t="str">
        <f t="shared" si="1"/>
        <v/>
      </c>
    </row>
    <row r="65" spans="1:6" x14ac:dyDescent="0.35">
      <c r="A65" s="3">
        <v>43894</v>
      </c>
      <c r="B65" s="1">
        <f t="shared" si="2"/>
        <v>3</v>
      </c>
      <c r="C65" s="10" t="s">
        <v>315</v>
      </c>
      <c r="D65" s="10" t="s">
        <v>315</v>
      </c>
      <c r="E65" s="10" t="s">
        <v>315</v>
      </c>
      <c r="F65" s="1" t="str">
        <f t="shared" si="1"/>
        <v/>
      </c>
    </row>
    <row r="66" spans="1:6" x14ac:dyDescent="0.35">
      <c r="A66" s="3">
        <v>43895</v>
      </c>
      <c r="B66" s="1">
        <f t="shared" si="2"/>
        <v>4</v>
      </c>
      <c r="C66" s="10" t="s">
        <v>315</v>
      </c>
      <c r="D66" s="10" t="s">
        <v>315</v>
      </c>
      <c r="E66" s="10" t="s">
        <v>315</v>
      </c>
      <c r="F66" s="1" t="str">
        <f t="shared" si="1"/>
        <v/>
      </c>
    </row>
    <row r="67" spans="1:6" x14ac:dyDescent="0.35">
      <c r="A67" s="3">
        <v>43896</v>
      </c>
      <c r="B67" s="1">
        <f t="shared" si="2"/>
        <v>5</v>
      </c>
      <c r="C67" s="10" t="s">
        <v>315</v>
      </c>
      <c r="D67" s="10" t="s">
        <v>315</v>
      </c>
      <c r="E67" s="10" t="s">
        <v>315</v>
      </c>
      <c r="F67" s="1" t="str">
        <f t="shared" ref="F67:F130" si="3">IFERROR(VLOOKUP(A67,$G$1:$H$18,2,FALSE),"")</f>
        <v/>
      </c>
    </row>
    <row r="68" spans="1:6" x14ac:dyDescent="0.35">
      <c r="A68" s="3">
        <v>43897</v>
      </c>
      <c r="B68" s="1">
        <f t="shared" si="2"/>
        <v>6</v>
      </c>
      <c r="C68" s="10" t="s">
        <v>315</v>
      </c>
      <c r="D68" s="10" t="s">
        <v>315</v>
      </c>
      <c r="E68" s="10" t="s">
        <v>315</v>
      </c>
      <c r="F68" s="1" t="str">
        <f t="shared" si="3"/>
        <v/>
      </c>
    </row>
    <row r="69" spans="1:6" x14ac:dyDescent="0.35">
      <c r="A69" s="3">
        <v>43898</v>
      </c>
      <c r="B69" s="1">
        <f t="shared" si="2"/>
        <v>7</v>
      </c>
      <c r="C69" s="10" t="s">
        <v>313</v>
      </c>
      <c r="D69" s="10" t="s">
        <v>313</v>
      </c>
      <c r="E69" s="10" t="s">
        <v>313</v>
      </c>
      <c r="F69" s="1" t="str">
        <f t="shared" si="3"/>
        <v/>
      </c>
    </row>
    <row r="70" spans="1:6" x14ac:dyDescent="0.35">
      <c r="A70" s="3">
        <v>43899</v>
      </c>
      <c r="B70" s="1">
        <f t="shared" si="2"/>
        <v>1</v>
      </c>
      <c r="C70" s="10" t="s">
        <v>315</v>
      </c>
      <c r="D70" s="10" t="s">
        <v>315</v>
      </c>
      <c r="E70" s="10" t="s">
        <v>315</v>
      </c>
      <c r="F70" s="1" t="str">
        <f t="shared" si="3"/>
        <v/>
      </c>
    </row>
    <row r="71" spans="1:6" x14ac:dyDescent="0.35">
      <c r="A71" s="3">
        <v>43900</v>
      </c>
      <c r="B71" s="1">
        <f t="shared" si="2"/>
        <v>2</v>
      </c>
      <c r="C71" s="10" t="s">
        <v>315</v>
      </c>
      <c r="D71" s="10" t="s">
        <v>315</v>
      </c>
      <c r="E71" s="10" t="s">
        <v>315</v>
      </c>
      <c r="F71" s="1" t="str">
        <f t="shared" si="3"/>
        <v/>
      </c>
    </row>
    <row r="72" spans="1:6" x14ac:dyDescent="0.35">
      <c r="A72" s="3">
        <v>43901</v>
      </c>
      <c r="B72" s="1">
        <f t="shared" si="2"/>
        <v>3</v>
      </c>
      <c r="C72" s="10" t="s">
        <v>315</v>
      </c>
      <c r="D72" s="10" t="s">
        <v>315</v>
      </c>
      <c r="E72" s="10" t="s">
        <v>315</v>
      </c>
      <c r="F72" s="1" t="str">
        <f t="shared" si="3"/>
        <v/>
      </c>
    </row>
    <row r="73" spans="1:6" x14ac:dyDescent="0.35">
      <c r="A73" s="3">
        <v>43902</v>
      </c>
      <c r="B73" s="1">
        <f t="shared" si="2"/>
        <v>4</v>
      </c>
      <c r="C73" s="10" t="s">
        <v>315</v>
      </c>
      <c r="D73" s="10" t="s">
        <v>315</v>
      </c>
      <c r="E73" s="10" t="s">
        <v>315</v>
      </c>
      <c r="F73" s="1" t="str">
        <f t="shared" si="3"/>
        <v/>
      </c>
    </row>
    <row r="74" spans="1:6" x14ac:dyDescent="0.35">
      <c r="A74" s="3">
        <v>43903</v>
      </c>
      <c r="B74" s="1">
        <f t="shared" si="2"/>
        <v>5</v>
      </c>
      <c r="C74" s="10" t="s">
        <v>315</v>
      </c>
      <c r="D74" s="10" t="s">
        <v>315</v>
      </c>
      <c r="E74" s="10" t="s">
        <v>315</v>
      </c>
      <c r="F74" s="1" t="str">
        <f t="shared" si="3"/>
        <v/>
      </c>
    </row>
    <row r="75" spans="1:6" x14ac:dyDescent="0.35">
      <c r="A75" s="3">
        <v>43904</v>
      </c>
      <c r="B75" s="1">
        <f t="shared" si="2"/>
        <v>6</v>
      </c>
      <c r="C75" s="10" t="s">
        <v>315</v>
      </c>
      <c r="D75" s="10" t="s">
        <v>315</v>
      </c>
      <c r="E75" s="10" t="s">
        <v>315</v>
      </c>
      <c r="F75" s="1" t="str">
        <f t="shared" si="3"/>
        <v/>
      </c>
    </row>
    <row r="76" spans="1:6" x14ac:dyDescent="0.35">
      <c r="A76" s="3">
        <v>43905</v>
      </c>
      <c r="B76" s="1">
        <f t="shared" si="2"/>
        <v>7</v>
      </c>
      <c r="C76" s="10" t="s">
        <v>313</v>
      </c>
      <c r="D76" s="10" t="s">
        <v>313</v>
      </c>
      <c r="E76" s="10" t="s">
        <v>313</v>
      </c>
      <c r="F76" s="1" t="str">
        <f t="shared" si="3"/>
        <v/>
      </c>
    </row>
    <row r="77" spans="1:6" x14ac:dyDescent="0.35">
      <c r="A77" s="3">
        <v>43906</v>
      </c>
      <c r="B77" s="1">
        <f t="shared" si="2"/>
        <v>1</v>
      </c>
      <c r="C77" s="10" t="s">
        <v>315</v>
      </c>
      <c r="D77" s="10" t="s">
        <v>315</v>
      </c>
      <c r="E77" s="10" t="s">
        <v>315</v>
      </c>
      <c r="F77" s="1" t="str">
        <f t="shared" si="3"/>
        <v/>
      </c>
    </row>
    <row r="78" spans="1:6" x14ac:dyDescent="0.35">
      <c r="A78" s="3">
        <v>43907</v>
      </c>
      <c r="B78" s="1">
        <f t="shared" si="2"/>
        <v>2</v>
      </c>
      <c r="C78" s="10" t="s">
        <v>315</v>
      </c>
      <c r="D78" s="10" t="s">
        <v>315</v>
      </c>
      <c r="E78" s="10" t="s">
        <v>315</v>
      </c>
      <c r="F78" s="1" t="str">
        <f t="shared" si="3"/>
        <v/>
      </c>
    </row>
    <row r="79" spans="1:6" x14ac:dyDescent="0.35">
      <c r="A79" s="3">
        <v>43908</v>
      </c>
      <c r="B79" s="1">
        <f t="shared" si="2"/>
        <v>3</v>
      </c>
      <c r="C79" s="10" t="s">
        <v>315</v>
      </c>
      <c r="D79" s="10" t="s">
        <v>315</v>
      </c>
      <c r="E79" s="10" t="s">
        <v>315</v>
      </c>
      <c r="F79" s="1" t="str">
        <f t="shared" si="3"/>
        <v/>
      </c>
    </row>
    <row r="80" spans="1:6" x14ac:dyDescent="0.35">
      <c r="A80" s="3">
        <v>43909</v>
      </c>
      <c r="B80" s="1">
        <f t="shared" si="2"/>
        <v>4</v>
      </c>
      <c r="C80" s="10" t="s">
        <v>315</v>
      </c>
      <c r="D80" s="10" t="s">
        <v>315</v>
      </c>
      <c r="E80" s="10" t="s">
        <v>315</v>
      </c>
      <c r="F80" s="1" t="str">
        <f t="shared" si="3"/>
        <v/>
      </c>
    </row>
    <row r="81" spans="1:6" x14ac:dyDescent="0.35">
      <c r="A81" s="3">
        <v>43910</v>
      </c>
      <c r="B81" s="1">
        <f t="shared" si="2"/>
        <v>5</v>
      </c>
      <c r="C81" s="10" t="s">
        <v>315</v>
      </c>
      <c r="D81" s="10" t="s">
        <v>315</v>
      </c>
      <c r="E81" s="10" t="s">
        <v>315</v>
      </c>
      <c r="F81" s="1" t="str">
        <f t="shared" si="3"/>
        <v/>
      </c>
    </row>
    <row r="82" spans="1:6" x14ac:dyDescent="0.35">
      <c r="A82" s="3">
        <v>43911</v>
      </c>
      <c r="B82" s="1">
        <f t="shared" si="2"/>
        <v>6</v>
      </c>
      <c r="C82" s="10" t="s">
        <v>313</v>
      </c>
      <c r="D82" s="10" t="s">
        <v>313</v>
      </c>
      <c r="E82" s="10" t="s">
        <v>313</v>
      </c>
      <c r="F82" s="1" t="str">
        <f t="shared" si="3"/>
        <v/>
      </c>
    </row>
    <row r="83" spans="1:6" x14ac:dyDescent="0.35">
      <c r="A83" s="3">
        <v>43912</v>
      </c>
      <c r="B83" s="1">
        <f t="shared" si="2"/>
        <v>7</v>
      </c>
      <c r="C83" s="10" t="s">
        <v>313</v>
      </c>
      <c r="D83" s="10" t="s">
        <v>313</v>
      </c>
      <c r="E83" s="10" t="s">
        <v>313</v>
      </c>
      <c r="F83" s="1" t="str">
        <f t="shared" si="3"/>
        <v/>
      </c>
    </row>
    <row r="84" spans="1:6" x14ac:dyDescent="0.35">
      <c r="A84" s="3">
        <v>43913</v>
      </c>
      <c r="B84" s="1">
        <f t="shared" si="2"/>
        <v>1</v>
      </c>
      <c r="C84" s="10" t="s">
        <v>315</v>
      </c>
      <c r="D84" s="10" t="s">
        <v>315</v>
      </c>
      <c r="E84" s="10" t="s">
        <v>315</v>
      </c>
      <c r="F84" s="1" t="str">
        <f t="shared" si="3"/>
        <v/>
      </c>
    </row>
    <row r="85" spans="1:6" x14ac:dyDescent="0.35">
      <c r="A85" s="3">
        <v>43914</v>
      </c>
      <c r="B85" s="1">
        <f t="shared" si="2"/>
        <v>2</v>
      </c>
      <c r="C85" s="10" t="s">
        <v>315</v>
      </c>
      <c r="D85" s="10" t="s">
        <v>315</v>
      </c>
      <c r="E85" s="10" t="s">
        <v>315</v>
      </c>
      <c r="F85" s="1" t="str">
        <f t="shared" si="3"/>
        <v/>
      </c>
    </row>
    <row r="86" spans="1:6" x14ac:dyDescent="0.35">
      <c r="A86" s="3">
        <v>43915</v>
      </c>
      <c r="B86" s="1">
        <f t="shared" si="2"/>
        <v>3</v>
      </c>
      <c r="C86" s="10" t="s">
        <v>315</v>
      </c>
      <c r="D86" s="10" t="s">
        <v>315</v>
      </c>
      <c r="E86" s="10" t="s">
        <v>315</v>
      </c>
      <c r="F86" s="1" t="str">
        <f t="shared" si="3"/>
        <v/>
      </c>
    </row>
    <row r="87" spans="1:6" x14ac:dyDescent="0.35">
      <c r="A87" s="3">
        <v>43916</v>
      </c>
      <c r="B87" s="1">
        <f t="shared" si="2"/>
        <v>4</v>
      </c>
      <c r="C87" s="10" t="s">
        <v>315</v>
      </c>
      <c r="D87" s="10" t="s">
        <v>315</v>
      </c>
      <c r="E87" s="10" t="s">
        <v>315</v>
      </c>
      <c r="F87" s="1" t="str">
        <f t="shared" si="3"/>
        <v/>
      </c>
    </row>
    <row r="88" spans="1:6" x14ac:dyDescent="0.35">
      <c r="A88" s="3">
        <v>43917</v>
      </c>
      <c r="B88" s="1">
        <f t="shared" si="2"/>
        <v>5</v>
      </c>
      <c r="C88" s="10" t="s">
        <v>315</v>
      </c>
      <c r="D88" s="10" t="s">
        <v>315</v>
      </c>
      <c r="E88" s="10" t="s">
        <v>315</v>
      </c>
      <c r="F88" s="1" t="str">
        <f t="shared" si="3"/>
        <v/>
      </c>
    </row>
    <row r="89" spans="1:6" x14ac:dyDescent="0.35">
      <c r="A89" s="3">
        <v>43918</v>
      </c>
      <c r="B89" s="1">
        <f t="shared" si="2"/>
        <v>6</v>
      </c>
      <c r="C89" s="10" t="s">
        <v>315</v>
      </c>
      <c r="D89" s="10" t="s">
        <v>313</v>
      </c>
      <c r="E89" s="10" t="s">
        <v>313</v>
      </c>
      <c r="F89" s="1" t="str">
        <f t="shared" si="3"/>
        <v/>
      </c>
    </row>
    <row r="90" spans="1:6" x14ac:dyDescent="0.35">
      <c r="A90" s="3">
        <v>43919</v>
      </c>
      <c r="B90" s="1">
        <f t="shared" si="2"/>
        <v>7</v>
      </c>
      <c r="C90" s="10" t="s">
        <v>313</v>
      </c>
      <c r="D90" s="10" t="s">
        <v>313</v>
      </c>
      <c r="E90" s="10" t="s">
        <v>313</v>
      </c>
      <c r="F90" s="1" t="str">
        <f t="shared" si="3"/>
        <v/>
      </c>
    </row>
    <row r="91" spans="1:6" x14ac:dyDescent="0.35">
      <c r="A91" s="3">
        <v>43920</v>
      </c>
      <c r="B91" s="1">
        <f t="shared" si="2"/>
        <v>1</v>
      </c>
      <c r="C91" s="10" t="s">
        <v>315</v>
      </c>
      <c r="D91" s="10" t="s">
        <v>315</v>
      </c>
      <c r="E91" s="10" t="s">
        <v>315</v>
      </c>
      <c r="F91" s="1" t="str">
        <f t="shared" si="3"/>
        <v/>
      </c>
    </row>
    <row r="92" spans="1:6" x14ac:dyDescent="0.35">
      <c r="A92" s="3">
        <v>43921</v>
      </c>
      <c r="B92" s="1">
        <f t="shared" si="2"/>
        <v>2</v>
      </c>
      <c r="C92" s="10" t="s">
        <v>315</v>
      </c>
      <c r="D92" s="10" t="s">
        <v>315</v>
      </c>
      <c r="E92" s="10" t="s">
        <v>315</v>
      </c>
      <c r="F92" s="1" t="str">
        <f t="shared" si="3"/>
        <v/>
      </c>
    </row>
    <row r="93" spans="1:6" x14ac:dyDescent="0.35">
      <c r="A93" s="3">
        <v>43922</v>
      </c>
      <c r="B93" s="1">
        <f t="shared" si="2"/>
        <v>3</v>
      </c>
      <c r="C93" s="10" t="s">
        <v>315</v>
      </c>
      <c r="D93" s="10" t="s">
        <v>315</v>
      </c>
      <c r="E93" s="10" t="s">
        <v>315</v>
      </c>
      <c r="F93" s="1" t="str">
        <f t="shared" si="3"/>
        <v/>
      </c>
    </row>
    <row r="94" spans="1:6" x14ac:dyDescent="0.35">
      <c r="A94" s="3">
        <v>43923</v>
      </c>
      <c r="B94" s="1">
        <f t="shared" si="2"/>
        <v>4</v>
      </c>
      <c r="C94" s="10" t="s">
        <v>315</v>
      </c>
      <c r="D94" s="10" t="s">
        <v>315</v>
      </c>
      <c r="E94" s="10" t="s">
        <v>315</v>
      </c>
      <c r="F94" s="1" t="str">
        <f t="shared" si="3"/>
        <v/>
      </c>
    </row>
    <row r="95" spans="1:6" x14ac:dyDescent="0.35">
      <c r="A95" s="3">
        <v>43924</v>
      </c>
      <c r="B95" s="1">
        <f t="shared" si="2"/>
        <v>5</v>
      </c>
      <c r="C95" s="10" t="s">
        <v>315</v>
      </c>
      <c r="D95" s="10" t="s">
        <v>315</v>
      </c>
      <c r="E95" s="10" t="s">
        <v>315</v>
      </c>
      <c r="F95" s="1" t="str">
        <f t="shared" si="3"/>
        <v/>
      </c>
    </row>
    <row r="96" spans="1:6" x14ac:dyDescent="0.35">
      <c r="A96" s="3">
        <v>43925</v>
      </c>
      <c r="B96" s="1">
        <f t="shared" ref="B96:B159" si="4">IF(A96&gt;0,WEEKDAY(A96,2),"")</f>
        <v>6</v>
      </c>
      <c r="C96" s="10" t="s">
        <v>315</v>
      </c>
      <c r="D96" s="10" t="s">
        <v>315</v>
      </c>
      <c r="E96" s="10" t="s">
        <v>313</v>
      </c>
      <c r="F96" s="1" t="str">
        <f t="shared" si="3"/>
        <v/>
      </c>
    </row>
    <row r="97" spans="1:6" x14ac:dyDescent="0.35">
      <c r="A97" s="3">
        <v>43926</v>
      </c>
      <c r="B97" s="1">
        <f t="shared" si="4"/>
        <v>7</v>
      </c>
      <c r="C97" s="10" t="s">
        <v>313</v>
      </c>
      <c r="D97" s="10" t="s">
        <v>313</v>
      </c>
      <c r="E97" s="10" t="s">
        <v>313</v>
      </c>
      <c r="F97" s="1" t="str">
        <f t="shared" si="3"/>
        <v/>
      </c>
    </row>
    <row r="98" spans="1:6" x14ac:dyDescent="0.35">
      <c r="A98" s="3">
        <v>43927</v>
      </c>
      <c r="B98" s="1">
        <f t="shared" si="4"/>
        <v>1</v>
      </c>
      <c r="C98" s="10" t="s">
        <v>315</v>
      </c>
      <c r="D98" s="10" t="s">
        <v>315</v>
      </c>
      <c r="E98" s="10" t="s">
        <v>315</v>
      </c>
      <c r="F98" s="1" t="str">
        <f t="shared" si="3"/>
        <v/>
      </c>
    </row>
    <row r="99" spans="1:6" x14ac:dyDescent="0.35">
      <c r="A99" s="3">
        <v>43928</v>
      </c>
      <c r="B99" s="1">
        <f t="shared" si="4"/>
        <v>2</v>
      </c>
      <c r="C99" s="10" t="s">
        <v>315</v>
      </c>
      <c r="D99" s="10" t="s">
        <v>315</v>
      </c>
      <c r="E99" s="10" t="s">
        <v>315</v>
      </c>
      <c r="F99" s="1" t="str">
        <f t="shared" si="3"/>
        <v/>
      </c>
    </row>
    <row r="100" spans="1:6" x14ac:dyDescent="0.35">
      <c r="A100" s="3">
        <v>43929</v>
      </c>
      <c r="B100" s="1">
        <f t="shared" si="4"/>
        <v>3</v>
      </c>
      <c r="C100" s="10" t="s">
        <v>315</v>
      </c>
      <c r="D100" s="10" t="s">
        <v>315</v>
      </c>
      <c r="E100" s="10" t="s">
        <v>315</v>
      </c>
      <c r="F100" s="1" t="str">
        <f t="shared" si="3"/>
        <v/>
      </c>
    </row>
    <row r="101" spans="1:6" x14ac:dyDescent="0.35">
      <c r="A101" s="3">
        <v>43930</v>
      </c>
      <c r="B101" s="1">
        <f t="shared" si="4"/>
        <v>4</v>
      </c>
      <c r="C101" s="10" t="s">
        <v>315</v>
      </c>
      <c r="D101" s="10" t="s">
        <v>315</v>
      </c>
      <c r="E101" s="10" t="s">
        <v>315</v>
      </c>
      <c r="F101" s="1" t="str">
        <f t="shared" si="3"/>
        <v/>
      </c>
    </row>
    <row r="102" spans="1:6" x14ac:dyDescent="0.35">
      <c r="A102" s="3">
        <v>43931</v>
      </c>
      <c r="B102" s="1">
        <f t="shared" si="4"/>
        <v>5</v>
      </c>
      <c r="C102" s="10" t="s">
        <v>315</v>
      </c>
      <c r="D102" s="10" t="s">
        <v>315</v>
      </c>
      <c r="E102" s="10" t="s">
        <v>315</v>
      </c>
      <c r="F102" s="1" t="str">
        <f t="shared" si="3"/>
        <v>Veliki petak i Uskrs (za rimokatolike)</v>
      </c>
    </row>
    <row r="103" spans="1:6" x14ac:dyDescent="0.35">
      <c r="A103" s="3">
        <v>43932</v>
      </c>
      <c r="B103" s="1">
        <f t="shared" si="4"/>
        <v>6</v>
      </c>
      <c r="C103" s="10" t="s">
        <v>315</v>
      </c>
      <c r="D103" s="10" t="s">
        <v>315</v>
      </c>
      <c r="E103" s="10" t="s">
        <v>313</v>
      </c>
      <c r="F103" s="1" t="str">
        <f t="shared" si="3"/>
        <v/>
      </c>
    </row>
    <row r="104" spans="1:6" x14ac:dyDescent="0.35">
      <c r="A104" s="3">
        <v>43933</v>
      </c>
      <c r="B104" s="1">
        <f t="shared" si="4"/>
        <v>7</v>
      </c>
      <c r="C104" s="10" t="s">
        <v>313</v>
      </c>
      <c r="D104" s="10" t="s">
        <v>313</v>
      </c>
      <c r="E104" s="10" t="s">
        <v>313</v>
      </c>
      <c r="F104" s="1" t="str">
        <f t="shared" si="3"/>
        <v>Veliki petak i Uskrs (za rimokatolike)</v>
      </c>
    </row>
    <row r="105" spans="1:6" x14ac:dyDescent="0.35">
      <c r="A105" s="3">
        <v>43934</v>
      </c>
      <c r="B105" s="1">
        <f t="shared" si="4"/>
        <v>1</v>
      </c>
      <c r="C105" s="10" t="s">
        <v>315</v>
      </c>
      <c r="D105" s="10" t="s">
        <v>315</v>
      </c>
      <c r="E105" s="10" t="s">
        <v>315</v>
      </c>
      <c r="F105" s="1" t="str">
        <f t="shared" si="3"/>
        <v>Veliki petak i Uskrs (za rimokatolike)</v>
      </c>
    </row>
    <row r="106" spans="1:6" x14ac:dyDescent="0.35">
      <c r="A106" s="3">
        <v>43935</v>
      </c>
      <c r="B106" s="1">
        <f t="shared" si="4"/>
        <v>2</v>
      </c>
      <c r="C106" s="10" t="s">
        <v>315</v>
      </c>
      <c r="D106" s="10" t="s">
        <v>315</v>
      </c>
      <c r="E106" s="10" t="s">
        <v>315</v>
      </c>
      <c r="F106" s="1" t="str">
        <f t="shared" si="3"/>
        <v/>
      </c>
    </row>
    <row r="107" spans="1:6" x14ac:dyDescent="0.35">
      <c r="A107" s="3">
        <v>43936</v>
      </c>
      <c r="B107" s="1">
        <f t="shared" si="4"/>
        <v>3</v>
      </c>
      <c r="C107" s="10" t="s">
        <v>315</v>
      </c>
      <c r="D107" s="10" t="s">
        <v>315</v>
      </c>
      <c r="E107" s="10" t="s">
        <v>315</v>
      </c>
      <c r="F107" s="1" t="str">
        <f t="shared" si="3"/>
        <v/>
      </c>
    </row>
    <row r="108" spans="1:6" x14ac:dyDescent="0.35">
      <c r="A108" s="3">
        <v>43937</v>
      </c>
      <c r="B108" s="1">
        <f t="shared" si="4"/>
        <v>4</v>
      </c>
      <c r="C108" s="10" t="s">
        <v>315</v>
      </c>
      <c r="D108" s="10" t="s">
        <v>315</v>
      </c>
      <c r="E108" s="10" t="s">
        <v>315</v>
      </c>
      <c r="F108" s="1" t="str">
        <f t="shared" si="3"/>
        <v/>
      </c>
    </row>
    <row r="109" spans="1:6" x14ac:dyDescent="0.35">
      <c r="A109" s="3">
        <v>43938</v>
      </c>
      <c r="B109" s="1">
        <f t="shared" si="4"/>
        <v>5</v>
      </c>
      <c r="C109" s="10" t="s">
        <v>315</v>
      </c>
      <c r="D109" s="10" t="s">
        <v>315</v>
      </c>
      <c r="E109" s="10" t="s">
        <v>315</v>
      </c>
      <c r="F109" s="1" t="str">
        <f t="shared" si="3"/>
        <v>Veliki petak i Vaskrs (za pravoslavce)</v>
      </c>
    </row>
    <row r="110" spans="1:6" x14ac:dyDescent="0.35">
      <c r="A110" s="3">
        <v>43939</v>
      </c>
      <c r="B110" s="1">
        <f t="shared" si="4"/>
        <v>6</v>
      </c>
      <c r="C110" s="10" t="s">
        <v>313</v>
      </c>
      <c r="D110" s="10" t="s">
        <v>313</v>
      </c>
      <c r="E110" s="10" t="s">
        <v>313</v>
      </c>
      <c r="F110" s="1" t="str">
        <f t="shared" si="3"/>
        <v/>
      </c>
    </row>
    <row r="111" spans="1:6" x14ac:dyDescent="0.35">
      <c r="A111" s="3">
        <v>43940</v>
      </c>
      <c r="B111" s="1">
        <f t="shared" si="4"/>
        <v>7</v>
      </c>
      <c r="C111" s="10" t="s">
        <v>313</v>
      </c>
      <c r="D111" s="10" t="s">
        <v>313</v>
      </c>
      <c r="E111" s="10" t="s">
        <v>313</v>
      </c>
      <c r="F111" s="1" t="str">
        <f t="shared" si="3"/>
        <v>Veliki petak i Vaskrs (za pravoslavce)</v>
      </c>
    </row>
    <row r="112" spans="1:6" x14ac:dyDescent="0.35">
      <c r="A112" s="3">
        <v>43941</v>
      </c>
      <c r="B112" s="1">
        <f t="shared" si="4"/>
        <v>1</v>
      </c>
      <c r="C112" s="10" t="s">
        <v>315</v>
      </c>
      <c r="D112" s="10" t="s">
        <v>315</v>
      </c>
      <c r="E112" s="10" t="s">
        <v>315</v>
      </c>
      <c r="F112" s="1" t="str">
        <f t="shared" si="3"/>
        <v>Veliki petak i Vaskrs (za pravoslavce)</v>
      </c>
    </row>
    <row r="113" spans="1:6" x14ac:dyDescent="0.35">
      <c r="A113" s="3">
        <v>43942</v>
      </c>
      <c r="B113" s="1">
        <f t="shared" si="4"/>
        <v>2</v>
      </c>
      <c r="C113" s="10" t="s">
        <v>315</v>
      </c>
      <c r="D113" s="10" t="s">
        <v>315</v>
      </c>
      <c r="E113" s="10" t="s">
        <v>315</v>
      </c>
      <c r="F113" s="1" t="str">
        <f t="shared" si="3"/>
        <v/>
      </c>
    </row>
    <row r="114" spans="1:6" x14ac:dyDescent="0.35">
      <c r="A114" s="3">
        <v>43943</v>
      </c>
      <c r="B114" s="1">
        <f t="shared" si="4"/>
        <v>3</v>
      </c>
      <c r="C114" s="10" t="s">
        <v>315</v>
      </c>
      <c r="D114" s="10" t="s">
        <v>315</v>
      </c>
      <c r="E114" s="10" t="s">
        <v>315</v>
      </c>
      <c r="F114" s="1" t="str">
        <f t="shared" si="3"/>
        <v/>
      </c>
    </row>
    <row r="115" spans="1:6" x14ac:dyDescent="0.35">
      <c r="A115" s="3">
        <v>43944</v>
      </c>
      <c r="B115" s="1">
        <f t="shared" si="4"/>
        <v>4</v>
      </c>
      <c r="C115" s="10" t="s">
        <v>315</v>
      </c>
      <c r="D115" s="10" t="s">
        <v>315</v>
      </c>
      <c r="E115" s="10" t="s">
        <v>315</v>
      </c>
      <c r="F115" s="1" t="str">
        <f t="shared" si="3"/>
        <v/>
      </c>
    </row>
    <row r="116" spans="1:6" x14ac:dyDescent="0.35">
      <c r="A116" s="3">
        <v>43945</v>
      </c>
      <c r="B116" s="1">
        <f t="shared" si="4"/>
        <v>5</v>
      </c>
      <c r="C116" s="10" t="s">
        <v>315</v>
      </c>
      <c r="D116" s="10" t="s">
        <v>315</v>
      </c>
      <c r="E116" s="10" t="s">
        <v>315</v>
      </c>
      <c r="F116" s="1" t="str">
        <f t="shared" si="3"/>
        <v/>
      </c>
    </row>
    <row r="117" spans="1:6" x14ac:dyDescent="0.35">
      <c r="A117" s="3">
        <v>43946</v>
      </c>
      <c r="B117" s="1">
        <f t="shared" si="4"/>
        <v>6</v>
      </c>
      <c r="C117" s="10" t="s">
        <v>315</v>
      </c>
      <c r="D117" s="10" t="s">
        <v>313</v>
      </c>
      <c r="E117" s="10" t="s">
        <v>313</v>
      </c>
      <c r="F117" s="1" t="str">
        <f t="shared" si="3"/>
        <v/>
      </c>
    </row>
    <row r="118" spans="1:6" x14ac:dyDescent="0.35">
      <c r="A118" s="3">
        <v>43947</v>
      </c>
      <c r="B118" s="1">
        <f t="shared" si="4"/>
        <v>7</v>
      </c>
      <c r="C118" s="10" t="s">
        <v>313</v>
      </c>
      <c r="D118" s="10" t="s">
        <v>313</v>
      </c>
      <c r="E118" s="10" t="s">
        <v>313</v>
      </c>
      <c r="F118" s="1" t="str">
        <f t="shared" si="3"/>
        <v/>
      </c>
    </row>
    <row r="119" spans="1:6" x14ac:dyDescent="0.35">
      <c r="A119" s="3">
        <v>43948</v>
      </c>
      <c r="B119" s="1">
        <f t="shared" si="4"/>
        <v>1</v>
      </c>
      <c r="C119" s="10" t="s">
        <v>315</v>
      </c>
      <c r="D119" s="10" t="s">
        <v>315</v>
      </c>
      <c r="E119" s="10" t="s">
        <v>315</v>
      </c>
      <c r="F119" s="1" t="str">
        <f t="shared" si="3"/>
        <v/>
      </c>
    </row>
    <row r="120" spans="1:6" x14ac:dyDescent="0.35">
      <c r="A120" s="3">
        <v>43949</v>
      </c>
      <c r="B120" s="1">
        <f t="shared" si="4"/>
        <v>2</v>
      </c>
      <c r="C120" s="10" t="s">
        <v>315</v>
      </c>
      <c r="D120" s="10" t="s">
        <v>315</v>
      </c>
      <c r="E120" s="10" t="s">
        <v>315</v>
      </c>
      <c r="F120" s="1" t="str">
        <f t="shared" si="3"/>
        <v/>
      </c>
    </row>
    <row r="121" spans="1:6" x14ac:dyDescent="0.35">
      <c r="A121" s="3">
        <v>43950</v>
      </c>
      <c r="B121" s="1">
        <f t="shared" si="4"/>
        <v>3</v>
      </c>
      <c r="C121" s="10" t="s">
        <v>315</v>
      </c>
      <c r="D121" s="10" t="s">
        <v>315</v>
      </c>
      <c r="E121" s="10" t="s">
        <v>315</v>
      </c>
      <c r="F121" s="1" t="str">
        <f t="shared" si="3"/>
        <v/>
      </c>
    </row>
    <row r="122" spans="1:6" x14ac:dyDescent="0.35">
      <c r="A122" s="3">
        <v>43951</v>
      </c>
      <c r="B122" s="1">
        <f t="shared" si="4"/>
        <v>4</v>
      </c>
      <c r="C122" s="10" t="s">
        <v>315</v>
      </c>
      <c r="D122" s="10" t="s">
        <v>315</v>
      </c>
      <c r="E122" s="10" t="s">
        <v>315</v>
      </c>
      <c r="F122" s="1" t="str">
        <f t="shared" si="3"/>
        <v/>
      </c>
    </row>
    <row r="123" spans="1:6" x14ac:dyDescent="0.35">
      <c r="A123" s="3">
        <v>43952</v>
      </c>
      <c r="B123" s="1">
        <f t="shared" si="4"/>
        <v>5</v>
      </c>
      <c r="C123" s="10" t="s">
        <v>313</v>
      </c>
      <c r="D123" s="10" t="s">
        <v>313</v>
      </c>
      <c r="E123" s="10" t="s">
        <v>313</v>
      </c>
      <c r="F123" s="1" t="str">
        <f t="shared" si="3"/>
        <v>Međunarodni praznik rada</v>
      </c>
    </row>
    <row r="124" spans="1:6" x14ac:dyDescent="0.35">
      <c r="A124" s="3">
        <v>43953</v>
      </c>
      <c r="B124" s="1">
        <f t="shared" si="4"/>
        <v>6</v>
      </c>
      <c r="C124" s="10" t="s">
        <v>313</v>
      </c>
      <c r="D124" s="10" t="s">
        <v>313</v>
      </c>
      <c r="E124" s="10" t="s">
        <v>313</v>
      </c>
      <c r="F124" s="1" t="str">
        <f t="shared" si="3"/>
        <v>Međunarodni praznik rada</v>
      </c>
    </row>
    <row r="125" spans="1:6" x14ac:dyDescent="0.35">
      <c r="A125" s="3">
        <v>43954</v>
      </c>
      <c r="B125" s="1">
        <f t="shared" si="4"/>
        <v>7</v>
      </c>
      <c r="C125" s="10" t="s">
        <v>313</v>
      </c>
      <c r="D125" s="10" t="s">
        <v>313</v>
      </c>
      <c r="E125" s="10" t="s">
        <v>313</v>
      </c>
      <c r="F125" s="1" t="str">
        <f t="shared" si="3"/>
        <v/>
      </c>
    </row>
    <row r="126" spans="1:6" x14ac:dyDescent="0.35">
      <c r="A126" s="3">
        <v>43955</v>
      </c>
      <c r="B126" s="1">
        <f t="shared" si="4"/>
        <v>1</v>
      </c>
      <c r="C126" s="10" t="s">
        <v>315</v>
      </c>
      <c r="D126" s="10" t="s">
        <v>315</v>
      </c>
      <c r="E126" s="10" t="s">
        <v>315</v>
      </c>
      <c r="F126" s="1" t="str">
        <f t="shared" si="3"/>
        <v/>
      </c>
    </row>
    <row r="127" spans="1:6" x14ac:dyDescent="0.35">
      <c r="A127" s="3">
        <v>43956</v>
      </c>
      <c r="B127" s="1">
        <f t="shared" si="4"/>
        <v>2</v>
      </c>
      <c r="C127" s="10" t="s">
        <v>315</v>
      </c>
      <c r="D127" s="10" t="s">
        <v>315</v>
      </c>
      <c r="E127" s="10" t="s">
        <v>315</v>
      </c>
      <c r="F127" s="1" t="str">
        <f t="shared" si="3"/>
        <v/>
      </c>
    </row>
    <row r="128" spans="1:6" x14ac:dyDescent="0.35">
      <c r="A128" s="3">
        <v>43957</v>
      </c>
      <c r="B128" s="1">
        <f t="shared" si="4"/>
        <v>3</v>
      </c>
      <c r="C128" s="10" t="s">
        <v>315</v>
      </c>
      <c r="D128" s="10" t="s">
        <v>315</v>
      </c>
      <c r="E128" s="10" t="s">
        <v>315</v>
      </c>
      <c r="F128" s="1" t="str">
        <f t="shared" si="3"/>
        <v/>
      </c>
    </row>
    <row r="129" spans="1:6" x14ac:dyDescent="0.35">
      <c r="A129" s="3">
        <v>43958</v>
      </c>
      <c r="B129" s="1">
        <f t="shared" si="4"/>
        <v>4</v>
      </c>
      <c r="C129" s="10" t="s">
        <v>315</v>
      </c>
      <c r="D129" s="10" t="s">
        <v>315</v>
      </c>
      <c r="E129" s="10" t="s">
        <v>315</v>
      </c>
      <c r="F129" s="1" t="str">
        <f t="shared" si="3"/>
        <v/>
      </c>
    </row>
    <row r="130" spans="1:6" x14ac:dyDescent="0.35">
      <c r="A130" s="3">
        <v>43959</v>
      </c>
      <c r="B130" s="1">
        <f t="shared" si="4"/>
        <v>5</v>
      </c>
      <c r="C130" s="10" t="s">
        <v>315</v>
      </c>
      <c r="D130" s="10" t="s">
        <v>315</v>
      </c>
      <c r="E130" s="10" t="s">
        <v>315</v>
      </c>
      <c r="F130" s="1" t="str">
        <f t="shared" si="3"/>
        <v/>
      </c>
    </row>
    <row r="131" spans="1:6" x14ac:dyDescent="0.35">
      <c r="A131" s="3">
        <v>43960</v>
      </c>
      <c r="B131" s="1">
        <f t="shared" si="4"/>
        <v>6</v>
      </c>
      <c r="C131" s="10" t="s">
        <v>313</v>
      </c>
      <c r="D131" s="10" t="s">
        <v>313</v>
      </c>
      <c r="E131" s="10" t="s">
        <v>313</v>
      </c>
      <c r="F131" s="1" t="str">
        <f t="shared" ref="F131:F194" si="5">IFERROR(VLOOKUP(A131,$G$1:$H$18,2,FALSE),"")</f>
        <v/>
      </c>
    </row>
    <row r="132" spans="1:6" x14ac:dyDescent="0.35">
      <c r="A132" s="3">
        <v>43961</v>
      </c>
      <c r="B132" s="1">
        <f t="shared" si="4"/>
        <v>7</v>
      </c>
      <c r="C132" s="10" t="s">
        <v>313</v>
      </c>
      <c r="D132" s="10" t="s">
        <v>313</v>
      </c>
      <c r="E132" s="10" t="s">
        <v>313</v>
      </c>
      <c r="F132" s="1" t="str">
        <f t="shared" si="5"/>
        <v/>
      </c>
    </row>
    <row r="133" spans="1:6" x14ac:dyDescent="0.35">
      <c r="A133" s="3">
        <v>43962</v>
      </c>
      <c r="B133" s="1">
        <f t="shared" si="4"/>
        <v>1</v>
      </c>
      <c r="C133" s="10" t="s">
        <v>315</v>
      </c>
      <c r="D133" s="10" t="s">
        <v>315</v>
      </c>
      <c r="E133" s="10" t="s">
        <v>315</v>
      </c>
      <c r="F133" s="1" t="str">
        <f t="shared" si="5"/>
        <v/>
      </c>
    </row>
    <row r="134" spans="1:6" x14ac:dyDescent="0.35">
      <c r="A134" s="3">
        <v>43963</v>
      </c>
      <c r="B134" s="1">
        <f t="shared" si="4"/>
        <v>2</v>
      </c>
      <c r="C134" s="10" t="s">
        <v>315</v>
      </c>
      <c r="D134" s="10" t="s">
        <v>315</v>
      </c>
      <c r="E134" s="10" t="s">
        <v>315</v>
      </c>
      <c r="F134" s="1" t="str">
        <f t="shared" si="5"/>
        <v/>
      </c>
    </row>
    <row r="135" spans="1:6" x14ac:dyDescent="0.35">
      <c r="A135" s="3">
        <v>43964</v>
      </c>
      <c r="B135" s="1">
        <f t="shared" si="4"/>
        <v>3</v>
      </c>
      <c r="C135" s="10" t="s">
        <v>315</v>
      </c>
      <c r="D135" s="10" t="s">
        <v>315</v>
      </c>
      <c r="E135" s="10" t="s">
        <v>315</v>
      </c>
      <c r="F135" s="1" t="str">
        <f t="shared" si="5"/>
        <v/>
      </c>
    </row>
    <row r="136" spans="1:6" x14ac:dyDescent="0.35">
      <c r="A136" s="3">
        <v>43965</v>
      </c>
      <c r="B136" s="1">
        <f t="shared" si="4"/>
        <v>4</v>
      </c>
      <c r="C136" s="10" t="s">
        <v>315</v>
      </c>
      <c r="D136" s="10" t="s">
        <v>315</v>
      </c>
      <c r="E136" s="10" t="s">
        <v>315</v>
      </c>
      <c r="F136" s="1" t="str">
        <f t="shared" si="5"/>
        <v/>
      </c>
    </row>
    <row r="137" spans="1:6" x14ac:dyDescent="0.35">
      <c r="A137" s="3">
        <v>43966</v>
      </c>
      <c r="B137" s="1">
        <f t="shared" si="4"/>
        <v>5</v>
      </c>
      <c r="C137" s="10" t="s">
        <v>315</v>
      </c>
      <c r="D137" s="10" t="s">
        <v>315</v>
      </c>
      <c r="E137" s="10" t="s">
        <v>315</v>
      </c>
      <c r="F137" s="1" t="str">
        <f t="shared" si="5"/>
        <v/>
      </c>
    </row>
    <row r="138" spans="1:6" x14ac:dyDescent="0.35">
      <c r="A138" s="3">
        <v>43967</v>
      </c>
      <c r="B138" s="1">
        <f t="shared" si="4"/>
        <v>6</v>
      </c>
      <c r="C138" s="10" t="s">
        <v>315</v>
      </c>
      <c r="D138" s="10" t="s">
        <v>313</v>
      </c>
      <c r="E138" s="10" t="s">
        <v>313</v>
      </c>
      <c r="F138" s="1" t="str">
        <f t="shared" si="5"/>
        <v/>
      </c>
    </row>
    <row r="139" spans="1:6" x14ac:dyDescent="0.35">
      <c r="A139" s="3">
        <v>43968</v>
      </c>
      <c r="B139" s="1">
        <f t="shared" si="4"/>
        <v>7</v>
      </c>
      <c r="C139" s="10" t="s">
        <v>313</v>
      </c>
      <c r="D139" s="10" t="s">
        <v>313</v>
      </c>
      <c r="E139" s="10" t="s">
        <v>313</v>
      </c>
      <c r="F139" s="1" t="str">
        <f t="shared" si="5"/>
        <v/>
      </c>
    </row>
    <row r="140" spans="1:6" x14ac:dyDescent="0.35">
      <c r="A140" s="3">
        <v>43969</v>
      </c>
      <c r="B140" s="1">
        <f t="shared" si="4"/>
        <v>1</v>
      </c>
      <c r="C140" s="10" t="s">
        <v>315</v>
      </c>
      <c r="D140" s="10" t="s">
        <v>315</v>
      </c>
      <c r="E140" s="10" t="s">
        <v>313</v>
      </c>
      <c r="F140" s="1" t="str">
        <f t="shared" si="5"/>
        <v/>
      </c>
    </row>
    <row r="141" spans="1:6" x14ac:dyDescent="0.35">
      <c r="A141" s="3">
        <v>43970</v>
      </c>
      <c r="B141" s="1">
        <f t="shared" si="4"/>
        <v>2</v>
      </c>
      <c r="C141" s="10" t="s">
        <v>315</v>
      </c>
      <c r="D141" s="10" t="s">
        <v>315</v>
      </c>
      <c r="E141" s="10" t="s">
        <v>313</v>
      </c>
      <c r="F141" s="1" t="str">
        <f t="shared" si="5"/>
        <v/>
      </c>
    </row>
    <row r="142" spans="1:6" x14ac:dyDescent="0.35">
      <c r="A142" s="3">
        <v>43971</v>
      </c>
      <c r="B142" s="1">
        <f t="shared" si="4"/>
        <v>3</v>
      </c>
      <c r="C142" s="10" t="s">
        <v>315</v>
      </c>
      <c r="D142" s="10" t="s">
        <v>315</v>
      </c>
      <c r="E142" s="10" t="s">
        <v>315</v>
      </c>
      <c r="F142" s="1" t="str">
        <f t="shared" si="5"/>
        <v/>
      </c>
    </row>
    <row r="143" spans="1:6" x14ac:dyDescent="0.35">
      <c r="A143" s="3">
        <v>43972</v>
      </c>
      <c r="B143" s="1">
        <f t="shared" si="4"/>
        <v>4</v>
      </c>
      <c r="C143" s="10" t="s">
        <v>315</v>
      </c>
      <c r="D143" s="10" t="s">
        <v>315</v>
      </c>
      <c r="E143" s="10" t="s">
        <v>315</v>
      </c>
      <c r="F143" s="1" t="str">
        <f t="shared" si="5"/>
        <v/>
      </c>
    </row>
    <row r="144" spans="1:6" x14ac:dyDescent="0.35">
      <c r="A144" s="3">
        <v>43973</v>
      </c>
      <c r="B144" s="1">
        <f t="shared" si="4"/>
        <v>5</v>
      </c>
      <c r="C144" s="10" t="s">
        <v>315</v>
      </c>
      <c r="D144" s="10" t="s">
        <v>315</v>
      </c>
      <c r="E144" s="10" t="s">
        <v>315</v>
      </c>
      <c r="F144" s="1" t="str">
        <f t="shared" si="5"/>
        <v/>
      </c>
    </row>
    <row r="145" spans="1:6" x14ac:dyDescent="0.35">
      <c r="A145" s="3">
        <v>43974</v>
      </c>
      <c r="B145" s="1">
        <f t="shared" si="4"/>
        <v>6</v>
      </c>
      <c r="C145" s="10" t="s">
        <v>313</v>
      </c>
      <c r="D145" s="10" t="s">
        <v>313</v>
      </c>
      <c r="E145" s="10" t="s">
        <v>313</v>
      </c>
      <c r="F145" s="1" t="str">
        <f t="shared" si="5"/>
        <v/>
      </c>
    </row>
    <row r="146" spans="1:6" x14ac:dyDescent="0.35">
      <c r="A146" s="3">
        <v>43975</v>
      </c>
      <c r="B146" s="1">
        <f t="shared" si="4"/>
        <v>7</v>
      </c>
      <c r="C146" s="10" t="s">
        <v>313</v>
      </c>
      <c r="D146" s="10" t="s">
        <v>313</v>
      </c>
      <c r="E146" s="10" t="s">
        <v>313</v>
      </c>
      <c r="F146" s="1" t="str">
        <f t="shared" si="5"/>
        <v>Ramazanski bajram (za pripadnike islamske vjeroispovijesti)</v>
      </c>
    </row>
    <row r="147" spans="1:6" x14ac:dyDescent="0.35">
      <c r="A147" s="3">
        <v>43976</v>
      </c>
      <c r="B147" s="1">
        <f t="shared" si="4"/>
        <v>1</v>
      </c>
      <c r="C147" s="10" t="s">
        <v>313</v>
      </c>
      <c r="D147" s="10" t="s">
        <v>313</v>
      </c>
      <c r="E147" s="10" t="s">
        <v>313</v>
      </c>
      <c r="F147" s="1" t="str">
        <f t="shared" si="5"/>
        <v>Ramazanski bajram (za pripadnike islamske vjeroispovijesti)</v>
      </c>
    </row>
    <row r="148" spans="1:6" x14ac:dyDescent="0.35">
      <c r="A148" s="3">
        <v>43977</v>
      </c>
      <c r="B148" s="1">
        <f t="shared" si="4"/>
        <v>2</v>
      </c>
      <c r="C148" s="10" t="s">
        <v>315</v>
      </c>
      <c r="D148" s="10" t="s">
        <v>315</v>
      </c>
      <c r="E148" s="10" t="s">
        <v>315</v>
      </c>
      <c r="F148" s="1" t="str">
        <f t="shared" si="5"/>
        <v/>
      </c>
    </row>
    <row r="149" spans="1:6" x14ac:dyDescent="0.35">
      <c r="A149" s="3">
        <v>43978</v>
      </c>
      <c r="B149" s="1">
        <f t="shared" si="4"/>
        <v>3</v>
      </c>
      <c r="C149" s="10" t="s">
        <v>315</v>
      </c>
      <c r="D149" s="10" t="s">
        <v>315</v>
      </c>
      <c r="E149" s="10" t="s">
        <v>315</v>
      </c>
      <c r="F149" s="1" t="str">
        <f t="shared" si="5"/>
        <v/>
      </c>
    </row>
    <row r="150" spans="1:6" x14ac:dyDescent="0.35">
      <c r="A150" s="3">
        <v>43979</v>
      </c>
      <c r="B150" s="1">
        <f t="shared" si="4"/>
        <v>4</v>
      </c>
      <c r="C150" s="10" t="s">
        <v>315</v>
      </c>
      <c r="D150" s="10" t="s">
        <v>315</v>
      </c>
      <c r="E150" s="10" t="s">
        <v>315</v>
      </c>
      <c r="F150" s="1" t="str">
        <f t="shared" si="5"/>
        <v/>
      </c>
    </row>
    <row r="151" spans="1:6" x14ac:dyDescent="0.35">
      <c r="A151" s="3">
        <v>43980</v>
      </c>
      <c r="B151" s="1">
        <f t="shared" si="4"/>
        <v>5</v>
      </c>
      <c r="C151" s="10" t="s">
        <v>315</v>
      </c>
      <c r="D151" s="10" t="s">
        <v>315</v>
      </c>
      <c r="E151" s="10" t="s">
        <v>315</v>
      </c>
      <c r="F151" s="1" t="str">
        <f t="shared" si="5"/>
        <v/>
      </c>
    </row>
    <row r="152" spans="1:6" x14ac:dyDescent="0.35">
      <c r="A152" s="3">
        <v>43981</v>
      </c>
      <c r="B152" s="1">
        <f t="shared" si="4"/>
        <v>6</v>
      </c>
      <c r="C152" s="10" t="s">
        <v>313</v>
      </c>
      <c r="D152" s="10" t="s">
        <v>313</v>
      </c>
      <c r="E152" s="10" t="s">
        <v>313</v>
      </c>
      <c r="F152" s="1" t="str">
        <f t="shared" si="5"/>
        <v/>
      </c>
    </row>
    <row r="153" spans="1:6" x14ac:dyDescent="0.35">
      <c r="A153" s="3">
        <v>43982</v>
      </c>
      <c r="B153" s="1">
        <f t="shared" si="4"/>
        <v>7</v>
      </c>
      <c r="C153" s="10" t="s">
        <v>313</v>
      </c>
      <c r="D153" s="10" t="s">
        <v>313</v>
      </c>
      <c r="E153" s="10" t="s">
        <v>313</v>
      </c>
      <c r="F153" s="1" t="str">
        <f t="shared" si="5"/>
        <v/>
      </c>
    </row>
    <row r="154" spans="1:6" x14ac:dyDescent="0.35">
      <c r="A154" s="3">
        <v>43983</v>
      </c>
      <c r="B154" s="1">
        <f t="shared" si="4"/>
        <v>1</v>
      </c>
      <c r="C154" s="10" t="s">
        <v>315</v>
      </c>
      <c r="D154" s="10" t="s">
        <v>315</v>
      </c>
      <c r="E154" s="10" t="s">
        <v>315</v>
      </c>
      <c r="F154" s="1" t="str">
        <f t="shared" si="5"/>
        <v/>
      </c>
    </row>
    <row r="155" spans="1:6" x14ac:dyDescent="0.35">
      <c r="A155" s="3">
        <v>43984</v>
      </c>
      <c r="B155" s="1">
        <f t="shared" si="4"/>
        <v>2</v>
      </c>
      <c r="C155" s="10" t="s">
        <v>315</v>
      </c>
      <c r="D155" s="10" t="s">
        <v>315</v>
      </c>
      <c r="E155" s="10" t="s">
        <v>315</v>
      </c>
      <c r="F155" s="1" t="str">
        <f t="shared" si="5"/>
        <v/>
      </c>
    </row>
    <row r="156" spans="1:6" x14ac:dyDescent="0.35">
      <c r="A156" s="3">
        <v>43985</v>
      </c>
      <c r="B156" s="1">
        <f t="shared" si="4"/>
        <v>3</v>
      </c>
      <c r="C156" s="10" t="s">
        <v>315</v>
      </c>
      <c r="D156" s="10" t="s">
        <v>315</v>
      </c>
      <c r="E156" s="10" t="s">
        <v>315</v>
      </c>
      <c r="F156" s="1" t="str">
        <f t="shared" si="5"/>
        <v/>
      </c>
    </row>
    <row r="157" spans="1:6" x14ac:dyDescent="0.35">
      <c r="A157" s="3">
        <v>43986</v>
      </c>
      <c r="B157" s="1">
        <f t="shared" si="4"/>
        <v>4</v>
      </c>
      <c r="C157" s="10" t="s">
        <v>315</v>
      </c>
      <c r="D157" s="10" t="s">
        <v>315</v>
      </c>
      <c r="E157" s="10" t="s">
        <v>315</v>
      </c>
      <c r="F157" s="1" t="str">
        <f t="shared" si="5"/>
        <v/>
      </c>
    </row>
    <row r="158" spans="1:6" x14ac:dyDescent="0.35">
      <c r="A158" s="3">
        <v>43987</v>
      </c>
      <c r="B158" s="1">
        <f t="shared" si="4"/>
        <v>5</v>
      </c>
      <c r="C158" s="10" t="s">
        <v>315</v>
      </c>
      <c r="D158" s="10" t="s">
        <v>315</v>
      </c>
      <c r="E158" s="10" t="s">
        <v>315</v>
      </c>
      <c r="F158" s="1" t="str">
        <f t="shared" si="5"/>
        <v/>
      </c>
    </row>
    <row r="159" spans="1:6" x14ac:dyDescent="0.35">
      <c r="A159" s="3">
        <v>43988</v>
      </c>
      <c r="B159" s="1">
        <f t="shared" si="4"/>
        <v>6</v>
      </c>
      <c r="C159" s="10" t="s">
        <v>315</v>
      </c>
      <c r="D159" s="10" t="s">
        <v>315</v>
      </c>
      <c r="E159" s="10" t="s">
        <v>313</v>
      </c>
      <c r="F159" s="1" t="str">
        <f t="shared" si="5"/>
        <v/>
      </c>
    </row>
    <row r="160" spans="1:6" x14ac:dyDescent="0.35">
      <c r="A160" s="3">
        <v>43989</v>
      </c>
      <c r="B160" s="1">
        <f t="shared" ref="B160:B223" si="6">IF(A160&gt;0,WEEKDAY(A160,2),"")</f>
        <v>7</v>
      </c>
      <c r="C160" s="10" t="s">
        <v>313</v>
      </c>
      <c r="D160" s="10" t="s">
        <v>313</v>
      </c>
      <c r="E160" s="10" t="s">
        <v>313</v>
      </c>
      <c r="F160" s="1" t="str">
        <f t="shared" si="5"/>
        <v/>
      </c>
    </row>
    <row r="161" spans="1:6" x14ac:dyDescent="0.35">
      <c r="A161" s="3">
        <v>43990</v>
      </c>
      <c r="B161" s="1">
        <f t="shared" si="6"/>
        <v>1</v>
      </c>
      <c r="C161" s="10" t="s">
        <v>315</v>
      </c>
      <c r="D161" s="10" t="s">
        <v>315</v>
      </c>
      <c r="E161" s="10" t="s">
        <v>315</v>
      </c>
      <c r="F161" s="1" t="str">
        <f t="shared" si="5"/>
        <v/>
      </c>
    </row>
    <row r="162" spans="1:6" x14ac:dyDescent="0.35">
      <c r="A162" s="3">
        <v>43991</v>
      </c>
      <c r="B162" s="1">
        <f t="shared" si="6"/>
        <v>2</v>
      </c>
      <c r="C162" s="10" t="s">
        <v>315</v>
      </c>
      <c r="D162" s="10" t="s">
        <v>315</v>
      </c>
      <c r="E162" s="10" t="s">
        <v>315</v>
      </c>
      <c r="F162" s="1" t="str">
        <f t="shared" si="5"/>
        <v/>
      </c>
    </row>
    <row r="163" spans="1:6" x14ac:dyDescent="0.35">
      <c r="A163" s="3">
        <v>43992</v>
      </c>
      <c r="B163" s="1">
        <f t="shared" si="6"/>
        <v>3</v>
      </c>
      <c r="C163" s="10" t="s">
        <v>315</v>
      </c>
      <c r="D163" s="10" t="s">
        <v>315</v>
      </c>
      <c r="E163" s="10" t="s">
        <v>315</v>
      </c>
      <c r="F163" s="1" t="str">
        <f t="shared" si="5"/>
        <v/>
      </c>
    </row>
    <row r="164" spans="1:6" x14ac:dyDescent="0.35">
      <c r="A164" s="3">
        <v>43993</v>
      </c>
      <c r="B164" s="1">
        <f t="shared" si="6"/>
        <v>4</v>
      </c>
      <c r="C164" s="10" t="s">
        <v>315</v>
      </c>
      <c r="D164" s="10" t="s">
        <v>315</v>
      </c>
      <c r="E164" s="10" t="s">
        <v>315</v>
      </c>
      <c r="F164" s="1" t="str">
        <f t="shared" si="5"/>
        <v/>
      </c>
    </row>
    <row r="165" spans="1:6" x14ac:dyDescent="0.35">
      <c r="A165" s="3">
        <v>43994</v>
      </c>
      <c r="B165" s="1">
        <f t="shared" si="6"/>
        <v>5</v>
      </c>
      <c r="C165" s="10" t="s">
        <v>315</v>
      </c>
      <c r="D165" s="10" t="s">
        <v>315</v>
      </c>
      <c r="E165" s="10" t="s">
        <v>315</v>
      </c>
      <c r="F165" s="1" t="str">
        <f t="shared" si="5"/>
        <v/>
      </c>
    </row>
    <row r="166" spans="1:6" x14ac:dyDescent="0.35">
      <c r="A166" s="3">
        <v>43995</v>
      </c>
      <c r="B166" s="1">
        <f t="shared" si="6"/>
        <v>6</v>
      </c>
      <c r="C166" s="10" t="s">
        <v>313</v>
      </c>
      <c r="D166" s="10" t="s">
        <v>313</v>
      </c>
      <c r="E166" s="10" t="s">
        <v>313</v>
      </c>
      <c r="F166" s="1" t="str">
        <f t="shared" si="5"/>
        <v/>
      </c>
    </row>
    <row r="167" spans="1:6" x14ac:dyDescent="0.35">
      <c r="A167" s="3">
        <v>43996</v>
      </c>
      <c r="B167" s="1">
        <f t="shared" si="6"/>
        <v>7</v>
      </c>
      <c r="C167" s="10" t="s">
        <v>313</v>
      </c>
      <c r="D167" s="10" t="s">
        <v>313</v>
      </c>
      <c r="E167" s="10" t="s">
        <v>313</v>
      </c>
      <c r="F167" s="1" t="str">
        <f t="shared" si="5"/>
        <v/>
      </c>
    </row>
    <row r="168" spans="1:6" x14ac:dyDescent="0.35">
      <c r="A168" s="3">
        <v>43997</v>
      </c>
      <c r="B168" s="1">
        <f t="shared" si="6"/>
        <v>1</v>
      </c>
      <c r="C168" s="10" t="s">
        <v>315</v>
      </c>
      <c r="D168" s="10" t="s">
        <v>315</v>
      </c>
      <c r="E168" s="10" t="s">
        <v>315</v>
      </c>
      <c r="F168" s="1" t="str">
        <f t="shared" si="5"/>
        <v/>
      </c>
    </row>
    <row r="169" spans="1:6" x14ac:dyDescent="0.35">
      <c r="A169" s="3">
        <v>43998</v>
      </c>
      <c r="B169" s="1">
        <f t="shared" si="6"/>
        <v>2</v>
      </c>
      <c r="C169" s="10" t="s">
        <v>315</v>
      </c>
      <c r="D169" s="10" t="s">
        <v>315</v>
      </c>
      <c r="E169" s="10" t="s">
        <v>315</v>
      </c>
      <c r="F169" s="1" t="str">
        <f t="shared" si="5"/>
        <v/>
      </c>
    </row>
    <row r="170" spans="1:6" x14ac:dyDescent="0.35">
      <c r="A170" s="3">
        <v>43999</v>
      </c>
      <c r="B170" s="1">
        <f t="shared" si="6"/>
        <v>3</v>
      </c>
      <c r="C170" s="10" t="s">
        <v>315</v>
      </c>
      <c r="D170" s="10" t="s">
        <v>315</v>
      </c>
      <c r="E170" s="10" t="s">
        <v>315</v>
      </c>
      <c r="F170" s="1" t="str">
        <f t="shared" si="5"/>
        <v/>
      </c>
    </row>
    <row r="171" spans="1:6" x14ac:dyDescent="0.35">
      <c r="A171" s="3">
        <v>44000</v>
      </c>
      <c r="B171" s="1">
        <f t="shared" si="6"/>
        <v>4</v>
      </c>
      <c r="C171" s="10" t="s">
        <v>315</v>
      </c>
      <c r="D171" s="10" t="s">
        <v>315</v>
      </c>
      <c r="E171" s="10" t="s">
        <v>315</v>
      </c>
      <c r="F171" s="1" t="str">
        <f t="shared" si="5"/>
        <v/>
      </c>
    </row>
    <row r="172" spans="1:6" x14ac:dyDescent="0.35">
      <c r="A172" s="3">
        <v>44001</v>
      </c>
      <c r="B172" s="1">
        <f t="shared" si="6"/>
        <v>5</v>
      </c>
      <c r="C172" s="10" t="s">
        <v>315</v>
      </c>
      <c r="D172" s="10" t="s">
        <v>315</v>
      </c>
      <c r="E172" s="10" t="s">
        <v>315</v>
      </c>
      <c r="F172" s="1" t="str">
        <f t="shared" si="5"/>
        <v/>
      </c>
    </row>
    <row r="173" spans="1:6" x14ac:dyDescent="0.35">
      <c r="A173" s="3">
        <v>44002</v>
      </c>
      <c r="B173" s="1">
        <f t="shared" si="6"/>
        <v>6</v>
      </c>
      <c r="C173" s="10" t="s">
        <v>315</v>
      </c>
      <c r="D173" s="10" t="s">
        <v>313</v>
      </c>
      <c r="E173" s="10" t="s">
        <v>313</v>
      </c>
      <c r="F173" s="1" t="str">
        <f t="shared" si="5"/>
        <v/>
      </c>
    </row>
    <row r="174" spans="1:6" x14ac:dyDescent="0.35">
      <c r="A174" s="3">
        <v>44003</v>
      </c>
      <c r="B174" s="1">
        <f t="shared" si="6"/>
        <v>7</v>
      </c>
      <c r="C174" s="10" t="s">
        <v>313</v>
      </c>
      <c r="D174" s="10" t="s">
        <v>313</v>
      </c>
      <c r="E174" s="10" t="s">
        <v>313</v>
      </c>
      <c r="F174" s="1" t="str">
        <f t="shared" si="5"/>
        <v/>
      </c>
    </row>
    <row r="175" spans="1:6" x14ac:dyDescent="0.35">
      <c r="A175" s="3">
        <v>44004</v>
      </c>
      <c r="B175" s="1">
        <f t="shared" si="6"/>
        <v>1</v>
      </c>
      <c r="C175" s="10" t="s">
        <v>315</v>
      </c>
      <c r="D175" s="10" t="s">
        <v>315</v>
      </c>
      <c r="E175" s="10" t="s">
        <v>315</v>
      </c>
      <c r="F175" s="1" t="str">
        <f t="shared" si="5"/>
        <v/>
      </c>
    </row>
    <row r="176" spans="1:6" x14ac:dyDescent="0.35">
      <c r="A176" s="3">
        <v>44005</v>
      </c>
      <c r="B176" s="1">
        <f t="shared" si="6"/>
        <v>2</v>
      </c>
      <c r="C176" s="10" t="s">
        <v>315</v>
      </c>
      <c r="D176" s="10" t="s">
        <v>315</v>
      </c>
      <c r="E176" s="10" t="s">
        <v>315</v>
      </c>
      <c r="F176" s="1" t="str">
        <f t="shared" si="5"/>
        <v/>
      </c>
    </row>
    <row r="177" spans="1:6" x14ac:dyDescent="0.35">
      <c r="A177" s="3">
        <v>44006</v>
      </c>
      <c r="B177" s="1">
        <f t="shared" si="6"/>
        <v>3</v>
      </c>
      <c r="C177" s="10" t="s">
        <v>315</v>
      </c>
      <c r="D177" s="10" t="s">
        <v>315</v>
      </c>
      <c r="E177" s="10" t="s">
        <v>315</v>
      </c>
      <c r="F177" s="1" t="str">
        <f t="shared" si="5"/>
        <v/>
      </c>
    </row>
    <row r="178" spans="1:6" x14ac:dyDescent="0.35">
      <c r="A178" s="3">
        <v>44007</v>
      </c>
      <c r="B178" s="1">
        <f t="shared" si="6"/>
        <v>4</v>
      </c>
      <c r="C178" s="10" t="s">
        <v>315</v>
      </c>
      <c r="D178" s="10" t="s">
        <v>315</v>
      </c>
      <c r="E178" s="10" t="s">
        <v>315</v>
      </c>
      <c r="F178" s="1" t="str">
        <f t="shared" si="5"/>
        <v/>
      </c>
    </row>
    <row r="179" spans="1:6" x14ac:dyDescent="0.35">
      <c r="A179" s="3">
        <v>44008</v>
      </c>
      <c r="B179" s="1">
        <f t="shared" si="6"/>
        <v>5</v>
      </c>
      <c r="C179" s="10" t="s">
        <v>315</v>
      </c>
      <c r="D179" s="10" t="s">
        <v>315</v>
      </c>
      <c r="E179" s="10" t="s">
        <v>315</v>
      </c>
      <c r="F179" s="1" t="str">
        <f t="shared" si="5"/>
        <v/>
      </c>
    </row>
    <row r="180" spans="1:6" x14ac:dyDescent="0.35">
      <c r="A180" s="3">
        <v>44009</v>
      </c>
      <c r="B180" s="1">
        <f t="shared" si="6"/>
        <v>6</v>
      </c>
      <c r="C180" s="10" t="s">
        <v>313</v>
      </c>
      <c r="D180" s="10" t="s">
        <v>313</v>
      </c>
      <c r="E180" s="10" t="s">
        <v>313</v>
      </c>
      <c r="F180" s="1" t="str">
        <f t="shared" si="5"/>
        <v/>
      </c>
    </row>
    <row r="181" spans="1:6" x14ac:dyDescent="0.35">
      <c r="A181" s="3">
        <v>44010</v>
      </c>
      <c r="B181" s="1">
        <f t="shared" si="6"/>
        <v>7</v>
      </c>
      <c r="C181" s="10" t="s">
        <v>313</v>
      </c>
      <c r="D181" s="10" t="s">
        <v>313</v>
      </c>
      <c r="E181" s="10" t="s">
        <v>313</v>
      </c>
      <c r="F181" s="1" t="str">
        <f t="shared" si="5"/>
        <v/>
      </c>
    </row>
    <row r="182" spans="1:6" x14ac:dyDescent="0.35">
      <c r="A182" s="3">
        <v>44011</v>
      </c>
      <c r="B182" s="1">
        <f t="shared" si="6"/>
        <v>1</v>
      </c>
      <c r="C182" s="10" t="s">
        <v>315</v>
      </c>
      <c r="D182" s="10" t="s">
        <v>315</v>
      </c>
      <c r="E182" s="10" t="s">
        <v>313</v>
      </c>
      <c r="F182" s="1" t="str">
        <f t="shared" si="5"/>
        <v/>
      </c>
    </row>
    <row r="183" spans="1:6" x14ac:dyDescent="0.35">
      <c r="A183" s="3">
        <v>44012</v>
      </c>
      <c r="B183" s="1">
        <f t="shared" si="6"/>
        <v>2</v>
      </c>
      <c r="C183" s="10" t="s">
        <v>315</v>
      </c>
      <c r="D183" s="10" t="s">
        <v>315</v>
      </c>
      <c r="E183" s="10" t="s">
        <v>313</v>
      </c>
      <c r="F183" s="1" t="str">
        <f t="shared" si="5"/>
        <v/>
      </c>
    </row>
    <row r="184" spans="1:6" x14ac:dyDescent="0.35">
      <c r="A184" s="3">
        <v>44013</v>
      </c>
      <c r="B184" s="1">
        <f t="shared" si="6"/>
        <v>3</v>
      </c>
      <c r="C184" s="10" t="s">
        <v>315</v>
      </c>
      <c r="D184" s="10" t="s">
        <v>315</v>
      </c>
      <c r="E184" s="10" t="s">
        <v>315</v>
      </c>
      <c r="F184" s="1" t="str">
        <f t="shared" si="5"/>
        <v/>
      </c>
    </row>
    <row r="185" spans="1:6" x14ac:dyDescent="0.35">
      <c r="A185" s="3">
        <v>44014</v>
      </c>
      <c r="B185" s="1">
        <f t="shared" si="6"/>
        <v>4</v>
      </c>
      <c r="C185" s="10" t="s">
        <v>315</v>
      </c>
      <c r="D185" s="10" t="s">
        <v>315</v>
      </c>
      <c r="E185" s="10" t="s">
        <v>315</v>
      </c>
      <c r="F185" s="1" t="str">
        <f t="shared" si="5"/>
        <v/>
      </c>
    </row>
    <row r="186" spans="1:6" x14ac:dyDescent="0.35">
      <c r="A186" s="3">
        <v>44015</v>
      </c>
      <c r="B186" s="1">
        <f t="shared" si="6"/>
        <v>5</v>
      </c>
      <c r="C186" s="10" t="s">
        <v>315</v>
      </c>
      <c r="D186" s="10" t="s">
        <v>315</v>
      </c>
      <c r="E186" s="10" t="s">
        <v>315</v>
      </c>
      <c r="F186" s="1" t="str">
        <f t="shared" si="5"/>
        <v/>
      </c>
    </row>
    <row r="187" spans="1:6" x14ac:dyDescent="0.35">
      <c r="A187" s="3">
        <v>44016</v>
      </c>
      <c r="B187" s="1">
        <f t="shared" si="6"/>
        <v>6</v>
      </c>
      <c r="C187" s="10" t="s">
        <v>315</v>
      </c>
      <c r="D187" s="10" t="s">
        <v>315</v>
      </c>
      <c r="E187" s="10" t="s">
        <v>313</v>
      </c>
      <c r="F187" s="1" t="str">
        <f t="shared" si="5"/>
        <v/>
      </c>
    </row>
    <row r="188" spans="1:6" x14ac:dyDescent="0.35">
      <c r="A188" s="3">
        <v>44017</v>
      </c>
      <c r="B188" s="1">
        <f t="shared" si="6"/>
        <v>7</v>
      </c>
      <c r="C188" s="10" t="s">
        <v>313</v>
      </c>
      <c r="D188" s="10" t="s">
        <v>313</v>
      </c>
      <c r="E188" s="10" t="s">
        <v>313</v>
      </c>
      <c r="F188" s="1" t="str">
        <f t="shared" si="5"/>
        <v/>
      </c>
    </row>
    <row r="189" spans="1:6" x14ac:dyDescent="0.35">
      <c r="A189" s="3">
        <v>44018</v>
      </c>
      <c r="B189" s="1">
        <f t="shared" si="6"/>
        <v>1</v>
      </c>
      <c r="C189" s="10" t="s">
        <v>315</v>
      </c>
      <c r="D189" s="10" t="s">
        <v>315</v>
      </c>
      <c r="E189" s="10" t="s">
        <v>315</v>
      </c>
      <c r="F189" s="1" t="str">
        <f t="shared" si="5"/>
        <v/>
      </c>
    </row>
    <row r="190" spans="1:6" x14ac:dyDescent="0.35">
      <c r="A190" s="3">
        <v>44019</v>
      </c>
      <c r="B190" s="1">
        <f t="shared" si="6"/>
        <v>2</v>
      </c>
      <c r="C190" s="10" t="s">
        <v>315</v>
      </c>
      <c r="D190" s="10" t="s">
        <v>315</v>
      </c>
      <c r="E190" s="10" t="s">
        <v>315</v>
      </c>
      <c r="F190" s="1" t="str">
        <f t="shared" si="5"/>
        <v/>
      </c>
    </row>
    <row r="191" spans="1:6" x14ac:dyDescent="0.35">
      <c r="A191" s="3">
        <v>44020</v>
      </c>
      <c r="B191" s="1">
        <f t="shared" si="6"/>
        <v>3</v>
      </c>
      <c r="C191" s="10" t="s">
        <v>315</v>
      </c>
      <c r="D191" s="10" t="s">
        <v>315</v>
      </c>
      <c r="E191" s="10" t="s">
        <v>315</v>
      </c>
      <c r="F191" s="1" t="str">
        <f t="shared" si="5"/>
        <v/>
      </c>
    </row>
    <row r="192" spans="1:6" x14ac:dyDescent="0.35">
      <c r="A192" s="3">
        <v>44021</v>
      </c>
      <c r="B192" s="1">
        <f t="shared" si="6"/>
        <v>4</v>
      </c>
      <c r="C192" s="10" t="s">
        <v>315</v>
      </c>
      <c r="D192" s="10" t="s">
        <v>315</v>
      </c>
      <c r="E192" s="10" t="s">
        <v>315</v>
      </c>
      <c r="F192" s="1" t="str">
        <f t="shared" si="5"/>
        <v/>
      </c>
    </row>
    <row r="193" spans="1:6" x14ac:dyDescent="0.35">
      <c r="A193" s="3">
        <v>44022</v>
      </c>
      <c r="B193" s="1">
        <f t="shared" si="6"/>
        <v>5</v>
      </c>
      <c r="C193" s="10" t="s">
        <v>315</v>
      </c>
      <c r="D193" s="10" t="s">
        <v>315</v>
      </c>
      <c r="E193" s="10" t="s">
        <v>315</v>
      </c>
      <c r="F193" s="1" t="str">
        <f t="shared" si="5"/>
        <v/>
      </c>
    </row>
    <row r="194" spans="1:6" x14ac:dyDescent="0.35">
      <c r="A194" s="3">
        <v>44023</v>
      </c>
      <c r="B194" s="1">
        <f t="shared" si="6"/>
        <v>6</v>
      </c>
      <c r="C194" s="10" t="s">
        <v>313</v>
      </c>
      <c r="D194" s="10" t="s">
        <v>313</v>
      </c>
      <c r="E194" s="10" t="s">
        <v>313</v>
      </c>
      <c r="F194" s="1" t="str">
        <f t="shared" si="5"/>
        <v/>
      </c>
    </row>
    <row r="195" spans="1:6" x14ac:dyDescent="0.35">
      <c r="A195" s="3">
        <v>44024</v>
      </c>
      <c r="B195" s="1">
        <f t="shared" si="6"/>
        <v>7</v>
      </c>
      <c r="C195" s="10" t="s">
        <v>313</v>
      </c>
      <c r="D195" s="10" t="s">
        <v>313</v>
      </c>
      <c r="E195" s="10" t="s">
        <v>313</v>
      </c>
      <c r="F195" s="1" t="str">
        <f t="shared" ref="F195:F258" si="7">IFERROR(VLOOKUP(A195,$G$1:$H$18,2,FALSE),"")</f>
        <v/>
      </c>
    </row>
    <row r="196" spans="1:6" x14ac:dyDescent="0.35">
      <c r="A196" s="3">
        <v>44025</v>
      </c>
      <c r="B196" s="1">
        <f t="shared" si="6"/>
        <v>1</v>
      </c>
      <c r="C196" s="10" t="s">
        <v>315</v>
      </c>
      <c r="D196" s="10" t="s">
        <v>315</v>
      </c>
      <c r="E196" s="10" t="s">
        <v>315</v>
      </c>
      <c r="F196" s="1" t="str">
        <f t="shared" si="7"/>
        <v/>
      </c>
    </row>
    <row r="197" spans="1:6" x14ac:dyDescent="0.35">
      <c r="A197" s="3">
        <v>44026</v>
      </c>
      <c r="B197" s="1">
        <f t="shared" si="6"/>
        <v>2</v>
      </c>
      <c r="C197" s="10" t="s">
        <v>315</v>
      </c>
      <c r="D197" s="10" t="s">
        <v>315</v>
      </c>
      <c r="E197" s="10" t="s">
        <v>315</v>
      </c>
      <c r="F197" s="1" t="str">
        <f t="shared" si="7"/>
        <v/>
      </c>
    </row>
    <row r="198" spans="1:6" x14ac:dyDescent="0.35">
      <c r="A198" s="3">
        <v>44027</v>
      </c>
      <c r="B198" s="1">
        <f t="shared" si="6"/>
        <v>3</v>
      </c>
      <c r="C198" s="10" t="s">
        <v>315</v>
      </c>
      <c r="D198" s="10" t="s">
        <v>315</v>
      </c>
      <c r="E198" s="10" t="s">
        <v>315</v>
      </c>
      <c r="F198" s="1" t="str">
        <f t="shared" si="7"/>
        <v/>
      </c>
    </row>
    <row r="199" spans="1:6" x14ac:dyDescent="0.35">
      <c r="A199" s="3">
        <v>44028</v>
      </c>
      <c r="B199" s="1">
        <f t="shared" si="6"/>
        <v>4</v>
      </c>
      <c r="C199" s="10" t="s">
        <v>315</v>
      </c>
      <c r="D199" s="10" t="s">
        <v>315</v>
      </c>
      <c r="E199" s="10" t="s">
        <v>315</v>
      </c>
      <c r="F199" s="1" t="str">
        <f t="shared" si="7"/>
        <v/>
      </c>
    </row>
    <row r="200" spans="1:6" x14ac:dyDescent="0.35">
      <c r="A200" s="3">
        <v>44029</v>
      </c>
      <c r="B200" s="1">
        <f t="shared" si="6"/>
        <v>5</v>
      </c>
      <c r="C200" s="10" t="s">
        <v>315</v>
      </c>
      <c r="D200" s="10" t="s">
        <v>315</v>
      </c>
      <c r="E200" s="10" t="s">
        <v>315</v>
      </c>
      <c r="F200" s="1" t="str">
        <f t="shared" si="7"/>
        <v/>
      </c>
    </row>
    <row r="201" spans="1:6" x14ac:dyDescent="0.35">
      <c r="A201" s="3">
        <v>44030</v>
      </c>
      <c r="B201" s="1">
        <f t="shared" si="6"/>
        <v>6</v>
      </c>
      <c r="C201" s="10" t="s">
        <v>313</v>
      </c>
      <c r="D201" s="10" t="s">
        <v>313</v>
      </c>
      <c r="E201" s="10" t="s">
        <v>313</v>
      </c>
      <c r="F201" s="1" t="str">
        <f t="shared" si="7"/>
        <v/>
      </c>
    </row>
    <row r="202" spans="1:6" x14ac:dyDescent="0.35">
      <c r="A202" s="3">
        <v>44031</v>
      </c>
      <c r="B202" s="1">
        <f t="shared" si="6"/>
        <v>7</v>
      </c>
      <c r="C202" s="10" t="s">
        <v>313</v>
      </c>
      <c r="D202" s="10" t="s">
        <v>313</v>
      </c>
      <c r="E202" s="10" t="s">
        <v>313</v>
      </c>
      <c r="F202" s="1" t="str">
        <f t="shared" si="7"/>
        <v/>
      </c>
    </row>
    <row r="203" spans="1:6" x14ac:dyDescent="0.35">
      <c r="A203" s="3">
        <v>44032</v>
      </c>
      <c r="B203" s="1">
        <f t="shared" si="6"/>
        <v>1</v>
      </c>
      <c r="C203" s="10" t="s">
        <v>315</v>
      </c>
      <c r="D203" s="10" t="s">
        <v>315</v>
      </c>
      <c r="E203" s="10" t="s">
        <v>313</v>
      </c>
      <c r="F203" s="1" t="str">
        <f t="shared" si="7"/>
        <v/>
      </c>
    </row>
    <row r="204" spans="1:6" x14ac:dyDescent="0.35">
      <c r="A204" s="3">
        <v>44033</v>
      </c>
      <c r="B204" s="1">
        <f t="shared" si="6"/>
        <v>2</v>
      </c>
      <c r="C204" s="10" t="s">
        <v>315</v>
      </c>
      <c r="D204" s="10" t="s">
        <v>315</v>
      </c>
      <c r="E204" s="10" t="s">
        <v>313</v>
      </c>
      <c r="F204" s="1" t="str">
        <f t="shared" si="7"/>
        <v/>
      </c>
    </row>
    <row r="205" spans="1:6" x14ac:dyDescent="0.35">
      <c r="A205" s="3">
        <v>44034</v>
      </c>
      <c r="B205" s="1">
        <f t="shared" si="6"/>
        <v>3</v>
      </c>
      <c r="C205" s="10" t="s">
        <v>315</v>
      </c>
      <c r="D205" s="10" t="s">
        <v>315</v>
      </c>
      <c r="E205" s="10" t="s">
        <v>313</v>
      </c>
      <c r="F205" s="1" t="str">
        <f t="shared" si="7"/>
        <v/>
      </c>
    </row>
    <row r="206" spans="1:6" x14ac:dyDescent="0.35">
      <c r="A206" s="3">
        <v>44035</v>
      </c>
      <c r="B206" s="1">
        <f t="shared" si="6"/>
        <v>4</v>
      </c>
      <c r="C206" s="10" t="s">
        <v>315</v>
      </c>
      <c r="D206" s="10" t="s">
        <v>315</v>
      </c>
      <c r="E206" s="10" t="s">
        <v>313</v>
      </c>
      <c r="F206" s="1" t="str">
        <f t="shared" si="7"/>
        <v/>
      </c>
    </row>
    <row r="207" spans="1:6" x14ac:dyDescent="0.35">
      <c r="A207" s="3">
        <v>44036</v>
      </c>
      <c r="B207" s="1">
        <f t="shared" si="6"/>
        <v>5</v>
      </c>
      <c r="C207" s="10" t="s">
        <v>315</v>
      </c>
      <c r="D207" s="10" t="s">
        <v>315</v>
      </c>
      <c r="E207" s="10" t="s">
        <v>313</v>
      </c>
      <c r="F207" s="1" t="str">
        <f t="shared" si="7"/>
        <v/>
      </c>
    </row>
    <row r="208" spans="1:6" x14ac:dyDescent="0.35">
      <c r="A208" s="3">
        <v>44037</v>
      </c>
      <c r="B208" s="1">
        <f t="shared" si="6"/>
        <v>6</v>
      </c>
      <c r="C208" s="10" t="s">
        <v>313</v>
      </c>
      <c r="D208" s="10" t="s">
        <v>313</v>
      </c>
      <c r="E208" s="10" t="s">
        <v>313</v>
      </c>
      <c r="F208" s="1" t="str">
        <f t="shared" si="7"/>
        <v/>
      </c>
    </row>
    <row r="209" spans="1:6" x14ac:dyDescent="0.35">
      <c r="A209" s="3">
        <v>44038</v>
      </c>
      <c r="B209" s="1">
        <f t="shared" si="6"/>
        <v>7</v>
      </c>
      <c r="C209" s="10" t="s">
        <v>313</v>
      </c>
      <c r="D209" s="10" t="s">
        <v>313</v>
      </c>
      <c r="E209" s="10" t="s">
        <v>313</v>
      </c>
      <c r="F209" s="1" t="str">
        <f t="shared" si="7"/>
        <v/>
      </c>
    </row>
    <row r="210" spans="1:6" x14ac:dyDescent="0.35">
      <c r="A210" s="3">
        <v>44039</v>
      </c>
      <c r="B210" s="1">
        <f t="shared" si="6"/>
        <v>1</v>
      </c>
      <c r="C210" s="10" t="s">
        <v>315</v>
      </c>
      <c r="D210" s="10" t="s">
        <v>315</v>
      </c>
      <c r="E210" s="10" t="s">
        <v>313</v>
      </c>
      <c r="F210" s="1" t="str">
        <f t="shared" si="7"/>
        <v/>
      </c>
    </row>
    <row r="211" spans="1:6" x14ac:dyDescent="0.35">
      <c r="A211" s="3">
        <v>44040</v>
      </c>
      <c r="B211" s="1">
        <f t="shared" si="6"/>
        <v>2</v>
      </c>
      <c r="C211" s="10" t="s">
        <v>315</v>
      </c>
      <c r="D211" s="10" t="s">
        <v>315</v>
      </c>
      <c r="E211" s="10" t="s">
        <v>313</v>
      </c>
      <c r="F211" s="1" t="str">
        <f t="shared" si="7"/>
        <v/>
      </c>
    </row>
    <row r="212" spans="1:6" x14ac:dyDescent="0.35">
      <c r="A212" s="3">
        <v>44041</v>
      </c>
      <c r="B212" s="1">
        <f t="shared" si="6"/>
        <v>3</v>
      </c>
      <c r="C212" s="10" t="s">
        <v>315</v>
      </c>
      <c r="D212" s="10" t="s">
        <v>315</v>
      </c>
      <c r="E212" s="10" t="s">
        <v>313</v>
      </c>
      <c r="F212" s="1" t="str">
        <f t="shared" si="7"/>
        <v/>
      </c>
    </row>
    <row r="213" spans="1:6" x14ac:dyDescent="0.35">
      <c r="A213" s="3">
        <v>44042</v>
      </c>
      <c r="B213" s="1">
        <f t="shared" si="6"/>
        <v>4</v>
      </c>
      <c r="C213" s="10" t="s">
        <v>315</v>
      </c>
      <c r="D213" s="10" t="s">
        <v>315</v>
      </c>
      <c r="E213" s="10" t="s">
        <v>313</v>
      </c>
      <c r="F213" s="1" t="str">
        <f t="shared" si="7"/>
        <v/>
      </c>
    </row>
    <row r="214" spans="1:6" x14ac:dyDescent="0.35">
      <c r="A214" s="3">
        <v>44043</v>
      </c>
      <c r="B214" s="1">
        <f t="shared" si="6"/>
        <v>5</v>
      </c>
      <c r="C214" s="10" t="s">
        <v>313</v>
      </c>
      <c r="D214" s="10" t="s">
        <v>313</v>
      </c>
      <c r="E214" s="10" t="s">
        <v>313</v>
      </c>
      <c r="F214" s="1" t="str">
        <f t="shared" si="7"/>
        <v>Kurban-bajram (za pripadnike islamske vjeroispovijesti)</v>
      </c>
    </row>
    <row r="215" spans="1:6" x14ac:dyDescent="0.35">
      <c r="A215" s="3">
        <v>44044</v>
      </c>
      <c r="B215" s="1">
        <f t="shared" si="6"/>
        <v>6</v>
      </c>
      <c r="C215" s="10" t="s">
        <v>313</v>
      </c>
      <c r="D215" s="10" t="s">
        <v>313</v>
      </c>
      <c r="E215" s="10" t="s">
        <v>313</v>
      </c>
      <c r="F215" s="1" t="str">
        <f t="shared" si="7"/>
        <v>Kurban-bajram (za pripadnike islamske vjeroispovijesti)</v>
      </c>
    </row>
    <row r="216" spans="1:6" x14ac:dyDescent="0.35">
      <c r="A216" s="3">
        <v>44045</v>
      </c>
      <c r="B216" s="1">
        <f t="shared" si="6"/>
        <v>7</v>
      </c>
      <c r="C216" s="10" t="s">
        <v>313</v>
      </c>
      <c r="D216" s="10" t="s">
        <v>313</v>
      </c>
      <c r="E216" s="10" t="s">
        <v>313</v>
      </c>
      <c r="F216" s="1" t="str">
        <f t="shared" si="7"/>
        <v/>
      </c>
    </row>
    <row r="217" spans="1:6" x14ac:dyDescent="0.35">
      <c r="A217" s="3">
        <v>44046</v>
      </c>
      <c r="B217" s="1">
        <f t="shared" si="6"/>
        <v>1</v>
      </c>
      <c r="C217" s="10" t="s">
        <v>315</v>
      </c>
      <c r="D217" s="10" t="s">
        <v>315</v>
      </c>
      <c r="E217" s="10" t="s">
        <v>313</v>
      </c>
      <c r="F217" s="1" t="str">
        <f t="shared" si="7"/>
        <v/>
      </c>
    </row>
    <row r="218" spans="1:6" x14ac:dyDescent="0.35">
      <c r="A218" s="3">
        <v>44047</v>
      </c>
      <c r="B218" s="1">
        <f t="shared" si="6"/>
        <v>2</v>
      </c>
      <c r="C218" s="10" t="s">
        <v>315</v>
      </c>
      <c r="D218" s="10" t="s">
        <v>315</v>
      </c>
      <c r="E218" s="10" t="s">
        <v>313</v>
      </c>
      <c r="F218" s="1" t="str">
        <f t="shared" si="7"/>
        <v/>
      </c>
    </row>
    <row r="219" spans="1:6" x14ac:dyDescent="0.35">
      <c r="A219" s="3">
        <v>44048</v>
      </c>
      <c r="B219" s="1">
        <f t="shared" si="6"/>
        <v>3</v>
      </c>
      <c r="C219" s="10" t="s">
        <v>315</v>
      </c>
      <c r="D219" s="10" t="s">
        <v>315</v>
      </c>
      <c r="E219" s="10" t="s">
        <v>315</v>
      </c>
      <c r="F219" s="1" t="str">
        <f t="shared" si="7"/>
        <v/>
      </c>
    </row>
    <row r="220" spans="1:6" x14ac:dyDescent="0.35">
      <c r="A220" s="3">
        <v>44049</v>
      </c>
      <c r="B220" s="1">
        <f t="shared" si="6"/>
        <v>4</v>
      </c>
      <c r="C220" s="10" t="s">
        <v>315</v>
      </c>
      <c r="D220" s="10" t="s">
        <v>315</v>
      </c>
      <c r="E220" s="10" t="s">
        <v>315</v>
      </c>
      <c r="F220" s="1" t="str">
        <f t="shared" si="7"/>
        <v/>
      </c>
    </row>
    <row r="221" spans="1:6" x14ac:dyDescent="0.35">
      <c r="A221" s="3">
        <v>44050</v>
      </c>
      <c r="B221" s="1">
        <f t="shared" si="6"/>
        <v>5</v>
      </c>
      <c r="C221" s="10" t="s">
        <v>315</v>
      </c>
      <c r="D221" s="10" t="s">
        <v>315</v>
      </c>
      <c r="E221" s="10" t="s">
        <v>315</v>
      </c>
      <c r="F221" s="1" t="str">
        <f t="shared" si="7"/>
        <v/>
      </c>
    </row>
    <row r="222" spans="1:6" x14ac:dyDescent="0.35">
      <c r="A222" s="3">
        <v>44051</v>
      </c>
      <c r="B222" s="1">
        <f t="shared" si="6"/>
        <v>6</v>
      </c>
      <c r="C222" s="10" t="s">
        <v>315</v>
      </c>
      <c r="D222" s="10" t="s">
        <v>313</v>
      </c>
      <c r="E222" s="10" t="s">
        <v>313</v>
      </c>
      <c r="F222" s="1" t="str">
        <f t="shared" si="7"/>
        <v/>
      </c>
    </row>
    <row r="223" spans="1:6" x14ac:dyDescent="0.35">
      <c r="A223" s="3">
        <v>44052</v>
      </c>
      <c r="B223" s="1">
        <f t="shared" si="6"/>
        <v>7</v>
      </c>
      <c r="C223" s="10" t="s">
        <v>313</v>
      </c>
      <c r="D223" s="10" t="s">
        <v>313</v>
      </c>
      <c r="E223" s="10" t="s">
        <v>313</v>
      </c>
      <c r="F223" s="1" t="str">
        <f t="shared" si="7"/>
        <v/>
      </c>
    </row>
    <row r="224" spans="1:6" x14ac:dyDescent="0.35">
      <c r="A224" s="3">
        <v>44053</v>
      </c>
      <c r="B224" s="1">
        <f t="shared" ref="B224:B287" si="8">IF(A224&gt;0,WEEKDAY(A224,2),"")</f>
        <v>1</v>
      </c>
      <c r="C224" s="10" t="s">
        <v>315</v>
      </c>
      <c r="D224" s="10" t="s">
        <v>315</v>
      </c>
      <c r="E224" s="10" t="s">
        <v>315</v>
      </c>
      <c r="F224" s="1" t="str">
        <f t="shared" si="7"/>
        <v/>
      </c>
    </row>
    <row r="225" spans="1:6" x14ac:dyDescent="0.35">
      <c r="A225" s="3">
        <v>44054</v>
      </c>
      <c r="B225" s="1">
        <f t="shared" si="8"/>
        <v>2</v>
      </c>
      <c r="C225" s="10" t="s">
        <v>315</v>
      </c>
      <c r="D225" s="10" t="s">
        <v>315</v>
      </c>
      <c r="E225" s="10" t="s">
        <v>315</v>
      </c>
      <c r="F225" s="1" t="str">
        <f t="shared" si="7"/>
        <v/>
      </c>
    </row>
    <row r="226" spans="1:6" x14ac:dyDescent="0.35">
      <c r="A226" s="3">
        <v>44055</v>
      </c>
      <c r="B226" s="1">
        <f t="shared" si="8"/>
        <v>3</v>
      </c>
      <c r="C226" s="10" t="s">
        <v>315</v>
      </c>
      <c r="D226" s="10" t="s">
        <v>315</v>
      </c>
      <c r="E226" s="10" t="s">
        <v>315</v>
      </c>
      <c r="F226" s="1" t="str">
        <f t="shared" si="7"/>
        <v/>
      </c>
    </row>
    <row r="227" spans="1:6" x14ac:dyDescent="0.35">
      <c r="A227" s="3">
        <v>44056</v>
      </c>
      <c r="B227" s="1">
        <f t="shared" si="8"/>
        <v>4</v>
      </c>
      <c r="C227" s="10" t="s">
        <v>315</v>
      </c>
      <c r="D227" s="10" t="s">
        <v>315</v>
      </c>
      <c r="E227" s="10" t="s">
        <v>315</v>
      </c>
      <c r="F227" s="1" t="str">
        <f t="shared" si="7"/>
        <v/>
      </c>
    </row>
    <row r="228" spans="1:6" x14ac:dyDescent="0.35">
      <c r="A228" s="3">
        <v>44057</v>
      </c>
      <c r="B228" s="1">
        <f t="shared" si="8"/>
        <v>5</v>
      </c>
      <c r="C228" s="10" t="s">
        <v>315</v>
      </c>
      <c r="D228" s="10" t="s">
        <v>315</v>
      </c>
      <c r="E228" s="10" t="s">
        <v>315</v>
      </c>
      <c r="F228" s="1" t="str">
        <f t="shared" si="7"/>
        <v/>
      </c>
    </row>
    <row r="229" spans="1:6" x14ac:dyDescent="0.35">
      <c r="A229" s="3">
        <v>44058</v>
      </c>
      <c r="B229" s="1">
        <f t="shared" si="8"/>
        <v>6</v>
      </c>
      <c r="C229" s="10" t="s">
        <v>315</v>
      </c>
      <c r="D229" s="10" t="s">
        <v>313</v>
      </c>
      <c r="E229" s="10" t="s">
        <v>313</v>
      </c>
      <c r="F229" s="1" t="str">
        <f t="shared" si="7"/>
        <v/>
      </c>
    </row>
    <row r="230" spans="1:6" x14ac:dyDescent="0.35">
      <c r="A230" s="3">
        <v>44059</v>
      </c>
      <c r="B230" s="1">
        <f t="shared" si="8"/>
        <v>7</v>
      </c>
      <c r="C230" s="10" t="s">
        <v>313</v>
      </c>
      <c r="D230" s="10" t="s">
        <v>313</v>
      </c>
      <c r="E230" s="10" t="s">
        <v>313</v>
      </c>
      <c r="F230" s="1" t="str">
        <f t="shared" si="7"/>
        <v/>
      </c>
    </row>
    <row r="231" spans="1:6" x14ac:dyDescent="0.35">
      <c r="A231" s="3">
        <v>44060</v>
      </c>
      <c r="B231" s="1">
        <f t="shared" si="8"/>
        <v>1</v>
      </c>
      <c r="C231" s="10" t="s">
        <v>315</v>
      </c>
      <c r="D231" s="10" t="s">
        <v>315</v>
      </c>
      <c r="E231" s="10" t="s">
        <v>315</v>
      </c>
      <c r="F231" s="1" t="str">
        <f t="shared" si="7"/>
        <v/>
      </c>
    </row>
    <row r="232" spans="1:6" x14ac:dyDescent="0.35">
      <c r="A232" s="3">
        <v>44061</v>
      </c>
      <c r="B232" s="1">
        <f t="shared" si="8"/>
        <v>2</v>
      </c>
      <c r="C232" s="10" t="s">
        <v>315</v>
      </c>
      <c r="D232" s="10" t="s">
        <v>315</v>
      </c>
      <c r="E232" s="10" t="s">
        <v>315</v>
      </c>
      <c r="F232" s="1" t="str">
        <f t="shared" si="7"/>
        <v/>
      </c>
    </row>
    <row r="233" spans="1:6" x14ac:dyDescent="0.35">
      <c r="A233" s="3">
        <v>44062</v>
      </c>
      <c r="B233" s="1">
        <f t="shared" si="8"/>
        <v>3</v>
      </c>
      <c r="C233" s="10" t="s">
        <v>315</v>
      </c>
      <c r="D233" s="10" t="s">
        <v>315</v>
      </c>
      <c r="E233" s="10" t="s">
        <v>315</v>
      </c>
      <c r="F233" s="1" t="str">
        <f t="shared" si="7"/>
        <v/>
      </c>
    </row>
    <row r="234" spans="1:6" x14ac:dyDescent="0.35">
      <c r="A234" s="3">
        <v>44063</v>
      </c>
      <c r="B234" s="1">
        <f t="shared" si="8"/>
        <v>4</v>
      </c>
      <c r="C234" s="10" t="s">
        <v>315</v>
      </c>
      <c r="D234" s="10" t="s">
        <v>315</v>
      </c>
      <c r="E234" s="10" t="s">
        <v>315</v>
      </c>
      <c r="F234" s="1" t="str">
        <f t="shared" si="7"/>
        <v/>
      </c>
    </row>
    <row r="235" spans="1:6" x14ac:dyDescent="0.35">
      <c r="A235" s="3">
        <v>44064</v>
      </c>
      <c r="B235" s="1">
        <f t="shared" si="8"/>
        <v>5</v>
      </c>
      <c r="C235" s="10" t="s">
        <v>315</v>
      </c>
      <c r="D235" s="10" t="s">
        <v>315</v>
      </c>
      <c r="E235" s="10" t="s">
        <v>315</v>
      </c>
      <c r="F235" s="1" t="str">
        <f t="shared" si="7"/>
        <v/>
      </c>
    </row>
    <row r="236" spans="1:6" x14ac:dyDescent="0.35">
      <c r="A236" s="3">
        <v>44065</v>
      </c>
      <c r="B236" s="1">
        <f t="shared" si="8"/>
        <v>6</v>
      </c>
      <c r="C236" s="10" t="s">
        <v>313</v>
      </c>
      <c r="D236" s="10" t="s">
        <v>313</v>
      </c>
      <c r="E236" s="10" t="s">
        <v>313</v>
      </c>
      <c r="F236" s="1" t="str">
        <f t="shared" si="7"/>
        <v/>
      </c>
    </row>
    <row r="237" spans="1:6" x14ac:dyDescent="0.35">
      <c r="A237" s="3">
        <v>44066</v>
      </c>
      <c r="B237" s="1">
        <f t="shared" si="8"/>
        <v>7</v>
      </c>
      <c r="C237" s="10" t="s">
        <v>313</v>
      </c>
      <c r="D237" s="10" t="s">
        <v>313</v>
      </c>
      <c r="E237" s="10" t="s">
        <v>313</v>
      </c>
      <c r="F237" s="1" t="str">
        <f t="shared" si="7"/>
        <v/>
      </c>
    </row>
    <row r="238" spans="1:6" x14ac:dyDescent="0.35">
      <c r="A238" s="3">
        <v>44067</v>
      </c>
      <c r="B238" s="1">
        <f t="shared" si="8"/>
        <v>1</v>
      </c>
      <c r="C238" s="10" t="s">
        <v>315</v>
      </c>
      <c r="D238" s="10" t="s">
        <v>315</v>
      </c>
      <c r="E238" s="10" t="s">
        <v>315</v>
      </c>
      <c r="F238" s="1" t="str">
        <f t="shared" si="7"/>
        <v/>
      </c>
    </row>
    <row r="239" spans="1:6" x14ac:dyDescent="0.35">
      <c r="A239" s="3">
        <v>44068</v>
      </c>
      <c r="B239" s="1">
        <f t="shared" si="8"/>
        <v>2</v>
      </c>
      <c r="C239" s="10" t="s">
        <v>315</v>
      </c>
      <c r="D239" s="10" t="s">
        <v>315</v>
      </c>
      <c r="E239" s="10" t="s">
        <v>315</v>
      </c>
      <c r="F239" s="1" t="str">
        <f t="shared" si="7"/>
        <v/>
      </c>
    </row>
    <row r="240" spans="1:6" x14ac:dyDescent="0.35">
      <c r="A240" s="3">
        <v>44069</v>
      </c>
      <c r="B240" s="1">
        <f t="shared" si="8"/>
        <v>3</v>
      </c>
      <c r="C240" s="10" t="s">
        <v>315</v>
      </c>
      <c r="D240" s="10" t="s">
        <v>315</v>
      </c>
      <c r="E240" s="10" t="s">
        <v>315</v>
      </c>
      <c r="F240" s="1" t="str">
        <f t="shared" si="7"/>
        <v/>
      </c>
    </row>
    <row r="241" spans="1:6" x14ac:dyDescent="0.35">
      <c r="A241" s="3">
        <v>44070</v>
      </c>
      <c r="B241" s="1">
        <f t="shared" si="8"/>
        <v>4</v>
      </c>
      <c r="C241" s="10" t="s">
        <v>315</v>
      </c>
      <c r="D241" s="10" t="s">
        <v>315</v>
      </c>
      <c r="E241" s="10" t="s">
        <v>315</v>
      </c>
      <c r="F241" s="1" t="str">
        <f t="shared" si="7"/>
        <v/>
      </c>
    </row>
    <row r="242" spans="1:6" x14ac:dyDescent="0.35">
      <c r="A242" s="3">
        <v>44071</v>
      </c>
      <c r="B242" s="1">
        <f t="shared" si="8"/>
        <v>5</v>
      </c>
      <c r="C242" s="10" t="s">
        <v>315</v>
      </c>
      <c r="D242" s="10" t="s">
        <v>315</v>
      </c>
      <c r="E242" s="10" t="s">
        <v>315</v>
      </c>
      <c r="F242" s="1" t="str">
        <f t="shared" si="7"/>
        <v/>
      </c>
    </row>
    <row r="243" spans="1:6" x14ac:dyDescent="0.35">
      <c r="A243" s="3">
        <v>44072</v>
      </c>
      <c r="B243" s="1">
        <f t="shared" si="8"/>
        <v>6</v>
      </c>
      <c r="C243" s="10" t="s">
        <v>313</v>
      </c>
      <c r="D243" s="10" t="s">
        <v>313</v>
      </c>
      <c r="E243" s="10" t="s">
        <v>313</v>
      </c>
      <c r="F243" s="1" t="str">
        <f t="shared" si="7"/>
        <v/>
      </c>
    </row>
    <row r="244" spans="1:6" x14ac:dyDescent="0.35">
      <c r="A244" s="3">
        <v>44073</v>
      </c>
      <c r="B244" s="1">
        <f t="shared" si="8"/>
        <v>7</v>
      </c>
      <c r="C244" s="10" t="s">
        <v>313</v>
      </c>
      <c r="D244" s="10" t="s">
        <v>313</v>
      </c>
      <c r="E244" s="10" t="s">
        <v>313</v>
      </c>
      <c r="F244" s="1" t="str">
        <f t="shared" si="7"/>
        <v/>
      </c>
    </row>
    <row r="245" spans="1:6" x14ac:dyDescent="0.35">
      <c r="A245" s="3">
        <v>44074</v>
      </c>
      <c r="B245" s="1">
        <f t="shared" si="8"/>
        <v>1</v>
      </c>
      <c r="C245" s="10" t="s">
        <v>315</v>
      </c>
      <c r="D245" s="10" t="s">
        <v>315</v>
      </c>
      <c r="E245" s="10" t="s">
        <v>315</v>
      </c>
      <c r="F245" s="1" t="str">
        <f t="shared" si="7"/>
        <v/>
      </c>
    </row>
    <row r="246" spans="1:6" x14ac:dyDescent="0.35">
      <c r="A246" s="3">
        <v>44075</v>
      </c>
      <c r="B246" s="1">
        <f t="shared" si="8"/>
        <v>2</v>
      </c>
      <c r="C246" s="10" t="s">
        <v>315</v>
      </c>
      <c r="D246" s="10" t="s">
        <v>315</v>
      </c>
      <c r="E246" s="10" t="s">
        <v>315</v>
      </c>
      <c r="F246" s="1" t="str">
        <f t="shared" si="7"/>
        <v/>
      </c>
    </row>
    <row r="247" spans="1:6" x14ac:dyDescent="0.35">
      <c r="A247" s="3">
        <v>44076</v>
      </c>
      <c r="B247" s="1">
        <f t="shared" si="8"/>
        <v>3</v>
      </c>
      <c r="C247" s="10" t="s">
        <v>315</v>
      </c>
      <c r="D247" s="10" t="s">
        <v>315</v>
      </c>
      <c r="E247" s="10" t="s">
        <v>315</v>
      </c>
      <c r="F247" s="1" t="str">
        <f t="shared" si="7"/>
        <v/>
      </c>
    </row>
    <row r="248" spans="1:6" x14ac:dyDescent="0.35">
      <c r="A248" s="3">
        <v>44077</v>
      </c>
      <c r="B248" s="1">
        <f t="shared" si="8"/>
        <v>4</v>
      </c>
      <c r="C248" s="10" t="s">
        <v>315</v>
      </c>
      <c r="D248" s="10" t="s">
        <v>315</v>
      </c>
      <c r="E248" s="10" t="s">
        <v>315</v>
      </c>
      <c r="F248" s="1" t="str">
        <f t="shared" si="7"/>
        <v/>
      </c>
    </row>
    <row r="249" spans="1:6" x14ac:dyDescent="0.35">
      <c r="A249" s="3">
        <v>44078</v>
      </c>
      <c r="B249" s="1">
        <f t="shared" si="8"/>
        <v>5</v>
      </c>
      <c r="C249" s="10" t="s">
        <v>315</v>
      </c>
      <c r="D249" s="10" t="s">
        <v>315</v>
      </c>
      <c r="E249" s="10" t="s">
        <v>315</v>
      </c>
      <c r="F249" s="1" t="str">
        <f t="shared" si="7"/>
        <v/>
      </c>
    </row>
    <row r="250" spans="1:6" x14ac:dyDescent="0.35">
      <c r="A250" s="3">
        <v>44079</v>
      </c>
      <c r="B250" s="1">
        <f t="shared" si="8"/>
        <v>6</v>
      </c>
      <c r="C250" s="10" t="s">
        <v>315</v>
      </c>
      <c r="D250" s="10" t="s">
        <v>315</v>
      </c>
      <c r="E250" s="10" t="s">
        <v>315</v>
      </c>
      <c r="F250" s="1" t="str">
        <f t="shared" si="7"/>
        <v/>
      </c>
    </row>
    <row r="251" spans="1:6" x14ac:dyDescent="0.35">
      <c r="A251" s="3">
        <v>44080</v>
      </c>
      <c r="B251" s="1">
        <f t="shared" si="8"/>
        <v>7</v>
      </c>
      <c r="C251" s="10" t="s">
        <v>315</v>
      </c>
      <c r="D251" s="10" t="s">
        <v>313</v>
      </c>
      <c r="E251" s="10" t="s">
        <v>313</v>
      </c>
      <c r="F251" s="1" t="str">
        <f t="shared" si="7"/>
        <v/>
      </c>
    </row>
    <row r="252" spans="1:6" x14ac:dyDescent="0.35">
      <c r="A252" s="3">
        <v>44081</v>
      </c>
      <c r="B252" s="1">
        <f t="shared" si="8"/>
        <v>1</v>
      </c>
      <c r="C252" s="10" t="s">
        <v>315</v>
      </c>
      <c r="D252" s="10" t="s">
        <v>315</v>
      </c>
      <c r="E252" s="10" t="s">
        <v>315</v>
      </c>
      <c r="F252" s="1" t="str">
        <f t="shared" si="7"/>
        <v/>
      </c>
    </row>
    <row r="253" spans="1:6" x14ac:dyDescent="0.35">
      <c r="A253" s="3">
        <v>44082</v>
      </c>
      <c r="B253" s="1">
        <f t="shared" si="8"/>
        <v>2</v>
      </c>
      <c r="C253" s="10" t="s">
        <v>315</v>
      </c>
      <c r="D253" s="10" t="s">
        <v>315</v>
      </c>
      <c r="E253" s="10" t="s">
        <v>315</v>
      </c>
      <c r="F253" s="1" t="str">
        <f t="shared" si="7"/>
        <v/>
      </c>
    </row>
    <row r="254" spans="1:6" x14ac:dyDescent="0.35">
      <c r="A254" s="3">
        <v>44083</v>
      </c>
      <c r="B254" s="1">
        <f t="shared" si="8"/>
        <v>3</v>
      </c>
      <c r="C254" s="10" t="s">
        <v>315</v>
      </c>
      <c r="D254" s="10" t="s">
        <v>315</v>
      </c>
      <c r="E254" s="10" t="s">
        <v>315</v>
      </c>
      <c r="F254" s="1" t="str">
        <f t="shared" si="7"/>
        <v/>
      </c>
    </row>
    <row r="255" spans="1:6" x14ac:dyDescent="0.35">
      <c r="A255" s="3">
        <v>44084</v>
      </c>
      <c r="B255" s="1">
        <f t="shared" si="8"/>
        <v>4</v>
      </c>
      <c r="C255" s="10" t="s">
        <v>315</v>
      </c>
      <c r="D255" s="10" t="s">
        <v>315</v>
      </c>
      <c r="E255" s="10" t="s">
        <v>315</v>
      </c>
      <c r="F255" s="1" t="str">
        <f t="shared" si="7"/>
        <v/>
      </c>
    </row>
    <row r="256" spans="1:6" x14ac:dyDescent="0.35">
      <c r="A256" s="3">
        <v>44085</v>
      </c>
      <c r="B256" s="1">
        <f t="shared" si="8"/>
        <v>5</v>
      </c>
      <c r="C256" s="10" t="s">
        <v>315</v>
      </c>
      <c r="D256" s="10" t="s">
        <v>315</v>
      </c>
      <c r="E256" s="10" t="s">
        <v>315</v>
      </c>
      <c r="F256" s="1" t="str">
        <f t="shared" si="7"/>
        <v/>
      </c>
    </row>
    <row r="257" spans="1:6" x14ac:dyDescent="0.35">
      <c r="A257" s="3">
        <v>44086</v>
      </c>
      <c r="B257" s="1">
        <f t="shared" si="8"/>
        <v>6</v>
      </c>
      <c r="C257" s="10" t="s">
        <v>315</v>
      </c>
      <c r="D257" s="10" t="s">
        <v>315</v>
      </c>
      <c r="E257" s="10" t="s">
        <v>313</v>
      </c>
      <c r="F257" s="1" t="str">
        <f t="shared" si="7"/>
        <v/>
      </c>
    </row>
    <row r="258" spans="1:6" x14ac:dyDescent="0.35">
      <c r="A258" s="3">
        <v>44087</v>
      </c>
      <c r="B258" s="1">
        <f t="shared" si="8"/>
        <v>7</v>
      </c>
      <c r="C258" s="10" t="s">
        <v>313</v>
      </c>
      <c r="D258" s="10" t="s">
        <v>313</v>
      </c>
      <c r="E258" s="10" t="s">
        <v>313</v>
      </c>
      <c r="F258" s="1" t="str">
        <f t="shared" si="7"/>
        <v/>
      </c>
    </row>
    <row r="259" spans="1:6" x14ac:dyDescent="0.35">
      <c r="A259" s="3">
        <v>44088</v>
      </c>
      <c r="B259" s="1">
        <f t="shared" si="8"/>
        <v>1</v>
      </c>
      <c r="C259" s="10" t="s">
        <v>315</v>
      </c>
      <c r="D259" s="10" t="s">
        <v>315</v>
      </c>
      <c r="E259" s="10" t="s">
        <v>315</v>
      </c>
      <c r="F259" s="1" t="str">
        <f t="shared" ref="F259:F307" si="9">IFERROR(VLOOKUP(A259,$G$1:$H$18,2,FALSE),"")</f>
        <v/>
      </c>
    </row>
    <row r="260" spans="1:6" x14ac:dyDescent="0.35">
      <c r="A260" s="3">
        <v>44089</v>
      </c>
      <c r="B260" s="1">
        <f t="shared" si="8"/>
        <v>2</v>
      </c>
      <c r="C260" s="10" t="s">
        <v>315</v>
      </c>
      <c r="D260" s="10" t="s">
        <v>315</v>
      </c>
      <c r="E260" s="10" t="s">
        <v>315</v>
      </c>
      <c r="F260" s="1" t="str">
        <f t="shared" si="9"/>
        <v/>
      </c>
    </row>
    <row r="261" spans="1:6" x14ac:dyDescent="0.35">
      <c r="A261" s="3">
        <v>44090</v>
      </c>
      <c r="B261" s="1">
        <f t="shared" si="8"/>
        <v>3</v>
      </c>
      <c r="C261" s="10" t="s">
        <v>315</v>
      </c>
      <c r="D261" s="10" t="s">
        <v>315</v>
      </c>
      <c r="E261" s="10" t="s">
        <v>315</v>
      </c>
      <c r="F261" s="1" t="str">
        <f t="shared" si="9"/>
        <v/>
      </c>
    </row>
    <row r="262" spans="1:6" x14ac:dyDescent="0.35">
      <c r="A262" s="3">
        <v>44091</v>
      </c>
      <c r="B262" s="1">
        <f t="shared" si="8"/>
        <v>4</v>
      </c>
      <c r="C262" s="10" t="s">
        <v>315</v>
      </c>
      <c r="D262" s="10" t="s">
        <v>315</v>
      </c>
      <c r="E262" s="10" t="s">
        <v>315</v>
      </c>
      <c r="F262" s="1" t="str">
        <f t="shared" si="9"/>
        <v/>
      </c>
    </row>
    <row r="263" spans="1:6" x14ac:dyDescent="0.35">
      <c r="A263" s="3">
        <v>44092</v>
      </c>
      <c r="B263" s="1">
        <f t="shared" si="8"/>
        <v>5</v>
      </c>
      <c r="C263" s="10" t="s">
        <v>315</v>
      </c>
      <c r="D263" s="10" t="s">
        <v>315</v>
      </c>
      <c r="E263" s="10" t="s">
        <v>315</v>
      </c>
      <c r="F263" s="1" t="str">
        <f t="shared" si="9"/>
        <v/>
      </c>
    </row>
    <row r="264" spans="1:6" x14ac:dyDescent="0.35">
      <c r="A264" s="3">
        <v>44093</v>
      </c>
      <c r="B264" s="1">
        <f t="shared" si="8"/>
        <v>6</v>
      </c>
      <c r="C264" s="10" t="s">
        <v>315</v>
      </c>
      <c r="D264" s="10" t="s">
        <v>315</v>
      </c>
      <c r="E264" s="10" t="s">
        <v>313</v>
      </c>
      <c r="F264" s="1" t="str">
        <f t="shared" si="9"/>
        <v/>
      </c>
    </row>
    <row r="265" spans="1:6" x14ac:dyDescent="0.35">
      <c r="A265" s="3">
        <v>44094</v>
      </c>
      <c r="B265" s="1">
        <f t="shared" si="8"/>
        <v>7</v>
      </c>
      <c r="C265" s="10" t="s">
        <v>313</v>
      </c>
      <c r="D265" s="10" t="s">
        <v>313</v>
      </c>
      <c r="E265" s="10" t="s">
        <v>313</v>
      </c>
      <c r="F265" s="1" t="str">
        <f t="shared" si="9"/>
        <v/>
      </c>
    </row>
    <row r="266" spans="1:6" x14ac:dyDescent="0.35">
      <c r="A266" s="3">
        <v>44095</v>
      </c>
      <c r="B266" s="1">
        <f t="shared" si="8"/>
        <v>1</v>
      </c>
      <c r="C266" s="10" t="s">
        <v>315</v>
      </c>
      <c r="D266" s="10" t="s">
        <v>315</v>
      </c>
      <c r="E266" s="10" t="s">
        <v>315</v>
      </c>
      <c r="F266" s="1" t="str">
        <f t="shared" si="9"/>
        <v/>
      </c>
    </row>
    <row r="267" spans="1:6" x14ac:dyDescent="0.35">
      <c r="A267" s="3">
        <v>44096</v>
      </c>
      <c r="B267" s="1">
        <f t="shared" si="8"/>
        <v>2</v>
      </c>
      <c r="C267" s="10" t="s">
        <v>315</v>
      </c>
      <c r="D267" s="10" t="s">
        <v>315</v>
      </c>
      <c r="E267" s="10" t="s">
        <v>315</v>
      </c>
      <c r="F267" s="1" t="str">
        <f t="shared" si="9"/>
        <v/>
      </c>
    </row>
    <row r="268" spans="1:6" x14ac:dyDescent="0.35">
      <c r="A268" s="3">
        <v>44097</v>
      </c>
      <c r="B268" s="1">
        <f t="shared" si="8"/>
        <v>3</v>
      </c>
      <c r="C268" s="10" t="s">
        <v>315</v>
      </c>
      <c r="D268" s="10" t="s">
        <v>315</v>
      </c>
      <c r="E268" s="10" t="s">
        <v>315</v>
      </c>
      <c r="F268" s="1" t="str">
        <f t="shared" si="9"/>
        <v/>
      </c>
    </row>
    <row r="269" spans="1:6" x14ac:dyDescent="0.35">
      <c r="A269" s="3">
        <v>44098</v>
      </c>
      <c r="B269" s="1">
        <f t="shared" si="8"/>
        <v>4</v>
      </c>
      <c r="C269" s="10" t="s">
        <v>315</v>
      </c>
      <c r="D269" s="10" t="s">
        <v>315</v>
      </c>
      <c r="E269" s="10" t="s">
        <v>315</v>
      </c>
      <c r="F269" s="1" t="str">
        <f t="shared" si="9"/>
        <v/>
      </c>
    </row>
    <row r="270" spans="1:6" x14ac:dyDescent="0.35">
      <c r="A270" s="3">
        <v>44099</v>
      </c>
      <c r="B270" s="1">
        <f t="shared" si="8"/>
        <v>5</v>
      </c>
      <c r="C270" s="10" t="s">
        <v>315</v>
      </c>
      <c r="D270" s="10" t="s">
        <v>315</v>
      </c>
      <c r="E270" s="10" t="s">
        <v>315</v>
      </c>
      <c r="F270" s="1" t="str">
        <f t="shared" si="9"/>
        <v/>
      </c>
    </row>
    <row r="271" spans="1:6" x14ac:dyDescent="0.35">
      <c r="A271" s="3">
        <v>44100</v>
      </c>
      <c r="B271" s="1">
        <f t="shared" si="8"/>
        <v>6</v>
      </c>
      <c r="C271" s="10" t="s">
        <v>313</v>
      </c>
      <c r="D271" s="10" t="s">
        <v>313</v>
      </c>
      <c r="E271" s="10" t="s">
        <v>313</v>
      </c>
      <c r="F271" s="1" t="str">
        <f t="shared" si="9"/>
        <v/>
      </c>
    </row>
    <row r="272" spans="1:6" x14ac:dyDescent="0.35">
      <c r="A272" s="3">
        <v>44101</v>
      </c>
      <c r="B272" s="1">
        <f t="shared" si="8"/>
        <v>7</v>
      </c>
      <c r="C272" s="10" t="s">
        <v>313</v>
      </c>
      <c r="D272" s="10" t="s">
        <v>313</v>
      </c>
      <c r="E272" s="10" t="s">
        <v>313</v>
      </c>
      <c r="F272" s="1" t="str">
        <f t="shared" si="9"/>
        <v/>
      </c>
    </row>
    <row r="273" spans="1:6" x14ac:dyDescent="0.35">
      <c r="A273" s="3">
        <v>44102</v>
      </c>
      <c r="B273" s="1">
        <f t="shared" si="8"/>
        <v>1</v>
      </c>
      <c r="C273" s="10" t="s">
        <v>315</v>
      </c>
      <c r="D273" s="10" t="s">
        <v>315</v>
      </c>
      <c r="E273" s="10" t="s">
        <v>315</v>
      </c>
      <c r="F273" s="1" t="str">
        <f t="shared" si="9"/>
        <v/>
      </c>
    </row>
    <row r="274" spans="1:6" x14ac:dyDescent="0.35">
      <c r="A274" s="3">
        <v>44103</v>
      </c>
      <c r="B274" s="1">
        <f t="shared" si="8"/>
        <v>2</v>
      </c>
      <c r="C274" s="10" t="s">
        <v>315</v>
      </c>
      <c r="D274" s="10" t="s">
        <v>315</v>
      </c>
      <c r="E274" s="10" t="s">
        <v>315</v>
      </c>
      <c r="F274" s="1" t="str">
        <f t="shared" si="9"/>
        <v/>
      </c>
    </row>
    <row r="275" spans="1:6" x14ac:dyDescent="0.35">
      <c r="A275" s="3">
        <v>44104</v>
      </c>
      <c r="B275" s="1">
        <f t="shared" si="8"/>
        <v>3</v>
      </c>
      <c r="C275" s="10" t="s">
        <v>315</v>
      </c>
      <c r="D275" s="10" t="s">
        <v>315</v>
      </c>
      <c r="E275" s="10" t="s">
        <v>315</v>
      </c>
      <c r="F275" s="1" t="str">
        <f t="shared" si="9"/>
        <v/>
      </c>
    </row>
    <row r="276" spans="1:6" x14ac:dyDescent="0.35">
      <c r="A276" s="3">
        <v>44105</v>
      </c>
      <c r="B276" s="1">
        <f t="shared" si="8"/>
        <v>4</v>
      </c>
      <c r="C276" s="10" t="s">
        <v>315</v>
      </c>
      <c r="D276" s="10" t="s">
        <v>315</v>
      </c>
      <c r="E276" s="10" t="s">
        <v>315</v>
      </c>
      <c r="F276" s="1" t="str">
        <f t="shared" si="9"/>
        <v/>
      </c>
    </row>
    <row r="277" spans="1:6" x14ac:dyDescent="0.35">
      <c r="A277" s="3">
        <v>44106</v>
      </c>
      <c r="B277" s="1">
        <f t="shared" si="8"/>
        <v>5</v>
      </c>
      <c r="C277" s="10" t="s">
        <v>315</v>
      </c>
      <c r="D277" s="10" t="s">
        <v>315</v>
      </c>
      <c r="E277" s="10" t="s">
        <v>315</v>
      </c>
      <c r="F277" s="1" t="str">
        <f t="shared" si="9"/>
        <v/>
      </c>
    </row>
    <row r="278" spans="1:6" x14ac:dyDescent="0.35">
      <c r="A278" s="3">
        <v>44107</v>
      </c>
      <c r="B278" s="1">
        <f t="shared" si="8"/>
        <v>6</v>
      </c>
      <c r="C278" s="10" t="s">
        <v>315</v>
      </c>
      <c r="D278" s="10" t="s">
        <v>313</v>
      </c>
      <c r="E278" s="10" t="s">
        <v>313</v>
      </c>
      <c r="F278" s="1" t="str">
        <f t="shared" si="9"/>
        <v/>
      </c>
    </row>
    <row r="279" spans="1:6" x14ac:dyDescent="0.35">
      <c r="A279" s="3">
        <v>44108</v>
      </c>
      <c r="B279" s="1">
        <f t="shared" si="8"/>
        <v>7</v>
      </c>
      <c r="C279" s="10" t="s">
        <v>313</v>
      </c>
      <c r="D279" s="10" t="s">
        <v>313</v>
      </c>
      <c r="E279" s="10" t="s">
        <v>313</v>
      </c>
      <c r="F279" s="1" t="str">
        <f t="shared" si="9"/>
        <v/>
      </c>
    </row>
    <row r="280" spans="1:6" x14ac:dyDescent="0.35">
      <c r="A280" s="3">
        <v>44109</v>
      </c>
      <c r="B280" s="1">
        <f t="shared" si="8"/>
        <v>1</v>
      </c>
      <c r="C280" s="10" t="s">
        <v>315</v>
      </c>
      <c r="D280" s="10" t="s">
        <v>315</v>
      </c>
      <c r="E280" s="10" t="s">
        <v>315</v>
      </c>
      <c r="F280" s="1" t="str">
        <f t="shared" si="9"/>
        <v/>
      </c>
    </row>
    <row r="281" spans="1:6" x14ac:dyDescent="0.35">
      <c r="A281" s="3">
        <v>44110</v>
      </c>
      <c r="B281" s="1">
        <f t="shared" si="8"/>
        <v>2</v>
      </c>
      <c r="C281" s="10" t="s">
        <v>315</v>
      </c>
      <c r="D281" s="10" t="s">
        <v>315</v>
      </c>
      <c r="E281" s="10" t="s">
        <v>315</v>
      </c>
      <c r="F281" s="1" t="str">
        <f t="shared" si="9"/>
        <v/>
      </c>
    </row>
    <row r="282" spans="1:6" x14ac:dyDescent="0.35">
      <c r="A282" s="3">
        <v>44111</v>
      </c>
      <c r="B282" s="1">
        <f t="shared" si="8"/>
        <v>3</v>
      </c>
      <c r="C282" s="10" t="s">
        <v>315</v>
      </c>
      <c r="D282" s="10" t="s">
        <v>315</v>
      </c>
      <c r="E282" s="10" t="s">
        <v>315</v>
      </c>
      <c r="F282" s="1" t="str">
        <f t="shared" si="9"/>
        <v/>
      </c>
    </row>
    <row r="283" spans="1:6" x14ac:dyDescent="0.35">
      <c r="A283" s="3">
        <v>44112</v>
      </c>
      <c r="B283" s="1">
        <f t="shared" si="8"/>
        <v>4</v>
      </c>
      <c r="C283" s="10" t="s">
        <v>315</v>
      </c>
      <c r="D283" s="10" t="s">
        <v>315</v>
      </c>
      <c r="E283" s="10" t="s">
        <v>315</v>
      </c>
      <c r="F283" s="1" t="str">
        <f t="shared" si="9"/>
        <v/>
      </c>
    </row>
    <row r="284" spans="1:6" x14ac:dyDescent="0.35">
      <c r="A284" s="3">
        <v>44113</v>
      </c>
      <c r="B284" s="1">
        <f t="shared" si="8"/>
        <v>5</v>
      </c>
      <c r="C284" s="10" t="s">
        <v>315</v>
      </c>
      <c r="D284" s="10" t="s">
        <v>315</v>
      </c>
      <c r="E284" s="10" t="s">
        <v>315</v>
      </c>
      <c r="F284" s="1" t="str">
        <f t="shared" si="9"/>
        <v/>
      </c>
    </row>
    <row r="285" spans="1:6" x14ac:dyDescent="0.35">
      <c r="A285" s="3">
        <v>44114</v>
      </c>
      <c r="B285" s="1">
        <f t="shared" si="8"/>
        <v>6</v>
      </c>
      <c r="C285" s="10" t="s">
        <v>315</v>
      </c>
      <c r="D285" s="10" t="s">
        <v>315</v>
      </c>
      <c r="E285" s="10" t="s">
        <v>313</v>
      </c>
      <c r="F285" s="1" t="str">
        <f t="shared" si="9"/>
        <v/>
      </c>
    </row>
    <row r="286" spans="1:6" x14ac:dyDescent="0.35">
      <c r="A286" s="3">
        <v>44115</v>
      </c>
      <c r="B286" s="1">
        <f t="shared" si="8"/>
        <v>7</v>
      </c>
      <c r="C286" s="10" t="s">
        <v>313</v>
      </c>
      <c r="D286" s="10" t="s">
        <v>313</v>
      </c>
      <c r="E286" s="10" t="s">
        <v>313</v>
      </c>
      <c r="F286" s="1" t="str">
        <f t="shared" si="9"/>
        <v/>
      </c>
    </row>
    <row r="287" spans="1:6" x14ac:dyDescent="0.35">
      <c r="A287" s="3">
        <v>44116</v>
      </c>
      <c r="B287" s="1">
        <f t="shared" si="8"/>
        <v>1</v>
      </c>
      <c r="C287" s="10" t="s">
        <v>315</v>
      </c>
      <c r="D287" s="10" t="s">
        <v>315</v>
      </c>
      <c r="E287" s="10" t="s">
        <v>315</v>
      </c>
      <c r="F287" s="1" t="str">
        <f t="shared" si="9"/>
        <v/>
      </c>
    </row>
    <row r="288" spans="1:6" x14ac:dyDescent="0.35">
      <c r="A288" s="3">
        <v>44117</v>
      </c>
      <c r="B288" s="1">
        <f t="shared" ref="B288:B351" si="10">IF(A288&gt;0,WEEKDAY(A288,2),"")</f>
        <v>2</v>
      </c>
      <c r="C288" s="10" t="s">
        <v>315</v>
      </c>
      <c r="D288" s="10" t="s">
        <v>315</v>
      </c>
      <c r="E288" s="10" t="s">
        <v>315</v>
      </c>
      <c r="F288" s="1" t="str">
        <f t="shared" si="9"/>
        <v/>
      </c>
    </row>
    <row r="289" spans="1:6" x14ac:dyDescent="0.35">
      <c r="A289" s="3">
        <v>44118</v>
      </c>
      <c r="B289" s="1">
        <f t="shared" si="10"/>
        <v>3</v>
      </c>
      <c r="C289" s="10" t="s">
        <v>315</v>
      </c>
      <c r="D289" s="10" t="s">
        <v>315</v>
      </c>
      <c r="E289" s="10" t="s">
        <v>315</v>
      </c>
      <c r="F289" s="1" t="str">
        <f t="shared" si="9"/>
        <v/>
      </c>
    </row>
    <row r="290" spans="1:6" x14ac:dyDescent="0.35">
      <c r="A290" s="3">
        <v>44119</v>
      </c>
      <c r="B290" s="1">
        <f t="shared" si="10"/>
        <v>4</v>
      </c>
      <c r="C290" s="10" t="s">
        <v>315</v>
      </c>
      <c r="D290" s="10" t="s">
        <v>315</v>
      </c>
      <c r="E290" s="10" t="s">
        <v>315</v>
      </c>
      <c r="F290" s="1" t="str">
        <f t="shared" si="9"/>
        <v/>
      </c>
    </row>
    <row r="291" spans="1:6" x14ac:dyDescent="0.35">
      <c r="A291" s="3">
        <v>44120</v>
      </c>
      <c r="B291" s="1">
        <f t="shared" si="10"/>
        <v>5</v>
      </c>
      <c r="C291" s="10" t="s">
        <v>315</v>
      </c>
      <c r="D291" s="10" t="s">
        <v>315</v>
      </c>
      <c r="E291" s="10" t="s">
        <v>315</v>
      </c>
      <c r="F291" s="1" t="str">
        <f t="shared" si="9"/>
        <v/>
      </c>
    </row>
    <row r="292" spans="1:6" x14ac:dyDescent="0.35">
      <c r="A292" s="3">
        <v>44121</v>
      </c>
      <c r="B292" s="1">
        <f t="shared" si="10"/>
        <v>6</v>
      </c>
      <c r="C292" s="10" t="s">
        <v>315</v>
      </c>
      <c r="D292" s="10" t="s">
        <v>313</v>
      </c>
      <c r="E292" s="10" t="s">
        <v>313</v>
      </c>
      <c r="F292" s="1" t="str">
        <f t="shared" si="9"/>
        <v/>
      </c>
    </row>
    <row r="293" spans="1:6" x14ac:dyDescent="0.35">
      <c r="A293" s="3">
        <v>44122</v>
      </c>
      <c r="B293" s="1">
        <f t="shared" si="10"/>
        <v>7</v>
      </c>
      <c r="C293" s="10" t="s">
        <v>313</v>
      </c>
      <c r="D293" s="10" t="s">
        <v>313</v>
      </c>
      <c r="E293" s="10" t="s">
        <v>313</v>
      </c>
      <c r="F293" s="1" t="str">
        <f t="shared" si="9"/>
        <v/>
      </c>
    </row>
    <row r="294" spans="1:6" x14ac:dyDescent="0.35">
      <c r="A294" s="3">
        <v>44123</v>
      </c>
      <c r="B294" s="1">
        <f t="shared" si="10"/>
        <v>1</v>
      </c>
      <c r="C294" s="10" t="s">
        <v>315</v>
      </c>
      <c r="D294" s="10" t="s">
        <v>315</v>
      </c>
      <c r="E294" s="10" t="s">
        <v>315</v>
      </c>
      <c r="F294" s="1" t="str">
        <f t="shared" si="9"/>
        <v/>
      </c>
    </row>
    <row r="295" spans="1:6" x14ac:dyDescent="0.35">
      <c r="A295" s="3">
        <v>44124</v>
      </c>
      <c r="B295" s="1">
        <f t="shared" si="10"/>
        <v>2</v>
      </c>
      <c r="C295" s="10" t="s">
        <v>315</v>
      </c>
      <c r="D295" s="10" t="s">
        <v>315</v>
      </c>
      <c r="E295" s="10" t="s">
        <v>315</v>
      </c>
      <c r="F295" s="1" t="str">
        <f t="shared" si="9"/>
        <v/>
      </c>
    </row>
    <row r="296" spans="1:6" x14ac:dyDescent="0.35">
      <c r="A296" s="3">
        <v>44125</v>
      </c>
      <c r="B296" s="1">
        <f t="shared" si="10"/>
        <v>3</v>
      </c>
      <c r="C296" s="10" t="s">
        <v>315</v>
      </c>
      <c r="D296" s="10" t="s">
        <v>315</v>
      </c>
      <c r="E296" s="10" t="s">
        <v>315</v>
      </c>
      <c r="F296" s="1" t="str">
        <f t="shared" si="9"/>
        <v/>
      </c>
    </row>
    <row r="297" spans="1:6" x14ac:dyDescent="0.35">
      <c r="A297" s="3">
        <v>44126</v>
      </c>
      <c r="B297" s="1">
        <f t="shared" si="10"/>
        <v>4</v>
      </c>
      <c r="C297" s="10" t="s">
        <v>315</v>
      </c>
      <c r="D297" s="10" t="s">
        <v>315</v>
      </c>
      <c r="E297" s="10" t="s">
        <v>315</v>
      </c>
      <c r="F297" s="1" t="str">
        <f t="shared" si="9"/>
        <v/>
      </c>
    </row>
    <row r="298" spans="1:6" x14ac:dyDescent="0.35">
      <c r="A298" s="3">
        <v>44127</v>
      </c>
      <c r="B298" s="1">
        <f t="shared" si="10"/>
        <v>5</v>
      </c>
      <c r="C298" s="10" t="s">
        <v>315</v>
      </c>
      <c r="D298" s="10" t="s">
        <v>315</v>
      </c>
      <c r="E298" s="10" t="s">
        <v>315</v>
      </c>
      <c r="F298" s="1" t="str">
        <f t="shared" si="9"/>
        <v/>
      </c>
    </row>
    <row r="299" spans="1:6" x14ac:dyDescent="0.35">
      <c r="A299" s="3">
        <v>44128</v>
      </c>
      <c r="B299" s="1">
        <f t="shared" si="10"/>
        <v>6</v>
      </c>
      <c r="C299" s="10" t="s">
        <v>315</v>
      </c>
      <c r="D299" s="10" t="s">
        <v>313</v>
      </c>
      <c r="E299" s="10" t="s">
        <v>313</v>
      </c>
      <c r="F299" s="1" t="str">
        <f t="shared" si="9"/>
        <v/>
      </c>
    </row>
    <row r="300" spans="1:6" x14ac:dyDescent="0.35">
      <c r="A300" s="3">
        <v>44129</v>
      </c>
      <c r="B300" s="1">
        <f t="shared" si="10"/>
        <v>7</v>
      </c>
      <c r="C300" s="10" t="s">
        <v>313</v>
      </c>
      <c r="D300" s="10" t="s">
        <v>313</v>
      </c>
      <c r="E300" s="10" t="s">
        <v>313</v>
      </c>
      <c r="F300" s="1" t="str">
        <f t="shared" si="9"/>
        <v/>
      </c>
    </row>
    <row r="301" spans="1:6" x14ac:dyDescent="0.35">
      <c r="A301" s="3">
        <v>44130</v>
      </c>
      <c r="B301" s="1">
        <f t="shared" si="10"/>
        <v>1</v>
      </c>
      <c r="C301" s="10" t="s">
        <v>315</v>
      </c>
      <c r="D301" s="10" t="s">
        <v>315</v>
      </c>
      <c r="E301" s="10" t="s">
        <v>315</v>
      </c>
      <c r="F301" s="1" t="str">
        <f t="shared" si="9"/>
        <v/>
      </c>
    </row>
    <row r="302" spans="1:6" x14ac:dyDescent="0.35">
      <c r="A302" s="3">
        <v>44131</v>
      </c>
      <c r="B302" s="1">
        <f t="shared" si="10"/>
        <v>2</v>
      </c>
      <c r="C302" s="10" t="s">
        <v>315</v>
      </c>
      <c r="D302" s="10" t="s">
        <v>315</v>
      </c>
      <c r="E302" s="10" t="s">
        <v>315</v>
      </c>
      <c r="F302" s="1" t="str">
        <f t="shared" si="9"/>
        <v/>
      </c>
    </row>
    <row r="303" spans="1:6" x14ac:dyDescent="0.35">
      <c r="A303" s="3">
        <v>44132</v>
      </c>
      <c r="B303" s="1">
        <f t="shared" si="10"/>
        <v>3</v>
      </c>
      <c r="C303" s="10" t="s">
        <v>315</v>
      </c>
      <c r="D303" s="10" t="s">
        <v>315</v>
      </c>
      <c r="E303" s="10" t="s">
        <v>315</v>
      </c>
      <c r="F303" s="1" t="str">
        <f t="shared" si="9"/>
        <v/>
      </c>
    </row>
    <row r="304" spans="1:6" x14ac:dyDescent="0.35">
      <c r="A304" s="3">
        <v>44133</v>
      </c>
      <c r="B304" s="1">
        <f t="shared" si="10"/>
        <v>4</v>
      </c>
      <c r="C304" s="10" t="s">
        <v>315</v>
      </c>
      <c r="D304" s="10" t="s">
        <v>315</v>
      </c>
      <c r="E304" s="10" t="s">
        <v>315</v>
      </c>
      <c r="F304" s="1" t="str">
        <f t="shared" si="9"/>
        <v/>
      </c>
    </row>
    <row r="305" spans="1:6" x14ac:dyDescent="0.35">
      <c r="A305" s="3">
        <v>44134</v>
      </c>
      <c r="B305" s="1">
        <f t="shared" si="10"/>
        <v>5</v>
      </c>
      <c r="C305" s="10" t="s">
        <v>315</v>
      </c>
      <c r="D305" s="10" t="s">
        <v>315</v>
      </c>
      <c r="E305" s="10" t="s">
        <v>315</v>
      </c>
      <c r="F305" s="1" t="str">
        <f t="shared" si="9"/>
        <v/>
      </c>
    </row>
    <row r="306" spans="1:6" x14ac:dyDescent="0.35">
      <c r="A306" s="3">
        <v>44135</v>
      </c>
      <c r="B306" s="1">
        <f t="shared" si="10"/>
        <v>6</v>
      </c>
      <c r="C306" s="10" t="s">
        <v>315</v>
      </c>
      <c r="D306" s="10" t="s">
        <v>313</v>
      </c>
      <c r="E306" s="10" t="s">
        <v>313</v>
      </c>
      <c r="F306" s="1" t="str">
        <f t="shared" si="9"/>
        <v/>
      </c>
    </row>
    <row r="307" spans="1:6" x14ac:dyDescent="0.35">
      <c r="A307" s="3">
        <v>44136</v>
      </c>
      <c r="B307" s="1">
        <f t="shared" si="10"/>
        <v>7</v>
      </c>
      <c r="C307" s="10" t="s">
        <v>313</v>
      </c>
      <c r="D307" s="10" t="s">
        <v>313</v>
      </c>
      <c r="E307" s="10" t="s">
        <v>313</v>
      </c>
      <c r="F307" s="1" t="str">
        <f t="shared" si="9"/>
        <v/>
      </c>
    </row>
    <row r="308" spans="1:6" x14ac:dyDescent="0.35">
      <c r="A308" s="3">
        <v>44137</v>
      </c>
      <c r="B308" s="1">
        <f t="shared" si="10"/>
        <v>1</v>
      </c>
      <c r="C308" s="10" t="s">
        <v>315</v>
      </c>
      <c r="D308" s="10" t="s">
        <v>315</v>
      </c>
      <c r="E308" s="10" t="s">
        <v>315</v>
      </c>
    </row>
    <row r="309" spans="1:6" x14ac:dyDescent="0.35">
      <c r="A309" s="3">
        <v>44138</v>
      </c>
      <c r="B309" s="1">
        <f t="shared" si="10"/>
        <v>2</v>
      </c>
      <c r="C309" s="10" t="s">
        <v>315</v>
      </c>
      <c r="D309" s="10" t="s">
        <v>315</v>
      </c>
      <c r="E309" s="10" t="s">
        <v>315</v>
      </c>
    </row>
    <row r="310" spans="1:6" x14ac:dyDescent="0.35">
      <c r="A310" s="3">
        <v>44139</v>
      </c>
      <c r="B310" s="1">
        <f t="shared" si="10"/>
        <v>3</v>
      </c>
      <c r="C310" s="10" t="s">
        <v>315</v>
      </c>
      <c r="D310" s="10" t="s">
        <v>315</v>
      </c>
      <c r="E310" s="10" t="s">
        <v>315</v>
      </c>
    </row>
    <row r="311" spans="1:6" x14ac:dyDescent="0.35">
      <c r="A311" s="3">
        <v>44140</v>
      </c>
      <c r="B311" s="1">
        <f t="shared" si="10"/>
        <v>4</v>
      </c>
      <c r="C311" s="10" t="s">
        <v>315</v>
      </c>
      <c r="D311" s="10" t="s">
        <v>315</v>
      </c>
      <c r="E311" s="10" t="s">
        <v>315</v>
      </c>
    </row>
    <row r="312" spans="1:6" x14ac:dyDescent="0.35">
      <c r="A312" s="3">
        <v>44141</v>
      </c>
      <c r="B312" s="1">
        <f t="shared" si="10"/>
        <v>5</v>
      </c>
      <c r="C312" s="10" t="s">
        <v>315</v>
      </c>
      <c r="D312" s="10" t="s">
        <v>315</v>
      </c>
      <c r="E312" s="10" t="s">
        <v>315</v>
      </c>
    </row>
    <row r="313" spans="1:6" x14ac:dyDescent="0.35">
      <c r="A313" s="3">
        <v>44142</v>
      </c>
      <c r="B313" s="1">
        <f t="shared" si="10"/>
        <v>6</v>
      </c>
      <c r="C313" s="10" t="s">
        <v>315</v>
      </c>
      <c r="D313" s="10" t="s">
        <v>313</v>
      </c>
      <c r="E313" s="10" t="s">
        <v>313</v>
      </c>
    </row>
    <row r="314" spans="1:6" x14ac:dyDescent="0.35">
      <c r="A314" s="3">
        <v>44143</v>
      </c>
      <c r="B314" s="1">
        <f t="shared" si="10"/>
        <v>7</v>
      </c>
      <c r="C314" s="10" t="s">
        <v>313</v>
      </c>
      <c r="D314" s="10" t="s">
        <v>313</v>
      </c>
      <c r="E314" s="10" t="s">
        <v>313</v>
      </c>
    </row>
    <row r="315" spans="1:6" x14ac:dyDescent="0.35">
      <c r="A315" s="3">
        <v>44144</v>
      </c>
      <c r="B315" s="1">
        <f t="shared" si="10"/>
        <v>1</v>
      </c>
      <c r="C315" s="10" t="s">
        <v>315</v>
      </c>
      <c r="D315" s="10" t="s">
        <v>315</v>
      </c>
      <c r="E315" s="10" t="s">
        <v>315</v>
      </c>
    </row>
    <row r="316" spans="1:6" x14ac:dyDescent="0.35">
      <c r="A316" s="3">
        <v>44145</v>
      </c>
      <c r="B316" s="1">
        <f t="shared" si="10"/>
        <v>2</v>
      </c>
      <c r="C316" s="10" t="s">
        <v>315</v>
      </c>
      <c r="D316" s="10" t="s">
        <v>315</v>
      </c>
      <c r="E316" s="10" t="s">
        <v>315</v>
      </c>
    </row>
    <row r="317" spans="1:6" x14ac:dyDescent="0.35">
      <c r="A317" s="3">
        <v>44146</v>
      </c>
      <c r="B317" s="1">
        <f t="shared" si="10"/>
        <v>3</v>
      </c>
      <c r="C317" s="10" t="s">
        <v>315</v>
      </c>
      <c r="D317" s="10" t="s">
        <v>315</v>
      </c>
      <c r="E317" s="10" t="s">
        <v>315</v>
      </c>
    </row>
    <row r="318" spans="1:6" x14ac:dyDescent="0.35">
      <c r="A318" s="3">
        <v>44147</v>
      </c>
      <c r="B318" s="1">
        <f t="shared" si="10"/>
        <v>4</v>
      </c>
      <c r="C318" s="10" t="s">
        <v>315</v>
      </c>
      <c r="D318" s="10" t="s">
        <v>315</v>
      </c>
      <c r="E318" s="10" t="s">
        <v>315</v>
      </c>
    </row>
    <row r="319" spans="1:6" x14ac:dyDescent="0.35">
      <c r="A319" s="3">
        <v>44148</v>
      </c>
      <c r="B319" s="1">
        <f t="shared" si="10"/>
        <v>5</v>
      </c>
      <c r="C319" s="10" t="s">
        <v>315</v>
      </c>
      <c r="D319" s="10" t="s">
        <v>315</v>
      </c>
      <c r="E319" s="10" t="s">
        <v>315</v>
      </c>
    </row>
    <row r="320" spans="1:6" x14ac:dyDescent="0.35">
      <c r="A320" s="3">
        <v>44149</v>
      </c>
      <c r="B320" s="1">
        <f t="shared" si="10"/>
        <v>6</v>
      </c>
      <c r="C320" s="10" t="s">
        <v>315</v>
      </c>
      <c r="D320" s="10" t="s">
        <v>313</v>
      </c>
      <c r="E320" s="10" t="s">
        <v>313</v>
      </c>
    </row>
    <row r="321" spans="1:5" x14ac:dyDescent="0.35">
      <c r="A321" s="3">
        <v>44150</v>
      </c>
      <c r="B321" s="1">
        <f t="shared" si="10"/>
        <v>7</v>
      </c>
      <c r="C321" s="10" t="s">
        <v>313</v>
      </c>
      <c r="D321" s="10" t="s">
        <v>313</v>
      </c>
      <c r="E321" s="10" t="s">
        <v>313</v>
      </c>
    </row>
    <row r="322" spans="1:5" x14ac:dyDescent="0.35">
      <c r="A322" s="3">
        <v>44151</v>
      </c>
      <c r="B322" s="1">
        <f t="shared" si="10"/>
        <v>1</v>
      </c>
      <c r="C322" s="10" t="s">
        <v>315</v>
      </c>
      <c r="D322" s="10" t="s">
        <v>315</v>
      </c>
      <c r="E322" s="10" t="s">
        <v>315</v>
      </c>
    </row>
    <row r="323" spans="1:5" x14ac:dyDescent="0.35">
      <c r="A323" s="3">
        <v>44152</v>
      </c>
      <c r="B323" s="1">
        <f t="shared" si="10"/>
        <v>2</v>
      </c>
      <c r="C323" s="10" t="s">
        <v>315</v>
      </c>
      <c r="D323" s="10" t="s">
        <v>315</v>
      </c>
      <c r="E323" s="10" t="s">
        <v>315</v>
      </c>
    </row>
    <row r="324" spans="1:5" x14ac:dyDescent="0.35">
      <c r="A324" s="3">
        <v>44153</v>
      </c>
      <c r="B324" s="1">
        <f t="shared" si="10"/>
        <v>3</v>
      </c>
      <c r="C324" s="10" t="s">
        <v>315</v>
      </c>
      <c r="D324" s="10" t="s">
        <v>315</v>
      </c>
      <c r="E324" s="10" t="s">
        <v>315</v>
      </c>
    </row>
    <row r="325" spans="1:5" x14ac:dyDescent="0.35">
      <c r="A325" s="3">
        <v>44154</v>
      </c>
      <c r="B325" s="1">
        <f t="shared" si="10"/>
        <v>4</v>
      </c>
      <c r="C325" s="10" t="s">
        <v>315</v>
      </c>
      <c r="D325" s="10" t="s">
        <v>315</v>
      </c>
      <c r="E325" s="10" t="s">
        <v>315</v>
      </c>
    </row>
    <row r="326" spans="1:5" x14ac:dyDescent="0.35">
      <c r="A326" s="3">
        <v>44155</v>
      </c>
      <c r="B326" s="1">
        <f t="shared" si="10"/>
        <v>5</v>
      </c>
      <c r="C326" s="10" t="s">
        <v>315</v>
      </c>
      <c r="D326" s="10" t="s">
        <v>315</v>
      </c>
      <c r="E326" s="10" t="s">
        <v>315</v>
      </c>
    </row>
    <row r="327" spans="1:5" x14ac:dyDescent="0.35">
      <c r="A327" s="3">
        <v>44156</v>
      </c>
      <c r="B327" s="1">
        <f t="shared" si="10"/>
        <v>6</v>
      </c>
      <c r="C327" s="10" t="s">
        <v>315</v>
      </c>
      <c r="D327" s="10" t="s">
        <v>313</v>
      </c>
      <c r="E327" s="10" t="s">
        <v>313</v>
      </c>
    </row>
    <row r="328" spans="1:5" x14ac:dyDescent="0.35">
      <c r="A328" s="3">
        <v>44157</v>
      </c>
      <c r="B328" s="1">
        <f t="shared" si="10"/>
        <v>7</v>
      </c>
      <c r="C328" s="10" t="s">
        <v>313</v>
      </c>
      <c r="D328" s="10" t="s">
        <v>313</v>
      </c>
      <c r="E328" s="10" t="s">
        <v>313</v>
      </c>
    </row>
    <row r="329" spans="1:5" x14ac:dyDescent="0.35">
      <c r="A329" s="3">
        <v>44158</v>
      </c>
      <c r="B329" s="1">
        <f t="shared" si="10"/>
        <v>1</v>
      </c>
      <c r="C329" s="10" t="s">
        <v>315</v>
      </c>
      <c r="D329" s="10" t="s">
        <v>315</v>
      </c>
      <c r="E329" s="10" t="s">
        <v>315</v>
      </c>
    </row>
    <row r="330" spans="1:5" x14ac:dyDescent="0.35">
      <c r="A330" s="3">
        <v>44159</v>
      </c>
      <c r="B330" s="1">
        <f t="shared" si="10"/>
        <v>2</v>
      </c>
      <c r="C330" s="10" t="s">
        <v>315</v>
      </c>
      <c r="D330" s="10" t="s">
        <v>315</v>
      </c>
      <c r="E330" s="10" t="s">
        <v>315</v>
      </c>
    </row>
    <row r="331" spans="1:5" x14ac:dyDescent="0.35">
      <c r="A331" s="3">
        <v>44160</v>
      </c>
      <c r="B331" s="1">
        <f t="shared" si="10"/>
        <v>3</v>
      </c>
      <c r="C331" s="10" t="s">
        <v>315</v>
      </c>
      <c r="D331" s="10" t="s">
        <v>315</v>
      </c>
      <c r="E331" s="10" t="s">
        <v>315</v>
      </c>
    </row>
    <row r="332" spans="1:5" x14ac:dyDescent="0.35">
      <c r="A332" s="3">
        <v>44161</v>
      </c>
      <c r="B332" s="1">
        <f t="shared" si="10"/>
        <v>4</v>
      </c>
      <c r="C332" s="10" t="s">
        <v>315</v>
      </c>
      <c r="D332" s="10" t="s">
        <v>315</v>
      </c>
      <c r="E332" s="10" t="s">
        <v>315</v>
      </c>
    </row>
    <row r="333" spans="1:5" x14ac:dyDescent="0.35">
      <c r="A333" s="3">
        <v>44162</v>
      </c>
      <c r="B333" s="1">
        <f t="shared" si="10"/>
        <v>5</v>
      </c>
      <c r="C333" s="10" t="s">
        <v>315</v>
      </c>
      <c r="D333" s="10" t="s">
        <v>315</v>
      </c>
      <c r="E333" s="10" t="s">
        <v>313</v>
      </c>
    </row>
    <row r="334" spans="1:5" x14ac:dyDescent="0.35">
      <c r="A334" s="3">
        <v>44163</v>
      </c>
      <c r="B334" s="1">
        <f t="shared" si="10"/>
        <v>6</v>
      </c>
      <c r="C334" s="10" t="s">
        <v>315</v>
      </c>
      <c r="D334" s="10" t="s">
        <v>315</v>
      </c>
      <c r="E334" s="10" t="s">
        <v>313</v>
      </c>
    </row>
    <row r="335" spans="1:5" x14ac:dyDescent="0.35">
      <c r="A335" s="3">
        <v>44164</v>
      </c>
      <c r="B335" s="1">
        <f t="shared" si="10"/>
        <v>7</v>
      </c>
      <c r="C335" s="10" t="s">
        <v>313</v>
      </c>
      <c r="D335" s="10" t="s">
        <v>313</v>
      </c>
      <c r="E335" s="10" t="s">
        <v>313</v>
      </c>
    </row>
    <row r="336" spans="1:5" x14ac:dyDescent="0.35">
      <c r="A336" s="3">
        <v>44165</v>
      </c>
      <c r="B336" s="1">
        <f t="shared" si="10"/>
        <v>1</v>
      </c>
      <c r="C336" s="10" t="s">
        <v>315</v>
      </c>
      <c r="D336" s="10" t="s">
        <v>315</v>
      </c>
      <c r="E336" s="10" t="s">
        <v>315</v>
      </c>
    </row>
    <row r="337" spans="1:5" x14ac:dyDescent="0.35">
      <c r="A337" s="3">
        <v>44166</v>
      </c>
      <c r="B337" s="1">
        <f t="shared" si="10"/>
        <v>2</v>
      </c>
      <c r="C337" s="10" t="s">
        <v>315</v>
      </c>
      <c r="D337" s="10" t="s">
        <v>315</v>
      </c>
      <c r="E337" s="10" t="s">
        <v>315</v>
      </c>
    </row>
    <row r="338" spans="1:5" x14ac:dyDescent="0.35">
      <c r="A338" s="3">
        <v>44167</v>
      </c>
      <c r="B338" s="1">
        <f t="shared" si="10"/>
        <v>3</v>
      </c>
      <c r="C338" s="10" t="s">
        <v>315</v>
      </c>
      <c r="D338" s="10" t="s">
        <v>315</v>
      </c>
      <c r="E338" s="10" t="s">
        <v>315</v>
      </c>
    </row>
    <row r="339" spans="1:5" x14ac:dyDescent="0.35">
      <c r="A339" s="3">
        <v>44168</v>
      </c>
      <c r="B339" s="1">
        <f t="shared" si="10"/>
        <v>4</v>
      </c>
      <c r="C339" s="10" t="s">
        <v>315</v>
      </c>
      <c r="D339" s="10" t="s">
        <v>315</v>
      </c>
      <c r="E339" s="10" t="s">
        <v>315</v>
      </c>
    </row>
    <row r="340" spans="1:5" x14ac:dyDescent="0.35">
      <c r="A340" s="3">
        <v>44169</v>
      </c>
      <c r="B340" s="1">
        <f t="shared" si="10"/>
        <v>5</v>
      </c>
      <c r="C340" s="10" t="s">
        <v>315</v>
      </c>
      <c r="D340" s="10" t="s">
        <v>315</v>
      </c>
      <c r="E340" s="10" t="s">
        <v>315</v>
      </c>
    </row>
    <row r="341" spans="1:5" x14ac:dyDescent="0.35">
      <c r="A341" s="3">
        <v>44170</v>
      </c>
      <c r="B341" s="1">
        <f t="shared" si="10"/>
        <v>6</v>
      </c>
      <c r="C341" s="10" t="s">
        <v>315</v>
      </c>
      <c r="D341" s="10" t="s">
        <v>313</v>
      </c>
      <c r="E341" s="10" t="s">
        <v>313</v>
      </c>
    </row>
    <row r="342" spans="1:5" x14ac:dyDescent="0.35">
      <c r="A342" s="3">
        <v>44171</v>
      </c>
      <c r="B342" s="1">
        <f t="shared" si="10"/>
        <v>7</v>
      </c>
      <c r="C342" s="10" t="s">
        <v>313</v>
      </c>
      <c r="D342" s="10" t="s">
        <v>313</v>
      </c>
      <c r="E342" s="10" t="s">
        <v>313</v>
      </c>
    </row>
    <row r="343" spans="1:5" x14ac:dyDescent="0.35">
      <c r="A343" s="3">
        <v>44172</v>
      </c>
      <c r="B343" s="1">
        <f t="shared" si="10"/>
        <v>1</v>
      </c>
      <c r="C343" s="10" t="s">
        <v>315</v>
      </c>
      <c r="D343" s="10" t="s">
        <v>315</v>
      </c>
      <c r="E343" s="10" t="s">
        <v>315</v>
      </c>
    </row>
    <row r="344" spans="1:5" x14ac:dyDescent="0.35">
      <c r="A344" s="3">
        <v>44173</v>
      </c>
      <c r="B344" s="1">
        <f t="shared" si="10"/>
        <v>2</v>
      </c>
      <c r="C344" s="10" t="s">
        <v>315</v>
      </c>
      <c r="D344" s="10" t="s">
        <v>315</v>
      </c>
      <c r="E344" s="10" t="s">
        <v>315</v>
      </c>
    </row>
    <row r="345" spans="1:5" x14ac:dyDescent="0.35">
      <c r="A345" s="3">
        <v>44174</v>
      </c>
      <c r="B345" s="1">
        <f t="shared" si="10"/>
        <v>3</v>
      </c>
      <c r="C345" s="10" t="s">
        <v>315</v>
      </c>
      <c r="D345" s="10" t="s">
        <v>315</v>
      </c>
      <c r="E345" s="10" t="s">
        <v>315</v>
      </c>
    </row>
    <row r="346" spans="1:5" x14ac:dyDescent="0.35">
      <c r="A346" s="3">
        <v>44175</v>
      </c>
      <c r="B346" s="1">
        <f t="shared" si="10"/>
        <v>4</v>
      </c>
      <c r="C346" s="10" t="s">
        <v>315</v>
      </c>
      <c r="D346" s="10" t="s">
        <v>315</v>
      </c>
      <c r="E346" s="10" t="s">
        <v>315</v>
      </c>
    </row>
    <row r="347" spans="1:5" x14ac:dyDescent="0.35">
      <c r="A347" s="3">
        <v>44176</v>
      </c>
      <c r="B347" s="1">
        <f t="shared" si="10"/>
        <v>5</v>
      </c>
      <c r="C347" s="10" t="s">
        <v>315</v>
      </c>
      <c r="D347" s="10" t="s">
        <v>315</v>
      </c>
      <c r="E347" s="10" t="s">
        <v>315</v>
      </c>
    </row>
    <row r="348" spans="1:5" x14ac:dyDescent="0.35">
      <c r="A348" s="3">
        <v>44177</v>
      </c>
      <c r="B348" s="1">
        <f t="shared" si="10"/>
        <v>6</v>
      </c>
      <c r="C348" s="10" t="s">
        <v>315</v>
      </c>
      <c r="D348" s="10" t="s">
        <v>313</v>
      </c>
      <c r="E348" s="10" t="s">
        <v>313</v>
      </c>
    </row>
    <row r="349" spans="1:5" x14ac:dyDescent="0.35">
      <c r="A349" s="3">
        <v>44178</v>
      </c>
      <c r="B349" s="1">
        <f t="shared" si="10"/>
        <v>7</v>
      </c>
      <c r="C349" s="10" t="s">
        <v>313</v>
      </c>
      <c r="D349" s="10" t="s">
        <v>313</v>
      </c>
      <c r="E349" s="10" t="s">
        <v>313</v>
      </c>
    </row>
    <row r="350" spans="1:5" x14ac:dyDescent="0.35">
      <c r="A350" s="3">
        <v>44179</v>
      </c>
      <c r="B350" s="1">
        <f t="shared" si="10"/>
        <v>1</v>
      </c>
      <c r="C350" s="10" t="s">
        <v>315</v>
      </c>
      <c r="D350" s="10" t="s">
        <v>315</v>
      </c>
      <c r="E350" s="10" t="s">
        <v>315</v>
      </c>
    </row>
    <row r="351" spans="1:5" x14ac:dyDescent="0.35">
      <c r="A351" s="3">
        <v>44180</v>
      </c>
      <c r="B351" s="1">
        <f t="shared" si="10"/>
        <v>2</v>
      </c>
      <c r="C351" s="10" t="s">
        <v>315</v>
      </c>
      <c r="D351" s="10" t="s">
        <v>315</v>
      </c>
      <c r="E351" s="10" t="s">
        <v>315</v>
      </c>
    </row>
    <row r="352" spans="1:5" x14ac:dyDescent="0.35">
      <c r="A352" s="3">
        <v>44181</v>
      </c>
      <c r="B352" s="1">
        <f t="shared" ref="B352:B415" si="11">IF(A352&gt;0,WEEKDAY(A352,2),"")</f>
        <v>3</v>
      </c>
      <c r="C352" s="10" t="s">
        <v>315</v>
      </c>
      <c r="D352" s="10" t="s">
        <v>315</v>
      </c>
      <c r="E352" s="10" t="s">
        <v>315</v>
      </c>
    </row>
    <row r="353" spans="1:5" x14ac:dyDescent="0.35">
      <c r="A353" s="3">
        <v>44182</v>
      </c>
      <c r="B353" s="1">
        <f t="shared" si="11"/>
        <v>4</v>
      </c>
      <c r="C353" s="10" t="s">
        <v>315</v>
      </c>
      <c r="D353" s="10" t="s">
        <v>315</v>
      </c>
      <c r="E353" s="10" t="s">
        <v>315</v>
      </c>
    </row>
    <row r="354" spans="1:5" x14ac:dyDescent="0.35">
      <c r="A354" s="3">
        <v>44183</v>
      </c>
      <c r="B354" s="1">
        <f t="shared" si="11"/>
        <v>5</v>
      </c>
      <c r="C354" s="10" t="s">
        <v>315</v>
      </c>
      <c r="D354" s="10" t="s">
        <v>315</v>
      </c>
      <c r="E354" s="10" t="s">
        <v>315</v>
      </c>
    </row>
    <row r="355" spans="1:5" x14ac:dyDescent="0.35">
      <c r="A355" s="3">
        <v>44184</v>
      </c>
      <c r="B355" s="1">
        <f t="shared" si="11"/>
        <v>6</v>
      </c>
      <c r="C355" s="10" t="s">
        <v>315</v>
      </c>
      <c r="D355" s="10" t="s">
        <v>313</v>
      </c>
      <c r="E355" s="10" t="s">
        <v>313</v>
      </c>
    </row>
    <row r="356" spans="1:5" x14ac:dyDescent="0.35">
      <c r="A356" s="3">
        <v>44185</v>
      </c>
      <c r="B356" s="1">
        <f t="shared" si="11"/>
        <v>7</v>
      </c>
      <c r="C356" s="10" t="s">
        <v>313</v>
      </c>
      <c r="D356" s="10" t="s">
        <v>313</v>
      </c>
      <c r="E356" s="10" t="s">
        <v>313</v>
      </c>
    </row>
    <row r="357" spans="1:5" x14ac:dyDescent="0.35">
      <c r="A357" s="3">
        <v>44186</v>
      </c>
      <c r="B357" s="1">
        <f t="shared" si="11"/>
        <v>1</v>
      </c>
      <c r="C357" s="10" t="s">
        <v>315</v>
      </c>
      <c r="D357" s="10" t="s">
        <v>315</v>
      </c>
      <c r="E357" s="10" t="s">
        <v>315</v>
      </c>
    </row>
    <row r="358" spans="1:5" x14ac:dyDescent="0.35">
      <c r="A358" s="3">
        <v>44187</v>
      </c>
      <c r="B358" s="1">
        <f t="shared" si="11"/>
        <v>2</v>
      </c>
      <c r="C358" s="10" t="s">
        <v>315</v>
      </c>
      <c r="D358" s="10" t="s">
        <v>315</v>
      </c>
      <c r="E358" s="10" t="s">
        <v>315</v>
      </c>
    </row>
    <row r="359" spans="1:5" x14ac:dyDescent="0.35">
      <c r="A359" s="3">
        <v>44188</v>
      </c>
      <c r="B359" s="1">
        <f t="shared" si="11"/>
        <v>3</v>
      </c>
      <c r="C359" s="10" t="s">
        <v>315</v>
      </c>
      <c r="D359" s="10" t="s">
        <v>315</v>
      </c>
      <c r="E359" s="10" t="s">
        <v>315</v>
      </c>
    </row>
    <row r="360" spans="1:5" x14ac:dyDescent="0.35">
      <c r="A360" s="3">
        <v>44189</v>
      </c>
      <c r="B360" s="1">
        <f t="shared" si="11"/>
        <v>4</v>
      </c>
      <c r="C360" s="10" t="s">
        <v>315</v>
      </c>
      <c r="D360" s="10" t="s">
        <v>315</v>
      </c>
      <c r="E360" s="10" t="s">
        <v>315</v>
      </c>
    </row>
    <row r="361" spans="1:5" x14ac:dyDescent="0.35">
      <c r="A361" s="3">
        <v>44190</v>
      </c>
      <c r="B361" s="1">
        <f t="shared" si="11"/>
        <v>5</v>
      </c>
      <c r="C361" s="10" t="s">
        <v>315</v>
      </c>
      <c r="D361" s="10" t="s">
        <v>315</v>
      </c>
      <c r="E361" s="10" t="s">
        <v>315</v>
      </c>
    </row>
    <row r="362" spans="1:5" x14ac:dyDescent="0.35">
      <c r="A362" s="3">
        <v>44191</v>
      </c>
      <c r="B362" s="1">
        <f t="shared" si="11"/>
        <v>6</v>
      </c>
      <c r="C362" s="10" t="s">
        <v>315</v>
      </c>
      <c r="D362" s="10" t="s">
        <v>313</v>
      </c>
      <c r="E362" s="10" t="s">
        <v>313</v>
      </c>
    </row>
    <row r="363" spans="1:5" x14ac:dyDescent="0.35">
      <c r="A363" s="3">
        <v>44192</v>
      </c>
      <c r="B363" s="1">
        <f t="shared" si="11"/>
        <v>7</v>
      </c>
      <c r="C363" s="10" t="s">
        <v>313</v>
      </c>
      <c r="D363" s="10" t="s">
        <v>313</v>
      </c>
      <c r="E363" s="10" t="s">
        <v>313</v>
      </c>
    </row>
    <row r="364" spans="1:5" x14ac:dyDescent="0.35">
      <c r="A364" s="3">
        <v>44193</v>
      </c>
      <c r="B364" s="1">
        <f t="shared" si="11"/>
        <v>1</v>
      </c>
      <c r="C364" s="10" t="s">
        <v>315</v>
      </c>
      <c r="D364" s="10" t="s">
        <v>315</v>
      </c>
      <c r="E364" s="10" t="s">
        <v>315</v>
      </c>
    </row>
    <row r="365" spans="1:5" x14ac:dyDescent="0.35">
      <c r="A365" s="3">
        <v>44194</v>
      </c>
      <c r="B365" s="1">
        <f t="shared" si="11"/>
        <v>2</v>
      </c>
      <c r="C365" s="10" t="s">
        <v>315</v>
      </c>
      <c r="D365" s="10" t="s">
        <v>315</v>
      </c>
      <c r="E365" s="10" t="s">
        <v>315</v>
      </c>
    </row>
    <row r="366" spans="1:5" x14ac:dyDescent="0.35">
      <c r="A366" s="3">
        <v>44195</v>
      </c>
      <c r="B366" s="1">
        <f t="shared" si="11"/>
        <v>3</v>
      </c>
      <c r="C366" s="10" t="s">
        <v>315</v>
      </c>
      <c r="D366" s="10" t="s">
        <v>315</v>
      </c>
      <c r="E366" s="10" t="s">
        <v>315</v>
      </c>
    </row>
    <row r="367" spans="1:5" x14ac:dyDescent="0.35">
      <c r="A367" s="3">
        <v>44196</v>
      </c>
      <c r="B367" s="1">
        <f t="shared" si="11"/>
        <v>4</v>
      </c>
      <c r="C367" s="10" t="s">
        <v>315</v>
      </c>
      <c r="D367" s="10" t="s">
        <v>315</v>
      </c>
      <c r="E367" s="10" t="s">
        <v>315</v>
      </c>
    </row>
    <row r="368" spans="1:5" x14ac:dyDescent="0.35">
      <c r="A368" s="3">
        <v>44197</v>
      </c>
      <c r="B368" s="1">
        <f t="shared" si="11"/>
        <v>5</v>
      </c>
      <c r="C368" s="10" t="s">
        <v>315</v>
      </c>
      <c r="D368" s="10" t="s">
        <v>315</v>
      </c>
      <c r="E368" s="10" t="s">
        <v>315</v>
      </c>
    </row>
    <row r="369" spans="1:5" x14ac:dyDescent="0.35">
      <c r="A369" s="3">
        <v>44198</v>
      </c>
      <c r="B369" s="1">
        <f t="shared" si="11"/>
        <v>6</v>
      </c>
      <c r="C369" s="10" t="s">
        <v>315</v>
      </c>
      <c r="D369" s="10" t="s">
        <v>313</v>
      </c>
      <c r="E369" s="10" t="s">
        <v>313</v>
      </c>
    </row>
    <row r="370" spans="1:5" x14ac:dyDescent="0.35">
      <c r="A370" s="3">
        <v>44199</v>
      </c>
      <c r="B370" s="1">
        <f t="shared" si="11"/>
        <v>7</v>
      </c>
      <c r="C370" s="10" t="s">
        <v>313</v>
      </c>
      <c r="D370" s="10" t="s">
        <v>313</v>
      </c>
      <c r="E370" s="10" t="s">
        <v>313</v>
      </c>
    </row>
    <row r="371" spans="1:5" x14ac:dyDescent="0.35">
      <c r="A371" s="3">
        <v>44200</v>
      </c>
      <c r="B371" s="1">
        <f t="shared" si="11"/>
        <v>1</v>
      </c>
      <c r="C371" s="10" t="s">
        <v>315</v>
      </c>
      <c r="D371" s="10" t="s">
        <v>315</v>
      </c>
      <c r="E371" s="10" t="s">
        <v>315</v>
      </c>
    </row>
    <row r="372" spans="1:5" x14ac:dyDescent="0.35">
      <c r="A372" s="3">
        <v>44201</v>
      </c>
      <c r="B372" s="1">
        <f t="shared" si="11"/>
        <v>2</v>
      </c>
      <c r="C372" s="10" t="s">
        <v>315</v>
      </c>
      <c r="D372" s="10" t="s">
        <v>315</v>
      </c>
      <c r="E372" s="10" t="s">
        <v>315</v>
      </c>
    </row>
    <row r="373" spans="1:5" x14ac:dyDescent="0.35">
      <c r="A373" s="3">
        <v>44202</v>
      </c>
      <c r="B373" s="1">
        <f t="shared" si="11"/>
        <v>3</v>
      </c>
      <c r="C373" s="10" t="s">
        <v>315</v>
      </c>
      <c r="D373" s="10" t="s">
        <v>315</v>
      </c>
      <c r="E373" s="10" t="s">
        <v>315</v>
      </c>
    </row>
    <row r="374" spans="1:5" x14ac:dyDescent="0.35">
      <c r="A374" s="3">
        <v>44203</v>
      </c>
      <c r="B374" s="1">
        <f t="shared" si="11"/>
        <v>4</v>
      </c>
      <c r="C374" s="10" t="s">
        <v>315</v>
      </c>
      <c r="D374" s="10" t="s">
        <v>315</v>
      </c>
      <c r="E374" s="10" t="s">
        <v>315</v>
      </c>
    </row>
    <row r="375" spans="1:5" x14ac:dyDescent="0.35">
      <c r="A375" s="3">
        <v>44204</v>
      </c>
      <c r="B375" s="1">
        <f t="shared" si="11"/>
        <v>5</v>
      </c>
      <c r="C375" s="10" t="s">
        <v>315</v>
      </c>
      <c r="D375" s="10" t="s">
        <v>315</v>
      </c>
      <c r="E375" s="10" t="s">
        <v>315</v>
      </c>
    </row>
    <row r="376" spans="1:5" x14ac:dyDescent="0.35">
      <c r="A376" s="3">
        <v>44205</v>
      </c>
      <c r="B376" s="1">
        <f t="shared" si="11"/>
        <v>6</v>
      </c>
      <c r="C376" s="10" t="s">
        <v>315</v>
      </c>
      <c r="D376" s="10" t="s">
        <v>313</v>
      </c>
      <c r="E376" s="10" t="s">
        <v>313</v>
      </c>
    </row>
    <row r="377" spans="1:5" x14ac:dyDescent="0.35">
      <c r="A377" s="3">
        <v>44206</v>
      </c>
      <c r="B377" s="1">
        <f t="shared" si="11"/>
        <v>7</v>
      </c>
      <c r="C377" s="10" t="s">
        <v>313</v>
      </c>
      <c r="D377" s="10" t="s">
        <v>313</v>
      </c>
      <c r="E377" s="10" t="s">
        <v>313</v>
      </c>
    </row>
    <row r="378" spans="1:5" x14ac:dyDescent="0.35">
      <c r="A378" s="3">
        <v>44207</v>
      </c>
      <c r="B378" s="1">
        <f t="shared" si="11"/>
        <v>1</v>
      </c>
      <c r="C378" s="10" t="s">
        <v>315</v>
      </c>
      <c r="D378" s="10" t="s">
        <v>315</v>
      </c>
      <c r="E378" s="10" t="s">
        <v>315</v>
      </c>
    </row>
    <row r="379" spans="1:5" x14ac:dyDescent="0.35">
      <c r="A379" s="3">
        <v>44208</v>
      </c>
      <c r="B379" s="1">
        <f t="shared" si="11"/>
        <v>2</v>
      </c>
      <c r="C379" s="10" t="s">
        <v>315</v>
      </c>
      <c r="D379" s="10" t="s">
        <v>315</v>
      </c>
      <c r="E379" s="10" t="s">
        <v>315</v>
      </c>
    </row>
    <row r="380" spans="1:5" x14ac:dyDescent="0.35">
      <c r="A380" s="3">
        <v>44209</v>
      </c>
      <c r="B380" s="1">
        <f t="shared" si="11"/>
        <v>3</v>
      </c>
      <c r="C380" s="10" t="s">
        <v>315</v>
      </c>
      <c r="D380" s="10" t="s">
        <v>315</v>
      </c>
      <c r="E380" s="10" t="s">
        <v>315</v>
      </c>
    </row>
    <row r="381" spans="1:5" x14ac:dyDescent="0.35">
      <c r="A381" s="3">
        <v>44210</v>
      </c>
      <c r="B381" s="1">
        <f t="shared" si="11"/>
        <v>4</v>
      </c>
      <c r="C381" s="10" t="s">
        <v>315</v>
      </c>
      <c r="D381" s="10" t="s">
        <v>315</v>
      </c>
      <c r="E381" s="10" t="s">
        <v>315</v>
      </c>
    </row>
    <row r="382" spans="1:5" x14ac:dyDescent="0.35">
      <c r="A382" s="3">
        <v>44211</v>
      </c>
      <c r="B382" s="1">
        <f t="shared" si="11"/>
        <v>5</v>
      </c>
      <c r="C382" s="10" t="s">
        <v>315</v>
      </c>
      <c r="D382" s="10" t="s">
        <v>315</v>
      </c>
      <c r="E382" s="10" t="s">
        <v>315</v>
      </c>
    </row>
    <row r="383" spans="1:5" x14ac:dyDescent="0.35">
      <c r="A383" s="3">
        <v>44212</v>
      </c>
      <c r="B383" s="1">
        <f t="shared" si="11"/>
        <v>6</v>
      </c>
      <c r="C383" s="10" t="s">
        <v>315</v>
      </c>
      <c r="D383" s="10" t="s">
        <v>313</v>
      </c>
      <c r="E383" s="10" t="s">
        <v>313</v>
      </c>
    </row>
    <row r="384" spans="1:5" x14ac:dyDescent="0.35">
      <c r="A384" s="3">
        <v>44213</v>
      </c>
      <c r="B384" s="1">
        <f t="shared" si="11"/>
        <v>7</v>
      </c>
      <c r="C384" s="10" t="s">
        <v>313</v>
      </c>
      <c r="D384" s="10" t="s">
        <v>313</v>
      </c>
      <c r="E384" s="10" t="s">
        <v>313</v>
      </c>
    </row>
    <row r="385" spans="1:5" x14ac:dyDescent="0.35">
      <c r="A385" s="3">
        <v>44214</v>
      </c>
      <c r="B385" s="1">
        <f t="shared" si="11"/>
        <v>1</v>
      </c>
      <c r="C385" s="10" t="s">
        <v>315</v>
      </c>
      <c r="D385" s="10" t="s">
        <v>315</v>
      </c>
      <c r="E385" s="10" t="s">
        <v>315</v>
      </c>
    </row>
    <row r="386" spans="1:5" x14ac:dyDescent="0.35">
      <c r="A386" s="3">
        <v>44215</v>
      </c>
      <c r="B386" s="1">
        <f t="shared" si="11"/>
        <v>2</v>
      </c>
      <c r="C386" s="10" t="s">
        <v>315</v>
      </c>
      <c r="D386" s="10" t="s">
        <v>315</v>
      </c>
      <c r="E386" s="10" t="s">
        <v>315</v>
      </c>
    </row>
    <row r="387" spans="1:5" x14ac:dyDescent="0.35">
      <c r="A387" s="3">
        <v>44216</v>
      </c>
      <c r="B387" s="1">
        <f t="shared" si="11"/>
        <v>3</v>
      </c>
      <c r="C387" s="10" t="s">
        <v>315</v>
      </c>
      <c r="D387" s="10" t="s">
        <v>315</v>
      </c>
      <c r="E387" s="10" t="s">
        <v>315</v>
      </c>
    </row>
    <row r="388" spans="1:5" x14ac:dyDescent="0.35">
      <c r="A388" s="3">
        <v>44217</v>
      </c>
      <c r="B388" s="1">
        <f t="shared" si="11"/>
        <v>4</v>
      </c>
      <c r="C388" s="10" t="s">
        <v>315</v>
      </c>
      <c r="D388" s="10" t="s">
        <v>315</v>
      </c>
      <c r="E388" s="10" t="s">
        <v>315</v>
      </c>
    </row>
    <row r="389" spans="1:5" x14ac:dyDescent="0.35">
      <c r="A389" s="3">
        <v>44218</v>
      </c>
      <c r="B389" s="1">
        <f t="shared" si="11"/>
        <v>5</v>
      </c>
      <c r="C389" s="10" t="s">
        <v>315</v>
      </c>
      <c r="D389" s="10" t="s">
        <v>315</v>
      </c>
      <c r="E389" s="10" t="s">
        <v>315</v>
      </c>
    </row>
    <row r="390" spans="1:5" x14ac:dyDescent="0.35">
      <c r="A390" s="3">
        <v>44219</v>
      </c>
      <c r="B390" s="1">
        <f t="shared" si="11"/>
        <v>6</v>
      </c>
      <c r="C390" s="10" t="s">
        <v>315</v>
      </c>
      <c r="D390" s="10" t="s">
        <v>313</v>
      </c>
      <c r="E390" s="10" t="s">
        <v>313</v>
      </c>
    </row>
    <row r="391" spans="1:5" x14ac:dyDescent="0.35">
      <c r="A391" s="3">
        <v>44220</v>
      </c>
      <c r="B391" s="1">
        <f t="shared" si="11"/>
        <v>7</v>
      </c>
      <c r="C391" s="10" t="s">
        <v>313</v>
      </c>
      <c r="D391" s="10" t="s">
        <v>313</v>
      </c>
      <c r="E391" s="10" t="s">
        <v>313</v>
      </c>
    </row>
    <row r="392" spans="1:5" x14ac:dyDescent="0.35">
      <c r="A392" s="3">
        <v>44221</v>
      </c>
      <c r="B392" s="1">
        <f t="shared" si="11"/>
        <v>1</v>
      </c>
      <c r="C392" s="10" t="s">
        <v>315</v>
      </c>
      <c r="D392" s="10" t="s">
        <v>315</v>
      </c>
      <c r="E392" s="10" t="s">
        <v>315</v>
      </c>
    </row>
    <row r="393" spans="1:5" x14ac:dyDescent="0.35">
      <c r="A393" s="3">
        <v>44222</v>
      </c>
      <c r="B393" s="1">
        <f t="shared" si="11"/>
        <v>2</v>
      </c>
      <c r="C393" s="10" t="s">
        <v>315</v>
      </c>
      <c r="D393" s="10" t="s">
        <v>315</v>
      </c>
      <c r="E393" s="10" t="s">
        <v>315</v>
      </c>
    </row>
    <row r="394" spans="1:5" x14ac:dyDescent="0.35">
      <c r="A394" s="3">
        <v>44223</v>
      </c>
      <c r="B394" s="1">
        <f t="shared" si="11"/>
        <v>3</v>
      </c>
      <c r="C394" s="10" t="s">
        <v>315</v>
      </c>
      <c r="D394" s="10" t="s">
        <v>315</v>
      </c>
      <c r="E394" s="10" t="s">
        <v>315</v>
      </c>
    </row>
    <row r="395" spans="1:5" x14ac:dyDescent="0.35">
      <c r="A395" s="3">
        <v>44224</v>
      </c>
      <c r="B395" s="1">
        <f t="shared" si="11"/>
        <v>4</v>
      </c>
      <c r="C395" s="10" t="s">
        <v>315</v>
      </c>
      <c r="D395" s="10" t="s">
        <v>315</v>
      </c>
      <c r="E395" s="10" t="s">
        <v>315</v>
      </c>
    </row>
    <row r="396" spans="1:5" x14ac:dyDescent="0.35">
      <c r="A396" s="3">
        <v>44225</v>
      </c>
      <c r="B396" s="1">
        <f t="shared" si="11"/>
        <v>5</v>
      </c>
      <c r="C396" s="10" t="s">
        <v>315</v>
      </c>
      <c r="D396" s="10" t="s">
        <v>315</v>
      </c>
      <c r="E396" s="10" t="s">
        <v>315</v>
      </c>
    </row>
    <row r="397" spans="1:5" x14ac:dyDescent="0.35">
      <c r="A397" s="3">
        <v>44226</v>
      </c>
      <c r="B397" s="1">
        <f t="shared" si="11"/>
        <v>6</v>
      </c>
      <c r="C397" s="10" t="s">
        <v>315</v>
      </c>
      <c r="D397" s="10" t="s">
        <v>313</v>
      </c>
      <c r="E397" s="10" t="s">
        <v>313</v>
      </c>
    </row>
    <row r="398" spans="1:5" x14ac:dyDescent="0.35">
      <c r="A398" s="3">
        <v>44227</v>
      </c>
      <c r="B398" s="1">
        <f t="shared" si="11"/>
        <v>7</v>
      </c>
      <c r="C398" s="10" t="s">
        <v>313</v>
      </c>
      <c r="D398" s="10" t="s">
        <v>313</v>
      </c>
      <c r="E398" s="10" t="s">
        <v>313</v>
      </c>
    </row>
    <row r="399" spans="1:5" x14ac:dyDescent="0.35">
      <c r="A399" s="3">
        <v>44228</v>
      </c>
      <c r="B399" s="1">
        <f t="shared" si="11"/>
        <v>1</v>
      </c>
      <c r="C399" s="10" t="s">
        <v>315</v>
      </c>
      <c r="D399" s="10" t="s">
        <v>315</v>
      </c>
      <c r="E399" s="10" t="s">
        <v>315</v>
      </c>
    </row>
    <row r="400" spans="1:5" x14ac:dyDescent="0.35">
      <c r="A400" s="3">
        <v>44229</v>
      </c>
      <c r="B400" s="1">
        <f t="shared" si="11"/>
        <v>2</v>
      </c>
      <c r="C400" s="10" t="s">
        <v>315</v>
      </c>
      <c r="D400" s="10" t="s">
        <v>315</v>
      </c>
      <c r="E400" s="10" t="s">
        <v>315</v>
      </c>
    </row>
    <row r="401" spans="1:5" x14ac:dyDescent="0.35">
      <c r="A401" s="3">
        <v>44230</v>
      </c>
      <c r="B401" s="1">
        <f t="shared" si="11"/>
        <v>3</v>
      </c>
      <c r="C401" s="10" t="s">
        <v>315</v>
      </c>
      <c r="D401" s="10" t="s">
        <v>315</v>
      </c>
      <c r="E401" s="10" t="s">
        <v>315</v>
      </c>
    </row>
    <row r="402" spans="1:5" x14ac:dyDescent="0.35">
      <c r="A402" s="3">
        <v>44231</v>
      </c>
      <c r="B402" s="1">
        <f t="shared" si="11"/>
        <v>4</v>
      </c>
      <c r="C402" s="10" t="s">
        <v>315</v>
      </c>
      <c r="D402" s="10" t="s">
        <v>315</v>
      </c>
      <c r="E402" s="10" t="s">
        <v>315</v>
      </c>
    </row>
    <row r="403" spans="1:5" x14ac:dyDescent="0.35">
      <c r="A403" s="3">
        <v>44232</v>
      </c>
      <c r="B403" s="1">
        <f t="shared" si="11"/>
        <v>5</v>
      </c>
      <c r="C403" s="10" t="s">
        <v>315</v>
      </c>
      <c r="D403" s="10" t="s">
        <v>315</v>
      </c>
      <c r="E403" s="10" t="s">
        <v>315</v>
      </c>
    </row>
    <row r="404" spans="1:5" x14ac:dyDescent="0.35">
      <c r="A404" s="3">
        <v>44233</v>
      </c>
      <c r="B404" s="1">
        <f t="shared" si="11"/>
        <v>6</v>
      </c>
      <c r="C404" s="10" t="s">
        <v>315</v>
      </c>
      <c r="D404" s="10" t="s">
        <v>313</v>
      </c>
      <c r="E404" s="10" t="s">
        <v>313</v>
      </c>
    </row>
    <row r="405" spans="1:5" x14ac:dyDescent="0.35">
      <c r="A405" s="3">
        <v>44234</v>
      </c>
      <c r="B405" s="1">
        <f t="shared" si="11"/>
        <v>7</v>
      </c>
      <c r="C405" s="10" t="s">
        <v>313</v>
      </c>
      <c r="D405" s="10" t="s">
        <v>313</v>
      </c>
      <c r="E405" s="10" t="s">
        <v>313</v>
      </c>
    </row>
    <row r="406" spans="1:5" x14ac:dyDescent="0.35">
      <c r="A406" s="3">
        <v>44235</v>
      </c>
      <c r="B406" s="1">
        <f t="shared" si="11"/>
        <v>1</v>
      </c>
      <c r="C406" s="10" t="s">
        <v>315</v>
      </c>
      <c r="D406" s="10" t="s">
        <v>315</v>
      </c>
      <c r="E406" s="10" t="s">
        <v>315</v>
      </c>
    </row>
    <row r="407" spans="1:5" x14ac:dyDescent="0.35">
      <c r="A407" s="3">
        <v>44236</v>
      </c>
      <c r="B407" s="1">
        <f t="shared" si="11"/>
        <v>2</v>
      </c>
      <c r="C407" s="10" t="s">
        <v>315</v>
      </c>
      <c r="D407" s="10" t="s">
        <v>315</v>
      </c>
      <c r="E407" s="10" t="s">
        <v>315</v>
      </c>
    </row>
    <row r="408" spans="1:5" x14ac:dyDescent="0.35">
      <c r="A408" s="3">
        <v>44237</v>
      </c>
      <c r="B408" s="1">
        <f t="shared" si="11"/>
        <v>3</v>
      </c>
      <c r="C408" s="10" t="s">
        <v>315</v>
      </c>
      <c r="D408" s="10" t="s">
        <v>315</v>
      </c>
      <c r="E408" s="10" t="s">
        <v>315</v>
      </c>
    </row>
    <row r="409" spans="1:5" x14ac:dyDescent="0.35">
      <c r="A409" s="3">
        <v>44238</v>
      </c>
      <c r="B409" s="1">
        <f t="shared" si="11"/>
        <v>4</v>
      </c>
      <c r="C409" s="10" t="s">
        <v>315</v>
      </c>
      <c r="D409" s="10" t="s">
        <v>315</v>
      </c>
      <c r="E409" s="10" t="s">
        <v>315</v>
      </c>
    </row>
    <row r="410" spans="1:5" x14ac:dyDescent="0.35">
      <c r="A410" s="3">
        <v>44239</v>
      </c>
      <c r="B410" s="1">
        <f t="shared" si="11"/>
        <v>5</v>
      </c>
      <c r="C410" s="10" t="s">
        <v>315</v>
      </c>
      <c r="D410" s="10" t="s">
        <v>315</v>
      </c>
      <c r="E410" s="10" t="s">
        <v>315</v>
      </c>
    </row>
    <row r="411" spans="1:5" x14ac:dyDescent="0.35">
      <c r="A411" s="3">
        <v>44240</v>
      </c>
      <c r="B411" s="1">
        <f t="shared" si="11"/>
        <v>6</v>
      </c>
      <c r="C411" s="10" t="s">
        <v>315</v>
      </c>
      <c r="D411" s="10" t="s">
        <v>313</v>
      </c>
      <c r="E411" s="10" t="s">
        <v>313</v>
      </c>
    </row>
    <row r="412" spans="1:5" x14ac:dyDescent="0.35">
      <c r="A412" s="3">
        <v>44241</v>
      </c>
      <c r="B412" s="1">
        <f t="shared" si="11"/>
        <v>7</v>
      </c>
      <c r="C412" s="10" t="s">
        <v>313</v>
      </c>
      <c r="D412" s="10" t="s">
        <v>313</v>
      </c>
      <c r="E412" s="10" t="s">
        <v>313</v>
      </c>
    </row>
    <row r="413" spans="1:5" x14ac:dyDescent="0.35">
      <c r="A413" s="3">
        <v>44242</v>
      </c>
      <c r="B413" s="1">
        <f t="shared" si="11"/>
        <v>1</v>
      </c>
      <c r="C413" s="10" t="s">
        <v>315</v>
      </c>
      <c r="D413" s="10" t="s">
        <v>315</v>
      </c>
      <c r="E413" s="10" t="s">
        <v>315</v>
      </c>
    </row>
    <row r="414" spans="1:5" x14ac:dyDescent="0.35">
      <c r="A414" s="3">
        <v>44243</v>
      </c>
      <c r="B414" s="1">
        <f t="shared" si="11"/>
        <v>2</v>
      </c>
      <c r="C414" s="10" t="s">
        <v>315</v>
      </c>
      <c r="D414" s="10" t="s">
        <v>315</v>
      </c>
      <c r="E414" s="10" t="s">
        <v>315</v>
      </c>
    </row>
    <row r="415" spans="1:5" x14ac:dyDescent="0.35">
      <c r="A415" s="3">
        <v>44244</v>
      </c>
      <c r="B415" s="1">
        <f t="shared" si="11"/>
        <v>3</v>
      </c>
      <c r="C415" s="10" t="s">
        <v>315</v>
      </c>
      <c r="D415" s="10" t="s">
        <v>315</v>
      </c>
      <c r="E415" s="10" t="s">
        <v>315</v>
      </c>
    </row>
    <row r="416" spans="1:5" x14ac:dyDescent="0.35">
      <c r="A416" s="3">
        <v>44245</v>
      </c>
      <c r="B416" s="1">
        <f t="shared" ref="B416:B479" si="12">IF(A416&gt;0,WEEKDAY(A416,2),"")</f>
        <v>4</v>
      </c>
      <c r="C416" s="10" t="s">
        <v>315</v>
      </c>
      <c r="D416" s="10" t="s">
        <v>315</v>
      </c>
      <c r="E416" s="10" t="s">
        <v>315</v>
      </c>
    </row>
    <row r="417" spans="1:5" x14ac:dyDescent="0.35">
      <c r="A417" s="3">
        <v>44246</v>
      </c>
      <c r="B417" s="1">
        <f t="shared" si="12"/>
        <v>5</v>
      </c>
      <c r="C417" s="10" t="s">
        <v>315</v>
      </c>
      <c r="D417" s="10" t="s">
        <v>315</v>
      </c>
      <c r="E417" s="10" t="s">
        <v>315</v>
      </c>
    </row>
    <row r="418" spans="1:5" x14ac:dyDescent="0.35">
      <c r="A418" s="3">
        <v>44247</v>
      </c>
      <c r="B418" s="1">
        <f t="shared" si="12"/>
        <v>6</v>
      </c>
      <c r="C418" s="10" t="s">
        <v>315</v>
      </c>
      <c r="D418" s="10" t="s">
        <v>313</v>
      </c>
      <c r="E418" s="10" t="s">
        <v>313</v>
      </c>
    </row>
    <row r="419" spans="1:5" x14ac:dyDescent="0.35">
      <c r="A419" s="3">
        <v>44248</v>
      </c>
      <c r="B419" s="1">
        <f t="shared" si="12"/>
        <v>7</v>
      </c>
      <c r="C419" s="10" t="s">
        <v>313</v>
      </c>
      <c r="D419" s="10" t="s">
        <v>313</v>
      </c>
      <c r="E419" s="10" t="s">
        <v>313</v>
      </c>
    </row>
    <row r="420" spans="1:5" x14ac:dyDescent="0.35">
      <c r="A420" s="3">
        <v>44249</v>
      </c>
      <c r="B420" s="1">
        <f t="shared" si="12"/>
        <v>1</v>
      </c>
      <c r="C420" s="10" t="s">
        <v>315</v>
      </c>
      <c r="D420" s="10" t="s">
        <v>315</v>
      </c>
      <c r="E420" s="10" t="s">
        <v>315</v>
      </c>
    </row>
    <row r="421" spans="1:5" x14ac:dyDescent="0.35">
      <c r="A421" s="3">
        <v>44250</v>
      </c>
      <c r="B421" s="1">
        <f t="shared" si="12"/>
        <v>2</v>
      </c>
      <c r="C421" s="10" t="s">
        <v>315</v>
      </c>
      <c r="D421" s="10" t="s">
        <v>315</v>
      </c>
      <c r="E421" s="10" t="s">
        <v>315</v>
      </c>
    </row>
    <row r="422" spans="1:5" x14ac:dyDescent="0.35">
      <c r="A422" s="3">
        <v>44251</v>
      </c>
      <c r="B422" s="1">
        <f t="shared" si="12"/>
        <v>3</v>
      </c>
      <c r="C422" s="10" t="s">
        <v>315</v>
      </c>
      <c r="D422" s="10" t="s">
        <v>315</v>
      </c>
      <c r="E422" s="10" t="s">
        <v>315</v>
      </c>
    </row>
    <row r="423" spans="1:5" x14ac:dyDescent="0.35">
      <c r="A423" s="3">
        <v>44252</v>
      </c>
      <c r="B423" s="1">
        <f t="shared" si="12"/>
        <v>4</v>
      </c>
      <c r="C423" s="10" t="s">
        <v>315</v>
      </c>
      <c r="D423" s="10" t="s">
        <v>315</v>
      </c>
      <c r="E423" s="10" t="s">
        <v>315</v>
      </c>
    </row>
    <row r="424" spans="1:5" x14ac:dyDescent="0.35">
      <c r="A424" s="3">
        <v>44253</v>
      </c>
      <c r="B424" s="1">
        <f t="shared" si="12"/>
        <v>5</v>
      </c>
      <c r="C424" s="10" t="s">
        <v>315</v>
      </c>
      <c r="D424" s="10" t="s">
        <v>315</v>
      </c>
      <c r="E424" s="10" t="s">
        <v>315</v>
      </c>
    </row>
    <row r="425" spans="1:5" x14ac:dyDescent="0.35">
      <c r="A425" s="3">
        <v>44254</v>
      </c>
      <c r="B425" s="1">
        <f t="shared" si="12"/>
        <v>6</v>
      </c>
      <c r="C425" s="10" t="s">
        <v>315</v>
      </c>
      <c r="D425" s="10" t="s">
        <v>313</v>
      </c>
      <c r="E425" s="10" t="s">
        <v>313</v>
      </c>
    </row>
    <row r="426" spans="1:5" x14ac:dyDescent="0.35">
      <c r="A426" s="3">
        <v>44255</v>
      </c>
      <c r="B426" s="1">
        <f t="shared" si="12"/>
        <v>7</v>
      </c>
      <c r="C426" s="10" t="s">
        <v>313</v>
      </c>
      <c r="D426" s="10" t="s">
        <v>313</v>
      </c>
      <c r="E426" s="10" t="s">
        <v>313</v>
      </c>
    </row>
    <row r="427" spans="1:5" x14ac:dyDescent="0.35">
      <c r="A427" s="3">
        <v>44256</v>
      </c>
      <c r="B427" s="1">
        <f t="shared" si="12"/>
        <v>1</v>
      </c>
      <c r="C427" s="10" t="s">
        <v>315</v>
      </c>
      <c r="D427" s="10" t="s">
        <v>315</v>
      </c>
      <c r="E427" s="10" t="s">
        <v>315</v>
      </c>
    </row>
    <row r="428" spans="1:5" x14ac:dyDescent="0.35">
      <c r="A428" s="3">
        <v>44257</v>
      </c>
      <c r="B428" s="1">
        <f t="shared" si="12"/>
        <v>2</v>
      </c>
      <c r="C428" s="10" t="s">
        <v>315</v>
      </c>
      <c r="D428" s="10" t="s">
        <v>315</v>
      </c>
      <c r="E428" s="10" t="s">
        <v>315</v>
      </c>
    </row>
    <row r="429" spans="1:5" x14ac:dyDescent="0.35">
      <c r="A429" s="3">
        <v>44258</v>
      </c>
      <c r="B429" s="1">
        <f t="shared" si="12"/>
        <v>3</v>
      </c>
      <c r="C429" s="10" t="s">
        <v>315</v>
      </c>
      <c r="D429" s="10" t="s">
        <v>315</v>
      </c>
      <c r="E429" s="10" t="s">
        <v>315</v>
      </c>
    </row>
    <row r="430" spans="1:5" x14ac:dyDescent="0.35">
      <c r="A430" s="3">
        <v>44259</v>
      </c>
      <c r="B430" s="1">
        <f t="shared" si="12"/>
        <v>4</v>
      </c>
      <c r="C430" s="10" t="s">
        <v>315</v>
      </c>
      <c r="D430" s="10" t="s">
        <v>315</v>
      </c>
      <c r="E430" s="10" t="s">
        <v>315</v>
      </c>
    </row>
    <row r="431" spans="1:5" x14ac:dyDescent="0.35">
      <c r="A431" s="3">
        <v>44260</v>
      </c>
      <c r="B431" s="1">
        <f t="shared" si="12"/>
        <v>5</v>
      </c>
      <c r="C431" s="10" t="s">
        <v>315</v>
      </c>
      <c r="D431" s="10" t="s">
        <v>315</v>
      </c>
      <c r="E431" s="10" t="s">
        <v>315</v>
      </c>
    </row>
    <row r="432" spans="1:5" x14ac:dyDescent="0.35">
      <c r="A432" s="3">
        <v>44261</v>
      </c>
      <c r="B432" s="1">
        <f t="shared" si="12"/>
        <v>6</v>
      </c>
      <c r="C432" s="10" t="s">
        <v>315</v>
      </c>
      <c r="D432" s="10" t="s">
        <v>313</v>
      </c>
      <c r="E432" s="10" t="s">
        <v>313</v>
      </c>
    </row>
    <row r="433" spans="1:5" x14ac:dyDescent="0.35">
      <c r="A433" s="3">
        <v>44262</v>
      </c>
      <c r="B433" s="1">
        <f t="shared" si="12"/>
        <v>7</v>
      </c>
      <c r="C433" s="10" t="s">
        <v>313</v>
      </c>
      <c r="D433" s="10" t="s">
        <v>313</v>
      </c>
      <c r="E433" s="10" t="s">
        <v>313</v>
      </c>
    </row>
    <row r="434" spans="1:5" x14ac:dyDescent="0.35">
      <c r="A434" s="3">
        <v>44263</v>
      </c>
      <c r="B434" s="1">
        <f t="shared" si="12"/>
        <v>1</v>
      </c>
      <c r="C434" s="10" t="s">
        <v>315</v>
      </c>
      <c r="D434" s="10" t="s">
        <v>315</v>
      </c>
      <c r="E434" s="10" t="s">
        <v>315</v>
      </c>
    </row>
    <row r="435" spans="1:5" x14ac:dyDescent="0.35">
      <c r="A435" s="3">
        <v>44264</v>
      </c>
      <c r="B435" s="1">
        <f t="shared" si="12"/>
        <v>2</v>
      </c>
      <c r="C435" s="10" t="s">
        <v>315</v>
      </c>
      <c r="D435" s="10" t="s">
        <v>315</v>
      </c>
      <c r="E435" s="10" t="s">
        <v>315</v>
      </c>
    </row>
    <row r="436" spans="1:5" x14ac:dyDescent="0.35">
      <c r="A436" s="3">
        <v>44265</v>
      </c>
      <c r="B436" s="1">
        <f t="shared" si="12"/>
        <v>3</v>
      </c>
      <c r="C436" s="10" t="s">
        <v>315</v>
      </c>
      <c r="D436" s="10" t="s">
        <v>315</v>
      </c>
      <c r="E436" s="10" t="s">
        <v>315</v>
      </c>
    </row>
    <row r="437" spans="1:5" x14ac:dyDescent="0.35">
      <c r="A437" s="3">
        <v>44266</v>
      </c>
      <c r="B437" s="1">
        <f t="shared" si="12"/>
        <v>4</v>
      </c>
      <c r="C437" s="10" t="s">
        <v>315</v>
      </c>
      <c r="D437" s="10" t="s">
        <v>315</v>
      </c>
      <c r="E437" s="10" t="s">
        <v>315</v>
      </c>
    </row>
    <row r="438" spans="1:5" x14ac:dyDescent="0.35">
      <c r="A438" s="3">
        <v>44267</v>
      </c>
      <c r="B438" s="1">
        <f t="shared" si="12"/>
        <v>5</v>
      </c>
      <c r="C438" s="10" t="s">
        <v>315</v>
      </c>
      <c r="D438" s="10" t="s">
        <v>315</v>
      </c>
      <c r="E438" s="10" t="s">
        <v>315</v>
      </c>
    </row>
    <row r="439" spans="1:5" x14ac:dyDescent="0.35">
      <c r="A439" s="3">
        <v>44268</v>
      </c>
      <c r="B439" s="1">
        <f t="shared" si="12"/>
        <v>6</v>
      </c>
      <c r="C439" s="10" t="s">
        <v>315</v>
      </c>
      <c r="D439" s="10" t="s">
        <v>313</v>
      </c>
      <c r="E439" s="10" t="s">
        <v>313</v>
      </c>
    </row>
    <row r="440" spans="1:5" x14ac:dyDescent="0.35">
      <c r="A440" s="3">
        <v>44269</v>
      </c>
      <c r="B440" s="1">
        <f t="shared" si="12"/>
        <v>7</v>
      </c>
      <c r="C440" s="10" t="s">
        <v>313</v>
      </c>
      <c r="D440" s="10" t="s">
        <v>313</v>
      </c>
      <c r="E440" s="10" t="s">
        <v>313</v>
      </c>
    </row>
    <row r="441" spans="1:5" x14ac:dyDescent="0.35">
      <c r="A441" s="3">
        <v>44270</v>
      </c>
      <c r="B441" s="1">
        <f t="shared" si="12"/>
        <v>1</v>
      </c>
      <c r="C441" s="10" t="s">
        <v>315</v>
      </c>
      <c r="D441" s="10" t="s">
        <v>315</v>
      </c>
      <c r="E441" s="10" t="s">
        <v>315</v>
      </c>
    </row>
    <row r="442" spans="1:5" x14ac:dyDescent="0.35">
      <c r="A442" s="3">
        <v>44271</v>
      </c>
      <c r="B442" s="1">
        <f t="shared" si="12"/>
        <v>2</v>
      </c>
      <c r="C442" s="10" t="s">
        <v>315</v>
      </c>
      <c r="D442" s="10" t="s">
        <v>315</v>
      </c>
      <c r="E442" s="10" t="s">
        <v>315</v>
      </c>
    </row>
    <row r="443" spans="1:5" x14ac:dyDescent="0.35">
      <c r="A443" s="3">
        <v>44272</v>
      </c>
      <c r="B443" s="1">
        <f t="shared" si="12"/>
        <v>3</v>
      </c>
      <c r="C443" s="10" t="s">
        <v>315</v>
      </c>
      <c r="D443" s="10" t="s">
        <v>315</v>
      </c>
      <c r="E443" s="10" t="s">
        <v>315</v>
      </c>
    </row>
    <row r="444" spans="1:5" x14ac:dyDescent="0.35">
      <c r="A444" s="3">
        <v>44273</v>
      </c>
      <c r="B444" s="1">
        <f t="shared" si="12"/>
        <v>4</v>
      </c>
      <c r="C444" s="10" t="s">
        <v>315</v>
      </c>
      <c r="D444" s="10" t="s">
        <v>315</v>
      </c>
      <c r="E444" s="10" t="s">
        <v>315</v>
      </c>
    </row>
    <row r="445" spans="1:5" x14ac:dyDescent="0.35">
      <c r="A445" s="3">
        <v>44274</v>
      </c>
      <c r="B445" s="1">
        <f t="shared" si="12"/>
        <v>5</v>
      </c>
      <c r="C445" s="10" t="s">
        <v>315</v>
      </c>
      <c r="D445" s="10" t="s">
        <v>315</v>
      </c>
      <c r="E445" s="10" t="s">
        <v>315</v>
      </c>
    </row>
    <row r="446" spans="1:5" x14ac:dyDescent="0.35">
      <c r="A446" s="3">
        <v>44275</v>
      </c>
      <c r="B446" s="1">
        <f t="shared" si="12"/>
        <v>6</v>
      </c>
      <c r="C446" s="10" t="s">
        <v>315</v>
      </c>
      <c r="D446" s="10" t="s">
        <v>313</v>
      </c>
      <c r="E446" s="10" t="s">
        <v>313</v>
      </c>
    </row>
    <row r="447" spans="1:5" x14ac:dyDescent="0.35">
      <c r="A447" s="3">
        <v>44276</v>
      </c>
      <c r="B447" s="1">
        <f t="shared" si="12"/>
        <v>7</v>
      </c>
      <c r="C447" s="10" t="s">
        <v>313</v>
      </c>
      <c r="D447" s="10" t="s">
        <v>313</v>
      </c>
      <c r="E447" s="10" t="s">
        <v>313</v>
      </c>
    </row>
    <row r="448" spans="1:5" x14ac:dyDescent="0.35">
      <c r="A448" s="3">
        <v>44277</v>
      </c>
      <c r="B448" s="1">
        <f t="shared" si="12"/>
        <v>1</v>
      </c>
      <c r="C448" s="10" t="s">
        <v>315</v>
      </c>
      <c r="D448" s="10" t="s">
        <v>315</v>
      </c>
      <c r="E448" s="10" t="s">
        <v>315</v>
      </c>
    </row>
    <row r="449" spans="1:5" x14ac:dyDescent="0.35">
      <c r="A449" s="3">
        <v>44278</v>
      </c>
      <c r="B449" s="1">
        <f t="shared" si="12"/>
        <v>2</v>
      </c>
      <c r="C449" s="10" t="s">
        <v>315</v>
      </c>
      <c r="D449" s="10" t="s">
        <v>315</v>
      </c>
      <c r="E449" s="10" t="s">
        <v>315</v>
      </c>
    </row>
    <row r="450" spans="1:5" x14ac:dyDescent="0.35">
      <c r="A450" s="3">
        <v>44279</v>
      </c>
      <c r="B450" s="1">
        <f t="shared" si="12"/>
        <v>3</v>
      </c>
      <c r="C450" s="10" t="s">
        <v>315</v>
      </c>
      <c r="D450" s="10" t="s">
        <v>315</v>
      </c>
      <c r="E450" s="10" t="s">
        <v>315</v>
      </c>
    </row>
    <row r="451" spans="1:5" x14ac:dyDescent="0.35">
      <c r="A451" s="3">
        <v>44280</v>
      </c>
      <c r="B451" s="1">
        <f t="shared" si="12"/>
        <v>4</v>
      </c>
      <c r="C451" s="10" t="s">
        <v>315</v>
      </c>
      <c r="D451" s="10" t="s">
        <v>315</v>
      </c>
      <c r="E451" s="10" t="s">
        <v>315</v>
      </c>
    </row>
    <row r="452" spans="1:5" x14ac:dyDescent="0.35">
      <c r="A452" s="3">
        <v>44281</v>
      </c>
      <c r="B452" s="1">
        <f t="shared" si="12"/>
        <v>5</v>
      </c>
      <c r="C452" s="10" t="s">
        <v>315</v>
      </c>
      <c r="D452" s="10" t="s">
        <v>315</v>
      </c>
      <c r="E452" s="10" t="s">
        <v>315</v>
      </c>
    </row>
    <row r="453" spans="1:5" x14ac:dyDescent="0.35">
      <c r="A453" s="3">
        <v>44282</v>
      </c>
      <c r="B453" s="1">
        <f t="shared" si="12"/>
        <v>6</v>
      </c>
      <c r="C453" s="10" t="s">
        <v>315</v>
      </c>
      <c r="D453" s="10" t="s">
        <v>313</v>
      </c>
      <c r="E453" s="10" t="s">
        <v>313</v>
      </c>
    </row>
    <row r="454" spans="1:5" x14ac:dyDescent="0.35">
      <c r="A454" s="3">
        <v>44283</v>
      </c>
      <c r="B454" s="1">
        <f t="shared" si="12"/>
        <v>7</v>
      </c>
      <c r="C454" s="10" t="s">
        <v>313</v>
      </c>
      <c r="D454" s="10" t="s">
        <v>313</v>
      </c>
      <c r="E454" s="10" t="s">
        <v>313</v>
      </c>
    </row>
    <row r="455" spans="1:5" x14ac:dyDescent="0.35">
      <c r="A455" s="3">
        <v>44284</v>
      </c>
      <c r="B455" s="1">
        <f t="shared" si="12"/>
        <v>1</v>
      </c>
      <c r="C455" s="10" t="s">
        <v>315</v>
      </c>
      <c r="D455" s="10" t="s">
        <v>315</v>
      </c>
      <c r="E455" s="10" t="s">
        <v>315</v>
      </c>
    </row>
    <row r="456" spans="1:5" x14ac:dyDescent="0.35">
      <c r="A456" s="3">
        <v>44285</v>
      </c>
      <c r="B456" s="1">
        <f t="shared" si="12"/>
        <v>2</v>
      </c>
      <c r="C456" s="10" t="s">
        <v>315</v>
      </c>
      <c r="D456" s="10" t="s">
        <v>315</v>
      </c>
      <c r="E456" s="10" t="s">
        <v>315</v>
      </c>
    </row>
    <row r="457" spans="1:5" x14ac:dyDescent="0.35">
      <c r="A457" s="3">
        <v>44286</v>
      </c>
      <c r="B457" s="1">
        <f t="shared" si="12"/>
        <v>3</v>
      </c>
      <c r="C457" s="10" t="s">
        <v>315</v>
      </c>
      <c r="D457" s="10" t="s">
        <v>315</v>
      </c>
      <c r="E457" s="10" t="s">
        <v>315</v>
      </c>
    </row>
    <row r="458" spans="1:5" x14ac:dyDescent="0.35">
      <c r="A458" s="3">
        <v>44287</v>
      </c>
      <c r="B458" s="1">
        <f t="shared" si="12"/>
        <v>4</v>
      </c>
      <c r="C458" s="10" t="s">
        <v>315</v>
      </c>
      <c r="D458" s="10" t="s">
        <v>315</v>
      </c>
      <c r="E458" s="10" t="s">
        <v>315</v>
      </c>
    </row>
    <row r="459" spans="1:5" x14ac:dyDescent="0.35">
      <c r="A459" s="3">
        <v>44288</v>
      </c>
      <c r="B459" s="1">
        <f t="shared" si="12"/>
        <v>5</v>
      </c>
      <c r="C459" s="10" t="s">
        <v>315</v>
      </c>
      <c r="D459" s="10" t="s">
        <v>315</v>
      </c>
      <c r="E459" s="10" t="s">
        <v>315</v>
      </c>
    </row>
    <row r="460" spans="1:5" x14ac:dyDescent="0.35">
      <c r="A460" s="3">
        <v>44289</v>
      </c>
      <c r="B460" s="1">
        <f t="shared" si="12"/>
        <v>6</v>
      </c>
      <c r="C460" s="10" t="s">
        <v>315</v>
      </c>
      <c r="D460" s="10" t="s">
        <v>313</v>
      </c>
      <c r="E460" s="10" t="s">
        <v>313</v>
      </c>
    </row>
    <row r="461" spans="1:5" x14ac:dyDescent="0.35">
      <c r="A461" s="3">
        <v>44290</v>
      </c>
      <c r="B461" s="1">
        <f t="shared" si="12"/>
        <v>7</v>
      </c>
      <c r="C461" s="10" t="s">
        <v>313</v>
      </c>
      <c r="D461" s="10" t="s">
        <v>313</v>
      </c>
      <c r="E461" s="10" t="s">
        <v>313</v>
      </c>
    </row>
    <row r="462" spans="1:5" x14ac:dyDescent="0.35">
      <c r="A462" s="3">
        <v>44291</v>
      </c>
      <c r="B462" s="1">
        <f t="shared" si="12"/>
        <v>1</v>
      </c>
      <c r="C462" s="10" t="s">
        <v>315</v>
      </c>
      <c r="D462" s="10" t="s">
        <v>315</v>
      </c>
      <c r="E462" s="10" t="s">
        <v>315</v>
      </c>
    </row>
    <row r="463" spans="1:5" x14ac:dyDescent="0.35">
      <c r="A463" s="3">
        <v>44292</v>
      </c>
      <c r="B463" s="1">
        <f t="shared" si="12"/>
        <v>2</v>
      </c>
      <c r="C463" s="10" t="s">
        <v>315</v>
      </c>
      <c r="D463" s="10" t="s">
        <v>315</v>
      </c>
      <c r="E463" s="10" t="s">
        <v>315</v>
      </c>
    </row>
    <row r="464" spans="1:5" x14ac:dyDescent="0.35">
      <c r="A464" s="3">
        <v>44293</v>
      </c>
      <c r="B464" s="1">
        <f t="shared" si="12"/>
        <v>3</v>
      </c>
      <c r="C464" s="10" t="s">
        <v>315</v>
      </c>
      <c r="D464" s="10" t="s">
        <v>315</v>
      </c>
      <c r="E464" s="10" t="s">
        <v>315</v>
      </c>
    </row>
    <row r="465" spans="1:5" x14ac:dyDescent="0.35">
      <c r="A465" s="3">
        <v>44294</v>
      </c>
      <c r="B465" s="1">
        <f t="shared" si="12"/>
        <v>4</v>
      </c>
      <c r="C465" s="10" t="s">
        <v>315</v>
      </c>
      <c r="D465" s="10" t="s">
        <v>315</v>
      </c>
      <c r="E465" s="10" t="s">
        <v>315</v>
      </c>
    </row>
    <row r="466" spans="1:5" x14ac:dyDescent="0.35">
      <c r="A466" s="3">
        <v>44295</v>
      </c>
      <c r="B466" s="1">
        <f t="shared" si="12"/>
        <v>5</v>
      </c>
      <c r="C466" s="10" t="s">
        <v>315</v>
      </c>
      <c r="D466" s="10" t="s">
        <v>315</v>
      </c>
      <c r="E466" s="10" t="s">
        <v>315</v>
      </c>
    </row>
    <row r="467" spans="1:5" x14ac:dyDescent="0.35">
      <c r="A467" s="3">
        <v>44296</v>
      </c>
      <c r="B467" s="1">
        <f t="shared" si="12"/>
        <v>6</v>
      </c>
      <c r="C467" s="10" t="s">
        <v>315</v>
      </c>
      <c r="D467" s="10" t="s">
        <v>313</v>
      </c>
      <c r="E467" s="10" t="s">
        <v>313</v>
      </c>
    </row>
    <row r="468" spans="1:5" x14ac:dyDescent="0.35">
      <c r="A468" s="3">
        <v>44297</v>
      </c>
      <c r="B468" s="1">
        <f t="shared" si="12"/>
        <v>7</v>
      </c>
      <c r="C468" s="10" t="s">
        <v>313</v>
      </c>
      <c r="D468" s="10" t="s">
        <v>313</v>
      </c>
      <c r="E468" s="10" t="s">
        <v>313</v>
      </c>
    </row>
    <row r="469" spans="1:5" x14ac:dyDescent="0.35">
      <c r="A469" s="3">
        <v>44298</v>
      </c>
      <c r="B469" s="1">
        <f t="shared" si="12"/>
        <v>1</v>
      </c>
      <c r="C469" s="10" t="s">
        <v>315</v>
      </c>
      <c r="D469" s="10" t="s">
        <v>315</v>
      </c>
      <c r="E469" s="10" t="s">
        <v>315</v>
      </c>
    </row>
    <row r="470" spans="1:5" x14ac:dyDescent="0.35">
      <c r="A470" s="3">
        <v>44299</v>
      </c>
      <c r="B470" s="1">
        <f t="shared" si="12"/>
        <v>2</v>
      </c>
      <c r="C470" s="10" t="s">
        <v>315</v>
      </c>
      <c r="D470" s="10" t="s">
        <v>315</v>
      </c>
      <c r="E470" s="10" t="s">
        <v>315</v>
      </c>
    </row>
    <row r="471" spans="1:5" x14ac:dyDescent="0.35">
      <c r="A471" s="3">
        <v>44300</v>
      </c>
      <c r="B471" s="1">
        <f t="shared" si="12"/>
        <v>3</v>
      </c>
      <c r="C471" s="10" t="s">
        <v>315</v>
      </c>
      <c r="D471" s="10" t="s">
        <v>315</v>
      </c>
      <c r="E471" s="10" t="s">
        <v>315</v>
      </c>
    </row>
    <row r="472" spans="1:5" x14ac:dyDescent="0.35">
      <c r="A472" s="3">
        <v>44301</v>
      </c>
      <c r="B472" s="1">
        <f t="shared" si="12"/>
        <v>4</v>
      </c>
      <c r="C472" s="10" t="s">
        <v>315</v>
      </c>
      <c r="D472" s="10" t="s">
        <v>315</v>
      </c>
      <c r="E472" s="10" t="s">
        <v>315</v>
      </c>
    </row>
    <row r="473" spans="1:5" x14ac:dyDescent="0.35">
      <c r="A473" s="3">
        <v>44302</v>
      </c>
      <c r="B473" s="1">
        <f t="shared" si="12"/>
        <v>5</v>
      </c>
      <c r="C473" s="10" t="s">
        <v>315</v>
      </c>
      <c r="D473" s="10" t="s">
        <v>315</v>
      </c>
      <c r="E473" s="10" t="s">
        <v>315</v>
      </c>
    </row>
    <row r="474" spans="1:5" x14ac:dyDescent="0.35">
      <c r="A474" s="3">
        <v>44303</v>
      </c>
      <c r="B474" s="1">
        <f t="shared" si="12"/>
        <v>6</v>
      </c>
      <c r="C474" s="10" t="s">
        <v>315</v>
      </c>
      <c r="D474" s="10" t="s">
        <v>313</v>
      </c>
      <c r="E474" s="10" t="s">
        <v>313</v>
      </c>
    </row>
    <row r="475" spans="1:5" x14ac:dyDescent="0.35">
      <c r="A475" s="3">
        <v>44304</v>
      </c>
      <c r="B475" s="1">
        <f t="shared" si="12"/>
        <v>7</v>
      </c>
      <c r="C475" s="10" t="s">
        <v>313</v>
      </c>
      <c r="D475" s="10" t="s">
        <v>313</v>
      </c>
      <c r="E475" s="10" t="s">
        <v>313</v>
      </c>
    </row>
    <row r="476" spans="1:5" x14ac:dyDescent="0.35">
      <c r="A476" s="3">
        <v>44305</v>
      </c>
      <c r="B476" s="1">
        <f t="shared" si="12"/>
        <v>1</v>
      </c>
      <c r="C476" s="10" t="s">
        <v>315</v>
      </c>
      <c r="D476" s="10" t="s">
        <v>315</v>
      </c>
      <c r="E476" s="10" t="s">
        <v>315</v>
      </c>
    </row>
    <row r="477" spans="1:5" x14ac:dyDescent="0.35">
      <c r="A477" s="3">
        <v>44306</v>
      </c>
      <c r="B477" s="1">
        <f t="shared" si="12"/>
        <v>2</v>
      </c>
      <c r="C477" s="10" t="s">
        <v>315</v>
      </c>
      <c r="D477" s="10" t="s">
        <v>315</v>
      </c>
      <c r="E477" s="10" t="s">
        <v>315</v>
      </c>
    </row>
    <row r="478" spans="1:5" x14ac:dyDescent="0.35">
      <c r="A478" s="3">
        <v>44307</v>
      </c>
      <c r="B478" s="1">
        <f t="shared" si="12"/>
        <v>3</v>
      </c>
      <c r="C478" s="10" t="s">
        <v>315</v>
      </c>
      <c r="D478" s="10" t="s">
        <v>315</v>
      </c>
      <c r="E478" s="10" t="s">
        <v>315</v>
      </c>
    </row>
    <row r="479" spans="1:5" x14ac:dyDescent="0.35">
      <c r="A479" s="3">
        <v>44308</v>
      </c>
      <c r="B479" s="1">
        <f t="shared" si="12"/>
        <v>4</v>
      </c>
      <c r="C479" s="10" t="s">
        <v>315</v>
      </c>
      <c r="D479" s="10" t="s">
        <v>315</v>
      </c>
      <c r="E479" s="10" t="s">
        <v>315</v>
      </c>
    </row>
    <row r="480" spans="1:5" x14ac:dyDescent="0.35">
      <c r="A480" s="3">
        <v>44309</v>
      </c>
      <c r="B480" s="1">
        <f t="shared" ref="B480:B543" si="13">IF(A480&gt;0,WEEKDAY(A480,2),"")</f>
        <v>5</v>
      </c>
      <c r="C480" s="10" t="s">
        <v>315</v>
      </c>
      <c r="D480" s="10" t="s">
        <v>315</v>
      </c>
      <c r="E480" s="10" t="s">
        <v>315</v>
      </c>
    </row>
    <row r="481" spans="1:5" x14ac:dyDescent="0.35">
      <c r="A481" s="3">
        <v>44310</v>
      </c>
      <c r="B481" s="1">
        <f t="shared" si="13"/>
        <v>6</v>
      </c>
      <c r="C481" s="10" t="s">
        <v>315</v>
      </c>
      <c r="D481" s="10" t="s">
        <v>313</v>
      </c>
      <c r="E481" s="10" t="s">
        <v>313</v>
      </c>
    </row>
    <row r="482" spans="1:5" x14ac:dyDescent="0.35">
      <c r="A482" s="3">
        <v>44311</v>
      </c>
      <c r="B482" s="1">
        <f t="shared" si="13"/>
        <v>7</v>
      </c>
      <c r="C482" s="10" t="s">
        <v>313</v>
      </c>
      <c r="D482" s="10" t="s">
        <v>313</v>
      </c>
      <c r="E482" s="10" t="s">
        <v>313</v>
      </c>
    </row>
    <row r="483" spans="1:5" x14ac:dyDescent="0.35">
      <c r="A483" s="3">
        <v>44312</v>
      </c>
      <c r="B483" s="1">
        <f t="shared" si="13"/>
        <v>1</v>
      </c>
      <c r="C483" s="10" t="s">
        <v>315</v>
      </c>
      <c r="D483" s="10" t="s">
        <v>315</v>
      </c>
      <c r="E483" s="10" t="s">
        <v>315</v>
      </c>
    </row>
    <row r="484" spans="1:5" x14ac:dyDescent="0.35">
      <c r="A484" s="3">
        <v>44313</v>
      </c>
      <c r="B484" s="1">
        <f t="shared" si="13"/>
        <v>2</v>
      </c>
      <c r="C484" s="10" t="s">
        <v>315</v>
      </c>
      <c r="D484" s="10" t="s">
        <v>315</v>
      </c>
      <c r="E484" s="10" t="s">
        <v>315</v>
      </c>
    </row>
    <row r="485" spans="1:5" x14ac:dyDescent="0.35">
      <c r="A485" s="3">
        <v>44314</v>
      </c>
      <c r="B485" s="1">
        <f t="shared" si="13"/>
        <v>3</v>
      </c>
      <c r="C485" s="10" t="s">
        <v>315</v>
      </c>
      <c r="D485" s="10" t="s">
        <v>315</v>
      </c>
      <c r="E485" s="10" t="s">
        <v>315</v>
      </c>
    </row>
    <row r="486" spans="1:5" x14ac:dyDescent="0.35">
      <c r="A486" s="3">
        <v>44315</v>
      </c>
      <c r="B486" s="1">
        <f t="shared" si="13"/>
        <v>4</v>
      </c>
      <c r="C486" s="10" t="s">
        <v>315</v>
      </c>
      <c r="D486" s="10" t="s">
        <v>315</v>
      </c>
      <c r="E486" s="10" t="s">
        <v>315</v>
      </c>
    </row>
    <row r="487" spans="1:5" x14ac:dyDescent="0.35">
      <c r="A487" s="3">
        <v>44316</v>
      </c>
      <c r="B487" s="1">
        <f t="shared" si="13"/>
        <v>5</v>
      </c>
      <c r="C487" s="10" t="s">
        <v>315</v>
      </c>
      <c r="D487" s="10" t="s">
        <v>315</v>
      </c>
      <c r="E487" s="10" t="s">
        <v>315</v>
      </c>
    </row>
    <row r="488" spans="1:5" x14ac:dyDescent="0.35">
      <c r="A488" s="3">
        <v>44317</v>
      </c>
      <c r="B488" s="1">
        <f t="shared" si="13"/>
        <v>6</v>
      </c>
      <c r="C488" s="10" t="s">
        <v>315</v>
      </c>
      <c r="D488" s="10" t="s">
        <v>313</v>
      </c>
      <c r="E488" s="10" t="s">
        <v>313</v>
      </c>
    </row>
    <row r="489" spans="1:5" x14ac:dyDescent="0.35">
      <c r="A489" s="3">
        <v>44318</v>
      </c>
      <c r="B489" s="1">
        <f t="shared" si="13"/>
        <v>7</v>
      </c>
      <c r="C489" s="10" t="s">
        <v>313</v>
      </c>
      <c r="D489" s="10" t="s">
        <v>313</v>
      </c>
      <c r="E489" s="10" t="s">
        <v>313</v>
      </c>
    </row>
    <row r="490" spans="1:5" x14ac:dyDescent="0.35">
      <c r="A490" s="3">
        <v>44319</v>
      </c>
      <c r="B490" s="1">
        <f t="shared" si="13"/>
        <v>1</v>
      </c>
      <c r="C490" s="10" t="s">
        <v>315</v>
      </c>
      <c r="D490" s="10" t="s">
        <v>315</v>
      </c>
      <c r="E490" s="10" t="s">
        <v>315</v>
      </c>
    </row>
    <row r="491" spans="1:5" x14ac:dyDescent="0.35">
      <c r="A491" s="3">
        <v>44320</v>
      </c>
      <c r="B491" s="1">
        <f t="shared" si="13"/>
        <v>2</v>
      </c>
      <c r="C491" s="10" t="s">
        <v>315</v>
      </c>
      <c r="D491" s="10" t="s">
        <v>315</v>
      </c>
      <c r="E491" s="10" t="s">
        <v>315</v>
      </c>
    </row>
    <row r="492" spans="1:5" x14ac:dyDescent="0.35">
      <c r="A492" s="3">
        <v>44321</v>
      </c>
      <c r="B492" s="1">
        <f t="shared" si="13"/>
        <v>3</v>
      </c>
      <c r="C492" s="10" t="s">
        <v>315</v>
      </c>
      <c r="D492" s="10" t="s">
        <v>315</v>
      </c>
      <c r="E492" s="10" t="s">
        <v>315</v>
      </c>
    </row>
    <row r="493" spans="1:5" x14ac:dyDescent="0.35">
      <c r="A493" s="3">
        <v>44322</v>
      </c>
      <c r="B493" s="1">
        <f t="shared" si="13"/>
        <v>4</v>
      </c>
      <c r="C493" s="10" t="s">
        <v>315</v>
      </c>
      <c r="D493" s="10" t="s">
        <v>315</v>
      </c>
      <c r="E493" s="10" t="s">
        <v>315</v>
      </c>
    </row>
    <row r="494" spans="1:5" x14ac:dyDescent="0.35">
      <c r="A494" s="3">
        <v>44323</v>
      </c>
      <c r="B494" s="1">
        <f t="shared" si="13"/>
        <v>5</v>
      </c>
      <c r="C494" s="10" t="s">
        <v>315</v>
      </c>
      <c r="D494" s="10" t="s">
        <v>315</v>
      </c>
      <c r="E494" s="10" t="s">
        <v>315</v>
      </c>
    </row>
    <row r="495" spans="1:5" x14ac:dyDescent="0.35">
      <c r="A495" s="3">
        <v>44324</v>
      </c>
      <c r="B495" s="1">
        <f t="shared" si="13"/>
        <v>6</v>
      </c>
      <c r="C495" s="10" t="s">
        <v>315</v>
      </c>
      <c r="D495" s="10" t="s">
        <v>313</v>
      </c>
      <c r="E495" s="10" t="s">
        <v>313</v>
      </c>
    </row>
    <row r="496" spans="1:5" x14ac:dyDescent="0.35">
      <c r="A496" s="3">
        <v>44325</v>
      </c>
      <c r="B496" s="1">
        <f t="shared" si="13"/>
        <v>7</v>
      </c>
      <c r="C496" s="10" t="s">
        <v>313</v>
      </c>
      <c r="D496" s="10" t="s">
        <v>313</v>
      </c>
      <c r="E496" s="10" t="s">
        <v>313</v>
      </c>
    </row>
    <row r="497" spans="1:5" x14ac:dyDescent="0.35">
      <c r="A497" s="3">
        <v>44326</v>
      </c>
      <c r="B497" s="1">
        <f t="shared" si="13"/>
        <v>1</v>
      </c>
      <c r="C497" s="10" t="s">
        <v>315</v>
      </c>
      <c r="D497" s="10" t="s">
        <v>315</v>
      </c>
      <c r="E497" s="10" t="s">
        <v>315</v>
      </c>
    </row>
    <row r="498" spans="1:5" x14ac:dyDescent="0.35">
      <c r="A498" s="3">
        <v>44327</v>
      </c>
      <c r="B498" s="1">
        <f t="shared" si="13"/>
        <v>2</v>
      </c>
      <c r="C498" s="10" t="s">
        <v>315</v>
      </c>
      <c r="D498" s="10" t="s">
        <v>315</v>
      </c>
      <c r="E498" s="10" t="s">
        <v>315</v>
      </c>
    </row>
    <row r="499" spans="1:5" x14ac:dyDescent="0.35">
      <c r="A499" s="3">
        <v>44328</v>
      </c>
      <c r="B499" s="1">
        <f t="shared" si="13"/>
        <v>3</v>
      </c>
      <c r="C499" s="10" t="s">
        <v>315</v>
      </c>
      <c r="D499" s="10" t="s">
        <v>315</v>
      </c>
      <c r="E499" s="10" t="s">
        <v>315</v>
      </c>
    </row>
    <row r="500" spans="1:5" x14ac:dyDescent="0.35">
      <c r="A500" s="3">
        <v>44329</v>
      </c>
      <c r="B500" s="1">
        <f t="shared" si="13"/>
        <v>4</v>
      </c>
      <c r="C500" s="10" t="s">
        <v>315</v>
      </c>
      <c r="D500" s="10" t="s">
        <v>315</v>
      </c>
      <c r="E500" s="10" t="s">
        <v>315</v>
      </c>
    </row>
    <row r="501" spans="1:5" x14ac:dyDescent="0.35">
      <c r="A501" s="3">
        <v>44330</v>
      </c>
      <c r="B501" s="1">
        <f t="shared" si="13"/>
        <v>5</v>
      </c>
      <c r="C501" s="10" t="s">
        <v>315</v>
      </c>
      <c r="D501" s="10" t="s">
        <v>315</v>
      </c>
      <c r="E501" s="10" t="s">
        <v>315</v>
      </c>
    </row>
    <row r="502" spans="1:5" x14ac:dyDescent="0.35">
      <c r="A502" s="3">
        <v>44331</v>
      </c>
      <c r="B502" s="1">
        <f t="shared" si="13"/>
        <v>6</v>
      </c>
      <c r="C502" s="10" t="s">
        <v>315</v>
      </c>
      <c r="D502" s="10" t="s">
        <v>313</v>
      </c>
      <c r="E502" s="10" t="s">
        <v>313</v>
      </c>
    </row>
    <row r="503" spans="1:5" x14ac:dyDescent="0.35">
      <c r="A503" s="3">
        <v>44332</v>
      </c>
      <c r="B503" s="1">
        <f t="shared" si="13"/>
        <v>7</v>
      </c>
      <c r="C503" s="10" t="s">
        <v>313</v>
      </c>
      <c r="D503" s="10" t="s">
        <v>313</v>
      </c>
      <c r="E503" s="10" t="s">
        <v>313</v>
      </c>
    </row>
    <row r="504" spans="1:5" x14ac:dyDescent="0.35">
      <c r="A504" s="3">
        <v>44333</v>
      </c>
      <c r="B504" s="1">
        <f t="shared" si="13"/>
        <v>1</v>
      </c>
      <c r="C504" s="10" t="s">
        <v>315</v>
      </c>
      <c r="D504" s="10" t="s">
        <v>315</v>
      </c>
      <c r="E504" s="10" t="s">
        <v>315</v>
      </c>
    </row>
    <row r="505" spans="1:5" x14ac:dyDescent="0.35">
      <c r="A505" s="3">
        <v>44334</v>
      </c>
      <c r="B505" s="1">
        <f t="shared" si="13"/>
        <v>2</v>
      </c>
      <c r="C505" s="10" t="s">
        <v>315</v>
      </c>
      <c r="D505" s="10" t="s">
        <v>315</v>
      </c>
      <c r="E505" s="10" t="s">
        <v>315</v>
      </c>
    </row>
    <row r="506" spans="1:5" x14ac:dyDescent="0.35">
      <c r="A506" s="3">
        <v>44335</v>
      </c>
      <c r="B506" s="1">
        <f t="shared" si="13"/>
        <v>3</v>
      </c>
      <c r="C506" s="10" t="s">
        <v>315</v>
      </c>
      <c r="D506" s="10" t="s">
        <v>315</v>
      </c>
      <c r="E506" s="10" t="s">
        <v>315</v>
      </c>
    </row>
    <row r="507" spans="1:5" x14ac:dyDescent="0.35">
      <c r="A507" s="3">
        <v>44336</v>
      </c>
      <c r="B507" s="1">
        <f t="shared" si="13"/>
        <v>4</v>
      </c>
      <c r="C507" s="10" t="s">
        <v>315</v>
      </c>
      <c r="D507" s="10" t="s">
        <v>315</v>
      </c>
      <c r="E507" s="10" t="s">
        <v>315</v>
      </c>
    </row>
    <row r="508" spans="1:5" x14ac:dyDescent="0.35">
      <c r="A508" s="3">
        <v>44337</v>
      </c>
      <c r="B508" s="1">
        <f t="shared" si="13"/>
        <v>5</v>
      </c>
      <c r="C508" s="10" t="s">
        <v>315</v>
      </c>
      <c r="D508" s="10" t="s">
        <v>315</v>
      </c>
      <c r="E508" s="10" t="s">
        <v>315</v>
      </c>
    </row>
    <row r="509" spans="1:5" x14ac:dyDescent="0.35">
      <c r="A509" s="3">
        <v>44338</v>
      </c>
      <c r="B509" s="1">
        <f t="shared" si="13"/>
        <v>6</v>
      </c>
      <c r="C509" s="10" t="s">
        <v>315</v>
      </c>
      <c r="D509" s="10" t="s">
        <v>315</v>
      </c>
      <c r="E509" s="10" t="s">
        <v>313</v>
      </c>
    </row>
    <row r="510" spans="1:5" x14ac:dyDescent="0.35">
      <c r="A510" s="3">
        <v>44339</v>
      </c>
      <c r="B510" s="1">
        <f t="shared" si="13"/>
        <v>7</v>
      </c>
      <c r="C510" s="10" t="s">
        <v>315</v>
      </c>
      <c r="D510" s="10" t="s">
        <v>313</v>
      </c>
      <c r="E510" s="10" t="s">
        <v>313</v>
      </c>
    </row>
    <row r="511" spans="1:5" x14ac:dyDescent="0.35">
      <c r="A511" s="3">
        <v>44340</v>
      </c>
      <c r="B511" s="1">
        <f t="shared" si="13"/>
        <v>1</v>
      </c>
      <c r="C511" s="10" t="s">
        <v>315</v>
      </c>
      <c r="D511" s="10" t="s">
        <v>315</v>
      </c>
      <c r="E511" s="10" t="s">
        <v>315</v>
      </c>
    </row>
    <row r="512" spans="1:5" x14ac:dyDescent="0.35">
      <c r="A512" s="3">
        <v>44341</v>
      </c>
      <c r="B512" s="1">
        <f t="shared" si="13"/>
        <v>2</v>
      </c>
      <c r="C512" s="10" t="s">
        <v>315</v>
      </c>
      <c r="D512" s="10" t="s">
        <v>315</v>
      </c>
      <c r="E512" s="10" t="s">
        <v>315</v>
      </c>
    </row>
    <row r="513" spans="1:5" x14ac:dyDescent="0.35">
      <c r="A513" s="3">
        <v>44342</v>
      </c>
      <c r="B513" s="1">
        <f t="shared" si="13"/>
        <v>3</v>
      </c>
      <c r="C513" s="10" t="s">
        <v>315</v>
      </c>
      <c r="D513" s="10" t="s">
        <v>315</v>
      </c>
      <c r="E513" s="10" t="s">
        <v>315</v>
      </c>
    </row>
    <row r="514" spans="1:5" x14ac:dyDescent="0.35">
      <c r="A514" s="3">
        <v>44343</v>
      </c>
      <c r="B514" s="1">
        <f t="shared" si="13"/>
        <v>4</v>
      </c>
      <c r="C514" s="10" t="s">
        <v>315</v>
      </c>
      <c r="D514" s="10" t="s">
        <v>315</v>
      </c>
      <c r="E514" s="10" t="s">
        <v>315</v>
      </c>
    </row>
    <row r="515" spans="1:5" x14ac:dyDescent="0.35">
      <c r="A515" s="3">
        <v>44344</v>
      </c>
      <c r="B515" s="1">
        <f t="shared" si="13"/>
        <v>5</v>
      </c>
      <c r="C515" s="10" t="s">
        <v>315</v>
      </c>
      <c r="D515" s="10" t="s">
        <v>315</v>
      </c>
      <c r="E515" s="10" t="s">
        <v>315</v>
      </c>
    </row>
    <row r="516" spans="1:5" x14ac:dyDescent="0.35">
      <c r="A516" s="3">
        <v>44345</v>
      </c>
      <c r="B516" s="1">
        <f t="shared" si="13"/>
        <v>6</v>
      </c>
      <c r="C516" s="10" t="s">
        <v>315</v>
      </c>
      <c r="D516" s="10" t="s">
        <v>313</v>
      </c>
      <c r="E516" s="10" t="s">
        <v>313</v>
      </c>
    </row>
    <row r="517" spans="1:5" x14ac:dyDescent="0.35">
      <c r="A517" s="3">
        <v>44346</v>
      </c>
      <c r="B517" s="1">
        <f t="shared" si="13"/>
        <v>7</v>
      </c>
      <c r="C517" s="10" t="s">
        <v>313</v>
      </c>
      <c r="D517" s="10" t="s">
        <v>313</v>
      </c>
      <c r="E517" s="10" t="s">
        <v>313</v>
      </c>
    </row>
    <row r="518" spans="1:5" x14ac:dyDescent="0.35">
      <c r="A518" s="3">
        <v>44347</v>
      </c>
      <c r="B518" s="1">
        <f t="shared" si="13"/>
        <v>1</v>
      </c>
      <c r="C518" s="10" t="s">
        <v>315</v>
      </c>
      <c r="D518" s="10" t="s">
        <v>315</v>
      </c>
      <c r="E518" s="10" t="s">
        <v>315</v>
      </c>
    </row>
    <row r="519" spans="1:5" x14ac:dyDescent="0.35">
      <c r="A519" s="3">
        <v>44348</v>
      </c>
      <c r="B519" s="1">
        <f t="shared" si="13"/>
        <v>2</v>
      </c>
      <c r="C519" s="10" t="s">
        <v>315</v>
      </c>
      <c r="D519" s="10" t="s">
        <v>315</v>
      </c>
      <c r="E519" s="10" t="s">
        <v>315</v>
      </c>
    </row>
    <row r="520" spans="1:5" x14ac:dyDescent="0.35">
      <c r="A520" s="3">
        <v>44349</v>
      </c>
      <c r="B520" s="1">
        <f t="shared" si="13"/>
        <v>3</v>
      </c>
      <c r="C520" s="10" t="s">
        <v>315</v>
      </c>
      <c r="D520" s="10" t="s">
        <v>315</v>
      </c>
      <c r="E520" s="10" t="s">
        <v>315</v>
      </c>
    </row>
    <row r="521" spans="1:5" x14ac:dyDescent="0.35">
      <c r="A521" s="3">
        <v>44350</v>
      </c>
      <c r="B521" s="1">
        <f t="shared" si="13"/>
        <v>4</v>
      </c>
      <c r="C521" s="10" t="s">
        <v>315</v>
      </c>
      <c r="D521" s="10" t="s">
        <v>315</v>
      </c>
      <c r="E521" s="10" t="s">
        <v>315</v>
      </c>
    </row>
    <row r="522" spans="1:5" x14ac:dyDescent="0.35">
      <c r="A522" s="3">
        <v>44351</v>
      </c>
      <c r="B522" s="1">
        <f t="shared" si="13"/>
        <v>5</v>
      </c>
      <c r="C522" s="10" t="s">
        <v>315</v>
      </c>
      <c r="D522" s="10" t="s">
        <v>315</v>
      </c>
      <c r="E522" s="10" t="s">
        <v>315</v>
      </c>
    </row>
    <row r="523" spans="1:5" x14ac:dyDescent="0.35">
      <c r="A523" s="3">
        <v>44352</v>
      </c>
      <c r="B523" s="1">
        <f t="shared" si="13"/>
        <v>6</v>
      </c>
      <c r="C523" s="10" t="s">
        <v>315</v>
      </c>
      <c r="D523" s="10" t="s">
        <v>313</v>
      </c>
      <c r="E523" s="10" t="s">
        <v>313</v>
      </c>
    </row>
    <row r="524" spans="1:5" x14ac:dyDescent="0.35">
      <c r="A524" s="3">
        <v>44353</v>
      </c>
      <c r="B524" s="1">
        <f t="shared" si="13"/>
        <v>7</v>
      </c>
      <c r="C524" s="10" t="s">
        <v>313</v>
      </c>
      <c r="D524" s="10" t="s">
        <v>313</v>
      </c>
      <c r="E524" s="10" t="s">
        <v>313</v>
      </c>
    </row>
    <row r="525" spans="1:5" x14ac:dyDescent="0.35">
      <c r="A525" s="3">
        <v>44354</v>
      </c>
      <c r="B525" s="1">
        <f t="shared" si="13"/>
        <v>1</v>
      </c>
      <c r="C525" s="10" t="s">
        <v>315</v>
      </c>
      <c r="D525" s="10" t="s">
        <v>315</v>
      </c>
      <c r="E525" s="10" t="s">
        <v>315</v>
      </c>
    </row>
    <row r="526" spans="1:5" x14ac:dyDescent="0.35">
      <c r="A526" s="3">
        <v>44355</v>
      </c>
      <c r="B526" s="1">
        <f t="shared" si="13"/>
        <v>2</v>
      </c>
      <c r="C526" s="10" t="s">
        <v>315</v>
      </c>
      <c r="D526" s="10" t="s">
        <v>315</v>
      </c>
      <c r="E526" s="10" t="s">
        <v>315</v>
      </c>
    </row>
    <row r="527" spans="1:5" x14ac:dyDescent="0.35">
      <c r="A527" s="3">
        <v>44356</v>
      </c>
      <c r="B527" s="1">
        <f t="shared" si="13"/>
        <v>3</v>
      </c>
      <c r="C527" s="10" t="s">
        <v>315</v>
      </c>
      <c r="D527" s="10" t="s">
        <v>315</v>
      </c>
      <c r="E527" s="10" t="s">
        <v>315</v>
      </c>
    </row>
    <row r="528" spans="1:5" x14ac:dyDescent="0.35">
      <c r="A528" s="3">
        <v>44357</v>
      </c>
      <c r="B528" s="1">
        <f t="shared" si="13"/>
        <v>4</v>
      </c>
      <c r="C528" s="10" t="s">
        <v>315</v>
      </c>
      <c r="D528" s="10" t="s">
        <v>315</v>
      </c>
      <c r="E528" s="10" t="s">
        <v>315</v>
      </c>
    </row>
    <row r="529" spans="1:5" x14ac:dyDescent="0.35">
      <c r="A529" s="3">
        <v>44358</v>
      </c>
      <c r="B529" s="1">
        <f t="shared" si="13"/>
        <v>5</v>
      </c>
      <c r="C529" s="10" t="s">
        <v>315</v>
      </c>
      <c r="D529" s="10" t="s">
        <v>315</v>
      </c>
      <c r="E529" s="10" t="s">
        <v>315</v>
      </c>
    </row>
    <row r="530" spans="1:5" x14ac:dyDescent="0.35">
      <c r="A530" s="3">
        <v>44359</v>
      </c>
      <c r="B530" s="1">
        <f t="shared" si="13"/>
        <v>6</v>
      </c>
      <c r="C530" s="10" t="s">
        <v>315</v>
      </c>
      <c r="D530" s="10" t="s">
        <v>313</v>
      </c>
      <c r="E530" s="10" t="s">
        <v>313</v>
      </c>
    </row>
    <row r="531" spans="1:5" x14ac:dyDescent="0.35">
      <c r="A531" s="3">
        <v>44360</v>
      </c>
      <c r="B531" s="1">
        <f t="shared" si="13"/>
        <v>7</v>
      </c>
      <c r="C531" s="10" t="s">
        <v>313</v>
      </c>
      <c r="D531" s="10" t="s">
        <v>313</v>
      </c>
      <c r="E531" s="10" t="s">
        <v>313</v>
      </c>
    </row>
    <row r="532" spans="1:5" x14ac:dyDescent="0.35">
      <c r="A532" s="3">
        <v>44361</v>
      </c>
      <c r="B532" s="1">
        <f t="shared" si="13"/>
        <v>1</v>
      </c>
      <c r="C532" s="10" t="s">
        <v>315</v>
      </c>
      <c r="D532" s="10" t="s">
        <v>315</v>
      </c>
      <c r="E532" s="10" t="s">
        <v>315</v>
      </c>
    </row>
    <row r="533" spans="1:5" x14ac:dyDescent="0.35">
      <c r="A533" s="3">
        <v>44362</v>
      </c>
      <c r="B533" s="1">
        <f t="shared" si="13"/>
        <v>2</v>
      </c>
      <c r="C533" s="10" t="s">
        <v>315</v>
      </c>
      <c r="D533" s="10" t="s">
        <v>315</v>
      </c>
      <c r="E533" s="10" t="s">
        <v>315</v>
      </c>
    </row>
    <row r="534" spans="1:5" x14ac:dyDescent="0.35">
      <c r="A534" s="3">
        <v>44363</v>
      </c>
      <c r="B534" s="1">
        <f t="shared" si="13"/>
        <v>3</v>
      </c>
      <c r="C534" s="10" t="s">
        <v>315</v>
      </c>
      <c r="D534" s="10" t="s">
        <v>315</v>
      </c>
      <c r="E534" s="10" t="s">
        <v>315</v>
      </c>
    </row>
    <row r="535" spans="1:5" x14ac:dyDescent="0.35">
      <c r="A535" s="3">
        <v>44364</v>
      </c>
      <c r="B535" s="1">
        <f t="shared" si="13"/>
        <v>4</v>
      </c>
      <c r="C535" s="10" t="s">
        <v>315</v>
      </c>
      <c r="D535" s="10" t="s">
        <v>315</v>
      </c>
      <c r="E535" s="10" t="s">
        <v>315</v>
      </c>
    </row>
    <row r="536" spans="1:5" x14ac:dyDescent="0.35">
      <c r="A536" s="3">
        <v>44365</v>
      </c>
      <c r="B536" s="1">
        <f t="shared" si="13"/>
        <v>5</v>
      </c>
      <c r="C536" s="10" t="s">
        <v>315</v>
      </c>
      <c r="D536" s="10" t="s">
        <v>315</v>
      </c>
      <c r="E536" s="10" t="s">
        <v>315</v>
      </c>
    </row>
    <row r="537" spans="1:5" x14ac:dyDescent="0.35">
      <c r="A537" s="3">
        <v>44366</v>
      </c>
      <c r="B537" s="1">
        <f t="shared" si="13"/>
        <v>6</v>
      </c>
      <c r="C537" s="10" t="s">
        <v>315</v>
      </c>
      <c r="D537" s="10" t="s">
        <v>313</v>
      </c>
      <c r="E537" s="10" t="s">
        <v>313</v>
      </c>
    </row>
    <row r="538" spans="1:5" x14ac:dyDescent="0.35">
      <c r="A538" s="3">
        <v>44367</v>
      </c>
      <c r="B538" s="1">
        <f t="shared" si="13"/>
        <v>7</v>
      </c>
      <c r="C538" s="10" t="s">
        <v>313</v>
      </c>
      <c r="D538" s="10" t="s">
        <v>313</v>
      </c>
      <c r="E538" s="10" t="s">
        <v>313</v>
      </c>
    </row>
    <row r="539" spans="1:5" x14ac:dyDescent="0.35">
      <c r="A539" s="3">
        <v>44368</v>
      </c>
      <c r="B539" s="1">
        <f t="shared" si="13"/>
        <v>1</v>
      </c>
      <c r="C539" s="10" t="s">
        <v>315</v>
      </c>
      <c r="D539" s="10" t="s">
        <v>315</v>
      </c>
      <c r="E539" s="10" t="s">
        <v>315</v>
      </c>
    </row>
    <row r="540" spans="1:5" x14ac:dyDescent="0.35">
      <c r="A540" s="3">
        <v>44369</v>
      </c>
      <c r="B540" s="1">
        <f t="shared" si="13"/>
        <v>2</v>
      </c>
      <c r="C540" s="10" t="s">
        <v>315</v>
      </c>
      <c r="D540" s="10" t="s">
        <v>315</v>
      </c>
      <c r="E540" s="10" t="s">
        <v>315</v>
      </c>
    </row>
    <row r="541" spans="1:5" x14ac:dyDescent="0.35">
      <c r="A541" s="3">
        <v>44370</v>
      </c>
      <c r="B541" s="1">
        <f t="shared" si="13"/>
        <v>3</v>
      </c>
      <c r="C541" s="10" t="s">
        <v>315</v>
      </c>
      <c r="D541" s="10" t="s">
        <v>315</v>
      </c>
      <c r="E541" s="10" t="s">
        <v>315</v>
      </c>
    </row>
    <row r="542" spans="1:5" x14ac:dyDescent="0.35">
      <c r="A542" s="3">
        <v>44371</v>
      </c>
      <c r="B542" s="1">
        <f t="shared" si="13"/>
        <v>4</v>
      </c>
      <c r="C542" s="10" t="s">
        <v>315</v>
      </c>
      <c r="D542" s="10" t="s">
        <v>315</v>
      </c>
      <c r="E542" s="10" t="s">
        <v>315</v>
      </c>
    </row>
    <row r="543" spans="1:5" x14ac:dyDescent="0.35">
      <c r="A543" s="3">
        <v>44372</v>
      </c>
      <c r="B543" s="1">
        <f t="shared" si="13"/>
        <v>5</v>
      </c>
      <c r="C543" s="10" t="s">
        <v>315</v>
      </c>
      <c r="D543" s="10" t="s">
        <v>315</v>
      </c>
      <c r="E543" s="10" t="s">
        <v>315</v>
      </c>
    </row>
    <row r="544" spans="1:5" x14ac:dyDescent="0.35">
      <c r="A544" s="3">
        <v>44373</v>
      </c>
      <c r="B544" s="1">
        <f t="shared" ref="B544:B607" si="14">IF(A544&gt;0,WEEKDAY(A544,2),"")</f>
        <v>6</v>
      </c>
      <c r="C544" s="10" t="s">
        <v>315</v>
      </c>
      <c r="D544" s="10" t="s">
        <v>313</v>
      </c>
      <c r="E544" s="10" t="s">
        <v>313</v>
      </c>
    </row>
    <row r="545" spans="1:5" x14ac:dyDescent="0.35">
      <c r="A545" s="3">
        <v>44374</v>
      </c>
      <c r="B545" s="1">
        <f t="shared" si="14"/>
        <v>7</v>
      </c>
      <c r="C545" s="10" t="s">
        <v>313</v>
      </c>
      <c r="D545" s="10" t="s">
        <v>313</v>
      </c>
      <c r="E545" s="10" t="s">
        <v>313</v>
      </c>
    </row>
    <row r="546" spans="1:5" x14ac:dyDescent="0.35">
      <c r="A546" s="3">
        <v>44375</v>
      </c>
      <c r="B546" s="1">
        <f t="shared" si="14"/>
        <v>1</v>
      </c>
      <c r="C546" s="10" t="s">
        <v>315</v>
      </c>
      <c r="D546" s="10" t="s">
        <v>315</v>
      </c>
      <c r="E546" s="10" t="s">
        <v>315</v>
      </c>
    </row>
    <row r="547" spans="1:5" x14ac:dyDescent="0.35">
      <c r="A547" s="3">
        <v>44376</v>
      </c>
      <c r="B547" s="1">
        <f t="shared" si="14"/>
        <v>2</v>
      </c>
      <c r="C547" s="10" t="s">
        <v>315</v>
      </c>
      <c r="D547" s="10" t="s">
        <v>315</v>
      </c>
      <c r="E547" s="10" t="s">
        <v>315</v>
      </c>
    </row>
    <row r="548" spans="1:5" x14ac:dyDescent="0.35">
      <c r="A548" s="3">
        <v>44377</v>
      </c>
      <c r="B548" s="1">
        <f t="shared" si="14"/>
        <v>3</v>
      </c>
      <c r="C548" s="10" t="s">
        <v>315</v>
      </c>
      <c r="D548" s="10" t="s">
        <v>315</v>
      </c>
      <c r="E548" s="10" t="s">
        <v>315</v>
      </c>
    </row>
    <row r="549" spans="1:5" x14ac:dyDescent="0.35">
      <c r="A549" s="3">
        <v>44378</v>
      </c>
      <c r="B549" s="1">
        <f t="shared" si="14"/>
        <v>4</v>
      </c>
      <c r="C549" s="10" t="s">
        <v>315</v>
      </c>
      <c r="D549" s="10" t="s">
        <v>315</v>
      </c>
      <c r="E549" s="10" t="s">
        <v>315</v>
      </c>
    </row>
    <row r="550" spans="1:5" x14ac:dyDescent="0.35">
      <c r="A550" s="3">
        <v>44379</v>
      </c>
      <c r="B550" s="1">
        <f t="shared" si="14"/>
        <v>5</v>
      </c>
      <c r="C550" s="10" t="s">
        <v>315</v>
      </c>
      <c r="D550" s="10" t="s">
        <v>315</v>
      </c>
      <c r="E550" s="10" t="s">
        <v>315</v>
      </c>
    </row>
    <row r="551" spans="1:5" x14ac:dyDescent="0.35">
      <c r="A551" s="3">
        <v>44380</v>
      </c>
      <c r="B551" s="1">
        <f t="shared" si="14"/>
        <v>6</v>
      </c>
      <c r="C551" s="10" t="s">
        <v>315</v>
      </c>
      <c r="D551" s="10" t="s">
        <v>313</v>
      </c>
      <c r="E551" s="10" t="s">
        <v>313</v>
      </c>
    </row>
    <row r="552" spans="1:5" x14ac:dyDescent="0.35">
      <c r="A552" s="3">
        <v>44381</v>
      </c>
      <c r="B552" s="1">
        <f t="shared" si="14"/>
        <v>7</v>
      </c>
      <c r="C552" s="10" t="s">
        <v>313</v>
      </c>
      <c r="D552" s="10" t="s">
        <v>313</v>
      </c>
      <c r="E552" s="10" t="s">
        <v>313</v>
      </c>
    </row>
    <row r="553" spans="1:5" x14ac:dyDescent="0.35">
      <c r="A553" s="3">
        <v>44382</v>
      </c>
      <c r="B553" s="1">
        <f t="shared" si="14"/>
        <v>1</v>
      </c>
      <c r="C553" s="10" t="s">
        <v>315</v>
      </c>
      <c r="D553" s="10" t="s">
        <v>315</v>
      </c>
      <c r="E553" s="10" t="s">
        <v>315</v>
      </c>
    </row>
    <row r="554" spans="1:5" x14ac:dyDescent="0.35">
      <c r="A554" s="3">
        <v>44383</v>
      </c>
      <c r="B554" s="1">
        <f t="shared" si="14"/>
        <v>2</v>
      </c>
      <c r="C554" s="10" t="s">
        <v>315</v>
      </c>
      <c r="D554" s="10" t="s">
        <v>315</v>
      </c>
      <c r="E554" s="10" t="s">
        <v>315</v>
      </c>
    </row>
    <row r="555" spans="1:5" x14ac:dyDescent="0.35">
      <c r="A555" s="3">
        <v>44384</v>
      </c>
      <c r="B555" s="1">
        <f t="shared" si="14"/>
        <v>3</v>
      </c>
      <c r="C555" s="10" t="s">
        <v>315</v>
      </c>
      <c r="D555" s="10" t="s">
        <v>315</v>
      </c>
      <c r="E555" s="10" t="s">
        <v>315</v>
      </c>
    </row>
    <row r="556" spans="1:5" x14ac:dyDescent="0.35">
      <c r="A556" s="3">
        <v>44385</v>
      </c>
      <c r="B556" s="1">
        <f t="shared" si="14"/>
        <v>4</v>
      </c>
      <c r="C556" s="10" t="s">
        <v>315</v>
      </c>
      <c r="D556" s="10" t="s">
        <v>315</v>
      </c>
      <c r="E556" s="10" t="s">
        <v>315</v>
      </c>
    </row>
    <row r="557" spans="1:5" x14ac:dyDescent="0.35">
      <c r="A557" s="3">
        <v>44386</v>
      </c>
      <c r="B557" s="1">
        <f t="shared" si="14"/>
        <v>5</v>
      </c>
      <c r="C557" s="10" t="s">
        <v>315</v>
      </c>
      <c r="D557" s="10" t="s">
        <v>315</v>
      </c>
      <c r="E557" s="10" t="s">
        <v>315</v>
      </c>
    </row>
    <row r="558" spans="1:5" x14ac:dyDescent="0.35">
      <c r="A558" s="3">
        <v>44387</v>
      </c>
      <c r="B558" s="1">
        <f t="shared" si="14"/>
        <v>6</v>
      </c>
      <c r="C558" s="10" t="s">
        <v>315</v>
      </c>
      <c r="D558" s="10" t="s">
        <v>313</v>
      </c>
      <c r="E558" s="10" t="s">
        <v>313</v>
      </c>
    </row>
    <row r="559" spans="1:5" x14ac:dyDescent="0.35">
      <c r="A559" s="3">
        <v>44388</v>
      </c>
      <c r="B559" s="1">
        <f t="shared" si="14"/>
        <v>7</v>
      </c>
      <c r="C559" s="10" t="s">
        <v>313</v>
      </c>
      <c r="D559" s="10" t="s">
        <v>313</v>
      </c>
      <c r="E559" s="10" t="s">
        <v>313</v>
      </c>
    </row>
    <row r="560" spans="1:5" x14ac:dyDescent="0.35">
      <c r="A560" s="3">
        <v>44389</v>
      </c>
      <c r="B560" s="1">
        <f t="shared" si="14"/>
        <v>1</v>
      </c>
      <c r="C560" s="10" t="s">
        <v>315</v>
      </c>
      <c r="D560" s="10" t="s">
        <v>315</v>
      </c>
      <c r="E560" s="10" t="s">
        <v>315</v>
      </c>
    </row>
    <row r="561" spans="1:5" x14ac:dyDescent="0.35">
      <c r="A561" s="3">
        <v>44390</v>
      </c>
      <c r="B561" s="1">
        <f t="shared" si="14"/>
        <v>2</v>
      </c>
      <c r="C561" s="10" t="s">
        <v>315</v>
      </c>
      <c r="D561" s="10" t="s">
        <v>315</v>
      </c>
      <c r="E561" s="10" t="s">
        <v>315</v>
      </c>
    </row>
    <row r="562" spans="1:5" x14ac:dyDescent="0.35">
      <c r="A562" s="3">
        <v>44391</v>
      </c>
      <c r="B562" s="1">
        <f t="shared" si="14"/>
        <v>3</v>
      </c>
      <c r="C562" s="10" t="s">
        <v>315</v>
      </c>
      <c r="D562" s="10" t="s">
        <v>315</v>
      </c>
      <c r="E562" s="10" t="s">
        <v>315</v>
      </c>
    </row>
    <row r="563" spans="1:5" x14ac:dyDescent="0.35">
      <c r="A563" s="3">
        <v>44392</v>
      </c>
      <c r="B563" s="1">
        <f t="shared" si="14"/>
        <v>4</v>
      </c>
      <c r="C563" s="10" t="s">
        <v>315</v>
      </c>
      <c r="D563" s="10" t="s">
        <v>315</v>
      </c>
      <c r="E563" s="10" t="s">
        <v>315</v>
      </c>
    </row>
    <row r="564" spans="1:5" x14ac:dyDescent="0.35">
      <c r="A564" s="3">
        <v>44393</v>
      </c>
      <c r="B564" s="1">
        <f t="shared" si="14"/>
        <v>5</v>
      </c>
      <c r="C564" s="10" t="s">
        <v>315</v>
      </c>
      <c r="D564" s="10" t="s">
        <v>315</v>
      </c>
      <c r="E564" s="10" t="s">
        <v>315</v>
      </c>
    </row>
    <row r="565" spans="1:5" x14ac:dyDescent="0.35">
      <c r="A565" s="3">
        <v>44394</v>
      </c>
      <c r="B565" s="1">
        <f t="shared" si="14"/>
        <v>6</v>
      </c>
      <c r="C565" s="10" t="s">
        <v>315</v>
      </c>
      <c r="D565" s="10" t="s">
        <v>313</v>
      </c>
      <c r="E565" s="10" t="s">
        <v>313</v>
      </c>
    </row>
    <row r="566" spans="1:5" x14ac:dyDescent="0.35">
      <c r="A566" s="3">
        <v>44395</v>
      </c>
      <c r="B566" s="1">
        <f t="shared" si="14"/>
        <v>7</v>
      </c>
      <c r="C566" s="10" t="s">
        <v>313</v>
      </c>
      <c r="D566" s="10" t="s">
        <v>313</v>
      </c>
      <c r="E566" s="10" t="s">
        <v>313</v>
      </c>
    </row>
    <row r="567" spans="1:5" x14ac:dyDescent="0.35">
      <c r="A567" s="3">
        <v>44396</v>
      </c>
      <c r="B567" s="1">
        <f t="shared" si="14"/>
        <v>1</v>
      </c>
      <c r="C567" s="10" t="s">
        <v>315</v>
      </c>
      <c r="D567" s="10" t="s">
        <v>315</v>
      </c>
      <c r="E567" s="10" t="s">
        <v>315</v>
      </c>
    </row>
    <row r="568" spans="1:5" x14ac:dyDescent="0.35">
      <c r="A568" s="3">
        <v>44397</v>
      </c>
      <c r="B568" s="1">
        <f t="shared" si="14"/>
        <v>2</v>
      </c>
      <c r="C568" s="10" t="s">
        <v>315</v>
      </c>
      <c r="D568" s="10" t="s">
        <v>315</v>
      </c>
      <c r="E568" s="10" t="s">
        <v>315</v>
      </c>
    </row>
    <row r="569" spans="1:5" x14ac:dyDescent="0.35">
      <c r="A569" s="3">
        <v>44398</v>
      </c>
      <c r="B569" s="1">
        <f t="shared" si="14"/>
        <v>3</v>
      </c>
      <c r="C569" s="10" t="s">
        <v>315</v>
      </c>
      <c r="D569" s="10" t="s">
        <v>315</v>
      </c>
      <c r="E569" s="10" t="s">
        <v>315</v>
      </c>
    </row>
    <row r="570" spans="1:5" x14ac:dyDescent="0.35">
      <c r="A570" s="3">
        <v>44399</v>
      </c>
      <c r="B570" s="1">
        <f t="shared" si="14"/>
        <v>4</v>
      </c>
      <c r="C570" s="10" t="s">
        <v>315</v>
      </c>
      <c r="D570" s="10" t="s">
        <v>315</v>
      </c>
      <c r="E570" s="10" t="s">
        <v>315</v>
      </c>
    </row>
    <row r="571" spans="1:5" x14ac:dyDescent="0.35">
      <c r="A571" s="3">
        <v>44400</v>
      </c>
      <c r="B571" s="1">
        <f t="shared" si="14"/>
        <v>5</v>
      </c>
      <c r="C571" s="10" t="s">
        <v>315</v>
      </c>
      <c r="D571" s="10" t="s">
        <v>315</v>
      </c>
      <c r="E571" s="10" t="s">
        <v>315</v>
      </c>
    </row>
    <row r="572" spans="1:5" x14ac:dyDescent="0.35">
      <c r="A572" s="3">
        <v>44401</v>
      </c>
      <c r="B572" s="1">
        <f t="shared" si="14"/>
        <v>6</v>
      </c>
      <c r="C572" s="10" t="s">
        <v>315</v>
      </c>
      <c r="D572" s="10" t="s">
        <v>313</v>
      </c>
      <c r="E572" s="10" t="s">
        <v>313</v>
      </c>
    </row>
    <row r="573" spans="1:5" x14ac:dyDescent="0.35">
      <c r="A573" s="3">
        <v>44402</v>
      </c>
      <c r="B573" s="1">
        <f t="shared" si="14"/>
        <v>7</v>
      </c>
      <c r="C573" s="10" t="s">
        <v>313</v>
      </c>
      <c r="D573" s="10" t="s">
        <v>313</v>
      </c>
      <c r="E573" s="10" t="s">
        <v>313</v>
      </c>
    </row>
    <row r="574" spans="1:5" x14ac:dyDescent="0.35">
      <c r="A574" s="3">
        <v>44403</v>
      </c>
      <c r="B574" s="1">
        <f t="shared" si="14"/>
        <v>1</v>
      </c>
      <c r="C574" s="10" t="s">
        <v>315</v>
      </c>
      <c r="D574" s="10" t="s">
        <v>315</v>
      </c>
      <c r="E574" s="10" t="s">
        <v>315</v>
      </c>
    </row>
    <row r="575" spans="1:5" x14ac:dyDescent="0.35">
      <c r="A575" s="3">
        <v>44404</v>
      </c>
      <c r="B575" s="1">
        <f t="shared" si="14"/>
        <v>2</v>
      </c>
      <c r="C575" s="10" t="s">
        <v>315</v>
      </c>
      <c r="D575" s="10" t="s">
        <v>315</v>
      </c>
      <c r="E575" s="10" t="s">
        <v>315</v>
      </c>
    </row>
    <row r="576" spans="1:5" x14ac:dyDescent="0.35">
      <c r="A576" s="3">
        <v>44405</v>
      </c>
      <c r="B576" s="1">
        <f t="shared" si="14"/>
        <v>3</v>
      </c>
      <c r="C576" s="10" t="s">
        <v>315</v>
      </c>
      <c r="D576" s="10" t="s">
        <v>315</v>
      </c>
      <c r="E576" s="10" t="s">
        <v>315</v>
      </c>
    </row>
    <row r="577" spans="1:5" x14ac:dyDescent="0.35">
      <c r="A577" s="3">
        <v>44406</v>
      </c>
      <c r="B577" s="1">
        <f t="shared" si="14"/>
        <v>4</v>
      </c>
      <c r="C577" s="10" t="s">
        <v>315</v>
      </c>
      <c r="D577" s="10" t="s">
        <v>315</v>
      </c>
      <c r="E577" s="10" t="s">
        <v>315</v>
      </c>
    </row>
    <row r="578" spans="1:5" x14ac:dyDescent="0.35">
      <c r="A578" s="3">
        <v>44407</v>
      </c>
      <c r="B578" s="1">
        <f t="shared" si="14"/>
        <v>5</v>
      </c>
      <c r="C578" s="10" t="s">
        <v>315</v>
      </c>
      <c r="D578" s="10" t="s">
        <v>315</v>
      </c>
      <c r="E578" s="10" t="s">
        <v>315</v>
      </c>
    </row>
    <row r="579" spans="1:5" x14ac:dyDescent="0.35">
      <c r="A579" s="3">
        <v>44408</v>
      </c>
      <c r="B579" s="1">
        <f t="shared" si="14"/>
        <v>6</v>
      </c>
      <c r="C579" s="10" t="s">
        <v>315</v>
      </c>
      <c r="D579" s="10" t="s">
        <v>313</v>
      </c>
      <c r="E579" s="10" t="s">
        <v>313</v>
      </c>
    </row>
    <row r="580" spans="1:5" x14ac:dyDescent="0.35">
      <c r="A580" s="3">
        <v>44409</v>
      </c>
      <c r="B580" s="1">
        <f t="shared" si="14"/>
        <v>7</v>
      </c>
      <c r="C580" s="10" t="s">
        <v>313</v>
      </c>
      <c r="D580" s="10" t="s">
        <v>313</v>
      </c>
      <c r="E580" s="10" t="s">
        <v>313</v>
      </c>
    </row>
    <row r="581" spans="1:5" x14ac:dyDescent="0.35">
      <c r="A581" s="3">
        <v>44410</v>
      </c>
      <c r="B581" s="1">
        <f t="shared" si="14"/>
        <v>1</v>
      </c>
      <c r="C581" s="10" t="s">
        <v>315</v>
      </c>
      <c r="D581" s="10" t="s">
        <v>315</v>
      </c>
      <c r="E581" s="10" t="s">
        <v>315</v>
      </c>
    </row>
    <row r="582" spans="1:5" x14ac:dyDescent="0.35">
      <c r="A582" s="3">
        <v>44411</v>
      </c>
      <c r="B582" s="1">
        <f t="shared" si="14"/>
        <v>2</v>
      </c>
      <c r="C582" s="10" t="s">
        <v>315</v>
      </c>
      <c r="D582" s="10" t="s">
        <v>315</v>
      </c>
      <c r="E582" s="10" t="s">
        <v>315</v>
      </c>
    </row>
    <row r="583" spans="1:5" x14ac:dyDescent="0.35">
      <c r="A583" s="3">
        <v>44412</v>
      </c>
      <c r="B583" s="1">
        <f t="shared" si="14"/>
        <v>3</v>
      </c>
      <c r="C583" s="10" t="s">
        <v>315</v>
      </c>
      <c r="D583" s="10" t="s">
        <v>315</v>
      </c>
      <c r="E583" s="10" t="s">
        <v>315</v>
      </c>
    </row>
    <row r="584" spans="1:5" x14ac:dyDescent="0.35">
      <c r="A584" s="3">
        <v>44413</v>
      </c>
      <c r="B584" s="1">
        <f t="shared" si="14"/>
        <v>4</v>
      </c>
      <c r="C584" s="10" t="s">
        <v>315</v>
      </c>
      <c r="D584" s="10" t="s">
        <v>315</v>
      </c>
      <c r="E584" s="10" t="s">
        <v>315</v>
      </c>
    </row>
    <row r="585" spans="1:5" x14ac:dyDescent="0.35">
      <c r="A585" s="3">
        <v>44414</v>
      </c>
      <c r="B585" s="1">
        <f t="shared" si="14"/>
        <v>5</v>
      </c>
      <c r="C585" s="10" t="s">
        <v>315</v>
      </c>
      <c r="D585" s="10" t="s">
        <v>315</v>
      </c>
      <c r="E585" s="10" t="s">
        <v>315</v>
      </c>
    </row>
    <row r="586" spans="1:5" x14ac:dyDescent="0.35">
      <c r="A586" s="3">
        <v>44415</v>
      </c>
      <c r="B586" s="1">
        <f t="shared" si="14"/>
        <v>6</v>
      </c>
      <c r="C586" s="10" t="s">
        <v>315</v>
      </c>
      <c r="D586" s="10" t="s">
        <v>313</v>
      </c>
      <c r="E586" s="10" t="s">
        <v>313</v>
      </c>
    </row>
    <row r="587" spans="1:5" x14ac:dyDescent="0.35">
      <c r="A587" s="3">
        <v>44416</v>
      </c>
      <c r="B587" s="1">
        <f t="shared" si="14"/>
        <v>7</v>
      </c>
      <c r="C587" s="10" t="s">
        <v>313</v>
      </c>
      <c r="D587" s="10" t="s">
        <v>313</v>
      </c>
      <c r="E587" s="10" t="s">
        <v>313</v>
      </c>
    </row>
    <row r="588" spans="1:5" x14ac:dyDescent="0.35">
      <c r="A588" s="3">
        <v>44417</v>
      </c>
      <c r="B588" s="1">
        <f t="shared" si="14"/>
        <v>1</v>
      </c>
      <c r="C588" s="10" t="s">
        <v>315</v>
      </c>
      <c r="D588" s="10" t="s">
        <v>315</v>
      </c>
      <c r="E588" s="10" t="s">
        <v>315</v>
      </c>
    </row>
    <row r="589" spans="1:5" x14ac:dyDescent="0.35">
      <c r="A589" s="3">
        <v>44418</v>
      </c>
      <c r="B589" s="1">
        <f t="shared" si="14"/>
        <v>2</v>
      </c>
      <c r="C589" s="10" t="s">
        <v>315</v>
      </c>
      <c r="D589" s="10" t="s">
        <v>315</v>
      </c>
      <c r="E589" s="10" t="s">
        <v>315</v>
      </c>
    </row>
    <row r="590" spans="1:5" x14ac:dyDescent="0.35">
      <c r="A590" s="3">
        <v>44419</v>
      </c>
      <c r="B590" s="1">
        <f t="shared" si="14"/>
        <v>3</v>
      </c>
      <c r="C590" s="10" t="s">
        <v>315</v>
      </c>
      <c r="D590" s="10" t="s">
        <v>315</v>
      </c>
      <c r="E590" s="10" t="s">
        <v>315</v>
      </c>
    </row>
    <row r="591" spans="1:5" x14ac:dyDescent="0.35">
      <c r="A591" s="3">
        <v>44420</v>
      </c>
      <c r="B591" s="1">
        <f t="shared" si="14"/>
        <v>4</v>
      </c>
      <c r="C591" s="10" t="s">
        <v>315</v>
      </c>
      <c r="D591" s="10" t="s">
        <v>315</v>
      </c>
      <c r="E591" s="10" t="s">
        <v>315</v>
      </c>
    </row>
    <row r="592" spans="1:5" x14ac:dyDescent="0.35">
      <c r="A592" s="3">
        <v>44421</v>
      </c>
      <c r="B592" s="1">
        <f t="shared" si="14"/>
        <v>5</v>
      </c>
      <c r="C592" s="10" t="s">
        <v>315</v>
      </c>
      <c r="D592" s="10" t="s">
        <v>315</v>
      </c>
      <c r="E592" s="10" t="s">
        <v>315</v>
      </c>
    </row>
    <row r="593" spans="1:5" x14ac:dyDescent="0.35">
      <c r="A593" s="3">
        <v>44422</v>
      </c>
      <c r="B593" s="1">
        <f t="shared" si="14"/>
        <v>6</v>
      </c>
      <c r="C593" s="10" t="s">
        <v>315</v>
      </c>
      <c r="D593" s="10" t="s">
        <v>313</v>
      </c>
      <c r="E593" s="10" t="s">
        <v>313</v>
      </c>
    </row>
    <row r="594" spans="1:5" x14ac:dyDescent="0.35">
      <c r="A594" s="3">
        <v>44423</v>
      </c>
      <c r="B594" s="1">
        <f t="shared" si="14"/>
        <v>7</v>
      </c>
      <c r="C594" s="10" t="s">
        <v>313</v>
      </c>
      <c r="D594" s="10" t="s">
        <v>313</v>
      </c>
      <c r="E594" s="10" t="s">
        <v>313</v>
      </c>
    </row>
    <row r="595" spans="1:5" x14ac:dyDescent="0.35">
      <c r="A595" s="3">
        <v>44424</v>
      </c>
      <c r="B595" s="1">
        <f t="shared" si="14"/>
        <v>1</v>
      </c>
      <c r="C595" s="10" t="s">
        <v>315</v>
      </c>
      <c r="D595" s="10" t="s">
        <v>315</v>
      </c>
      <c r="E595" s="10" t="s">
        <v>315</v>
      </c>
    </row>
    <row r="596" spans="1:5" x14ac:dyDescent="0.35">
      <c r="A596" s="3">
        <v>44425</v>
      </c>
      <c r="B596" s="1">
        <f t="shared" si="14"/>
        <v>2</v>
      </c>
      <c r="C596" s="10" t="s">
        <v>315</v>
      </c>
      <c r="D596" s="10" t="s">
        <v>315</v>
      </c>
      <c r="E596" s="10" t="s">
        <v>315</v>
      </c>
    </row>
    <row r="597" spans="1:5" x14ac:dyDescent="0.35">
      <c r="A597" s="3">
        <v>44426</v>
      </c>
      <c r="B597" s="1">
        <f t="shared" si="14"/>
        <v>3</v>
      </c>
      <c r="C597" s="10" t="s">
        <v>315</v>
      </c>
      <c r="D597" s="10" t="s">
        <v>315</v>
      </c>
      <c r="E597" s="10" t="s">
        <v>315</v>
      </c>
    </row>
    <row r="598" spans="1:5" x14ac:dyDescent="0.35">
      <c r="A598" s="3">
        <v>44427</v>
      </c>
      <c r="B598" s="1">
        <f t="shared" si="14"/>
        <v>4</v>
      </c>
      <c r="C598" s="10" t="s">
        <v>315</v>
      </c>
      <c r="D598" s="10" t="s">
        <v>315</v>
      </c>
      <c r="E598" s="10" t="s">
        <v>315</v>
      </c>
    </row>
    <row r="599" spans="1:5" x14ac:dyDescent="0.35">
      <c r="A599" s="3">
        <v>44428</v>
      </c>
      <c r="B599" s="1">
        <f t="shared" si="14"/>
        <v>5</v>
      </c>
      <c r="C599" s="10" t="s">
        <v>315</v>
      </c>
      <c r="D599" s="10" t="s">
        <v>315</v>
      </c>
      <c r="E599" s="10" t="s">
        <v>315</v>
      </c>
    </row>
    <row r="600" spans="1:5" x14ac:dyDescent="0.35">
      <c r="A600" s="3">
        <v>44429</v>
      </c>
      <c r="B600" s="1">
        <f t="shared" si="14"/>
        <v>6</v>
      </c>
      <c r="C600" s="10" t="s">
        <v>315</v>
      </c>
      <c r="D600" s="10" t="s">
        <v>313</v>
      </c>
      <c r="E600" s="10" t="s">
        <v>313</v>
      </c>
    </row>
    <row r="601" spans="1:5" x14ac:dyDescent="0.35">
      <c r="A601" s="3">
        <v>44430</v>
      </c>
      <c r="B601" s="1">
        <f t="shared" si="14"/>
        <v>7</v>
      </c>
      <c r="C601" s="10" t="s">
        <v>313</v>
      </c>
      <c r="D601" s="10" t="s">
        <v>313</v>
      </c>
      <c r="E601" s="10" t="s">
        <v>313</v>
      </c>
    </row>
    <row r="602" spans="1:5" x14ac:dyDescent="0.35">
      <c r="A602" s="3">
        <v>44431</v>
      </c>
      <c r="B602" s="1">
        <f t="shared" si="14"/>
        <v>1</v>
      </c>
      <c r="C602" s="10" t="s">
        <v>315</v>
      </c>
      <c r="D602" s="10" t="s">
        <v>315</v>
      </c>
      <c r="E602" s="10" t="s">
        <v>315</v>
      </c>
    </row>
    <row r="603" spans="1:5" x14ac:dyDescent="0.35">
      <c r="A603" s="3">
        <v>44432</v>
      </c>
      <c r="B603" s="1">
        <f t="shared" si="14"/>
        <v>2</v>
      </c>
      <c r="C603" s="10" t="s">
        <v>315</v>
      </c>
      <c r="D603" s="10" t="s">
        <v>315</v>
      </c>
      <c r="E603" s="10" t="s">
        <v>315</v>
      </c>
    </row>
    <row r="604" spans="1:5" x14ac:dyDescent="0.35">
      <c r="A604" s="3">
        <v>44433</v>
      </c>
      <c r="B604" s="1">
        <f t="shared" si="14"/>
        <v>3</v>
      </c>
      <c r="C604" s="10" t="s">
        <v>315</v>
      </c>
      <c r="D604" s="10" t="s">
        <v>315</v>
      </c>
      <c r="E604" s="10" t="s">
        <v>315</v>
      </c>
    </row>
    <row r="605" spans="1:5" x14ac:dyDescent="0.35">
      <c r="A605" s="3">
        <v>44434</v>
      </c>
      <c r="B605" s="1">
        <f t="shared" si="14"/>
        <v>4</v>
      </c>
      <c r="C605" s="10" t="s">
        <v>315</v>
      </c>
      <c r="D605" s="10" t="s">
        <v>315</v>
      </c>
      <c r="E605" s="10" t="s">
        <v>315</v>
      </c>
    </row>
    <row r="606" spans="1:5" x14ac:dyDescent="0.35">
      <c r="A606" s="3">
        <v>44435</v>
      </c>
      <c r="B606" s="1">
        <f t="shared" si="14"/>
        <v>5</v>
      </c>
      <c r="C606" s="10" t="s">
        <v>315</v>
      </c>
      <c r="D606" s="10" t="s">
        <v>315</v>
      </c>
      <c r="E606" s="10" t="s">
        <v>315</v>
      </c>
    </row>
    <row r="607" spans="1:5" x14ac:dyDescent="0.35">
      <c r="A607" s="3">
        <v>44436</v>
      </c>
      <c r="B607" s="1">
        <f t="shared" si="14"/>
        <v>6</v>
      </c>
      <c r="C607" s="10" t="s">
        <v>315</v>
      </c>
      <c r="D607" s="10" t="s">
        <v>313</v>
      </c>
      <c r="E607" s="10" t="s">
        <v>313</v>
      </c>
    </row>
    <row r="608" spans="1:5" x14ac:dyDescent="0.35">
      <c r="A608" s="3">
        <v>44437</v>
      </c>
      <c r="B608" s="1">
        <f t="shared" ref="B608:B671" si="15">IF(A608&gt;0,WEEKDAY(A608,2),"")</f>
        <v>7</v>
      </c>
      <c r="C608" s="10" t="s">
        <v>313</v>
      </c>
      <c r="D608" s="10" t="s">
        <v>313</v>
      </c>
      <c r="E608" s="10" t="s">
        <v>313</v>
      </c>
    </row>
    <row r="609" spans="1:5" x14ac:dyDescent="0.35">
      <c r="A609" s="3">
        <v>44438</v>
      </c>
      <c r="B609" s="1">
        <f t="shared" si="15"/>
        <v>1</v>
      </c>
      <c r="C609" s="10" t="s">
        <v>315</v>
      </c>
      <c r="D609" s="10" t="s">
        <v>315</v>
      </c>
      <c r="E609" s="10" t="s">
        <v>315</v>
      </c>
    </row>
    <row r="610" spans="1:5" x14ac:dyDescent="0.35">
      <c r="A610" s="3">
        <v>44439</v>
      </c>
      <c r="B610" s="1">
        <f t="shared" si="15"/>
        <v>2</v>
      </c>
      <c r="C610" s="10" t="s">
        <v>315</v>
      </c>
      <c r="D610" s="10" t="s">
        <v>315</v>
      </c>
      <c r="E610" s="10" t="s">
        <v>315</v>
      </c>
    </row>
    <row r="611" spans="1:5" x14ac:dyDescent="0.35">
      <c r="A611" s="3">
        <v>44440</v>
      </c>
      <c r="B611" s="1">
        <f t="shared" si="15"/>
        <v>3</v>
      </c>
      <c r="C611" s="10" t="s">
        <v>315</v>
      </c>
      <c r="D611" s="10" t="s">
        <v>315</v>
      </c>
      <c r="E611" s="10" t="s">
        <v>315</v>
      </c>
    </row>
    <row r="612" spans="1:5" x14ac:dyDescent="0.35">
      <c r="A612" s="3">
        <v>44441</v>
      </c>
      <c r="B612" s="1">
        <f t="shared" si="15"/>
        <v>4</v>
      </c>
      <c r="C612" s="10" t="s">
        <v>315</v>
      </c>
      <c r="D612" s="10" t="s">
        <v>315</v>
      </c>
      <c r="E612" s="10" t="s">
        <v>315</v>
      </c>
    </row>
    <row r="613" spans="1:5" x14ac:dyDescent="0.35">
      <c r="A613" s="3">
        <v>44442</v>
      </c>
      <c r="B613" s="1">
        <f t="shared" si="15"/>
        <v>5</v>
      </c>
      <c r="C613" s="10" t="s">
        <v>315</v>
      </c>
      <c r="D613" s="10" t="s">
        <v>315</v>
      </c>
      <c r="E613" s="10" t="s">
        <v>315</v>
      </c>
    </row>
    <row r="614" spans="1:5" x14ac:dyDescent="0.35">
      <c r="A614" s="3">
        <v>44443</v>
      </c>
      <c r="B614" s="1">
        <f t="shared" si="15"/>
        <v>6</v>
      </c>
      <c r="C614" s="10" t="s">
        <v>315</v>
      </c>
      <c r="D614" s="10" t="s">
        <v>313</v>
      </c>
      <c r="E614" s="10" t="s">
        <v>313</v>
      </c>
    </row>
    <row r="615" spans="1:5" x14ac:dyDescent="0.35">
      <c r="A615" s="3">
        <v>44444</v>
      </c>
      <c r="B615" s="1">
        <f t="shared" si="15"/>
        <v>7</v>
      </c>
      <c r="C615" s="10" t="s">
        <v>313</v>
      </c>
      <c r="D615" s="10" t="s">
        <v>313</v>
      </c>
      <c r="E615" s="10" t="s">
        <v>313</v>
      </c>
    </row>
    <row r="616" spans="1:5" x14ac:dyDescent="0.35">
      <c r="A616" s="3">
        <v>44445</v>
      </c>
      <c r="B616" s="1">
        <f t="shared" si="15"/>
        <v>1</v>
      </c>
      <c r="C616" s="10" t="s">
        <v>315</v>
      </c>
      <c r="D616" s="10" t="s">
        <v>315</v>
      </c>
      <c r="E616" s="10" t="s">
        <v>315</v>
      </c>
    </row>
    <row r="617" spans="1:5" x14ac:dyDescent="0.35">
      <c r="A617" s="3">
        <v>44446</v>
      </c>
      <c r="B617" s="1">
        <f t="shared" si="15"/>
        <v>2</v>
      </c>
      <c r="C617" s="10" t="s">
        <v>315</v>
      </c>
      <c r="D617" s="10" t="s">
        <v>315</v>
      </c>
      <c r="E617" s="10" t="s">
        <v>315</v>
      </c>
    </row>
    <row r="618" spans="1:5" x14ac:dyDescent="0.35">
      <c r="A618" s="3">
        <v>44447</v>
      </c>
      <c r="B618" s="1">
        <f t="shared" si="15"/>
        <v>3</v>
      </c>
      <c r="C618" s="10" t="s">
        <v>315</v>
      </c>
      <c r="D618" s="10" t="s">
        <v>315</v>
      </c>
      <c r="E618" s="10" t="s">
        <v>315</v>
      </c>
    </row>
    <row r="619" spans="1:5" x14ac:dyDescent="0.35">
      <c r="A619" s="3">
        <v>44448</v>
      </c>
      <c r="B619" s="1">
        <f t="shared" si="15"/>
        <v>4</v>
      </c>
      <c r="C619" s="10" t="s">
        <v>315</v>
      </c>
      <c r="D619" s="10" t="s">
        <v>315</v>
      </c>
      <c r="E619" s="10" t="s">
        <v>315</v>
      </c>
    </row>
    <row r="620" spans="1:5" x14ac:dyDescent="0.35">
      <c r="A620" s="3">
        <v>44449</v>
      </c>
      <c r="B620" s="1">
        <f t="shared" si="15"/>
        <v>5</v>
      </c>
      <c r="C620" s="10" t="s">
        <v>315</v>
      </c>
      <c r="D620" s="10" t="s">
        <v>315</v>
      </c>
      <c r="E620" s="10" t="s">
        <v>315</v>
      </c>
    </row>
    <row r="621" spans="1:5" x14ac:dyDescent="0.35">
      <c r="A621" s="3">
        <v>44450</v>
      </c>
      <c r="B621" s="1">
        <f t="shared" si="15"/>
        <v>6</v>
      </c>
      <c r="C621" s="10" t="s">
        <v>315</v>
      </c>
      <c r="D621" s="10" t="s">
        <v>313</v>
      </c>
      <c r="E621" s="10" t="s">
        <v>313</v>
      </c>
    </row>
    <row r="622" spans="1:5" x14ac:dyDescent="0.35">
      <c r="A622" s="3">
        <v>44451</v>
      </c>
      <c r="B622" s="1">
        <f t="shared" si="15"/>
        <v>7</v>
      </c>
      <c r="C622" s="10" t="s">
        <v>313</v>
      </c>
      <c r="D622" s="10" t="s">
        <v>313</v>
      </c>
      <c r="E622" s="10" t="s">
        <v>313</v>
      </c>
    </row>
    <row r="623" spans="1:5" x14ac:dyDescent="0.35">
      <c r="A623" s="3">
        <v>44452</v>
      </c>
      <c r="B623" s="1">
        <f t="shared" si="15"/>
        <v>1</v>
      </c>
      <c r="C623" s="10" t="s">
        <v>315</v>
      </c>
      <c r="D623" s="10" t="s">
        <v>315</v>
      </c>
      <c r="E623" s="10" t="s">
        <v>315</v>
      </c>
    </row>
    <row r="624" spans="1:5" x14ac:dyDescent="0.35">
      <c r="A624" s="3">
        <v>44453</v>
      </c>
      <c r="B624" s="1">
        <f t="shared" si="15"/>
        <v>2</v>
      </c>
      <c r="C624" s="10" t="s">
        <v>315</v>
      </c>
      <c r="D624" s="10" t="s">
        <v>315</v>
      </c>
      <c r="E624" s="10" t="s">
        <v>315</v>
      </c>
    </row>
    <row r="625" spans="1:5" x14ac:dyDescent="0.35">
      <c r="A625" s="3">
        <v>44454</v>
      </c>
      <c r="B625" s="1">
        <f t="shared" si="15"/>
        <v>3</v>
      </c>
      <c r="C625" s="10" t="s">
        <v>315</v>
      </c>
      <c r="D625" s="10" t="s">
        <v>315</v>
      </c>
      <c r="E625" s="10" t="s">
        <v>315</v>
      </c>
    </row>
    <row r="626" spans="1:5" x14ac:dyDescent="0.35">
      <c r="A626" s="3">
        <v>44455</v>
      </c>
      <c r="B626" s="1">
        <f t="shared" si="15"/>
        <v>4</v>
      </c>
      <c r="C626" s="10" t="s">
        <v>315</v>
      </c>
      <c r="D626" s="10" t="s">
        <v>315</v>
      </c>
      <c r="E626" s="10" t="s">
        <v>315</v>
      </c>
    </row>
    <row r="627" spans="1:5" x14ac:dyDescent="0.35">
      <c r="A627" s="3">
        <v>44456</v>
      </c>
      <c r="B627" s="1">
        <f t="shared" si="15"/>
        <v>5</v>
      </c>
      <c r="C627" s="10" t="s">
        <v>315</v>
      </c>
      <c r="D627" s="10" t="s">
        <v>315</v>
      </c>
      <c r="E627" s="10" t="s">
        <v>315</v>
      </c>
    </row>
    <row r="628" spans="1:5" x14ac:dyDescent="0.35">
      <c r="A628" s="3">
        <v>44457</v>
      </c>
      <c r="B628" s="1">
        <f t="shared" si="15"/>
        <v>6</v>
      </c>
      <c r="C628" s="10" t="s">
        <v>315</v>
      </c>
      <c r="D628" s="10" t="s">
        <v>313</v>
      </c>
      <c r="E628" s="10" t="s">
        <v>313</v>
      </c>
    </row>
    <row r="629" spans="1:5" x14ac:dyDescent="0.35">
      <c r="A629" s="3">
        <v>44458</v>
      </c>
      <c r="B629" s="1">
        <f t="shared" si="15"/>
        <v>7</v>
      </c>
      <c r="C629" s="10" t="s">
        <v>313</v>
      </c>
      <c r="D629" s="10" t="s">
        <v>313</v>
      </c>
      <c r="E629" s="10" t="s">
        <v>313</v>
      </c>
    </row>
    <row r="630" spans="1:5" x14ac:dyDescent="0.35">
      <c r="A630" s="3">
        <v>44459</v>
      </c>
      <c r="B630" s="1">
        <f t="shared" si="15"/>
        <v>1</v>
      </c>
      <c r="C630" s="10" t="s">
        <v>315</v>
      </c>
      <c r="D630" s="10" t="s">
        <v>315</v>
      </c>
      <c r="E630" s="10" t="s">
        <v>315</v>
      </c>
    </row>
    <row r="631" spans="1:5" x14ac:dyDescent="0.35">
      <c r="A631" s="3">
        <v>44460</v>
      </c>
      <c r="B631" s="1">
        <f t="shared" si="15"/>
        <v>2</v>
      </c>
      <c r="C631" s="10" t="s">
        <v>315</v>
      </c>
      <c r="D631" s="10" t="s">
        <v>315</v>
      </c>
      <c r="E631" s="10" t="s">
        <v>315</v>
      </c>
    </row>
    <row r="632" spans="1:5" x14ac:dyDescent="0.35">
      <c r="A632" s="3">
        <v>44461</v>
      </c>
      <c r="B632" s="1">
        <f t="shared" si="15"/>
        <v>3</v>
      </c>
      <c r="C632" s="10" t="s">
        <v>315</v>
      </c>
      <c r="D632" s="10" t="s">
        <v>315</v>
      </c>
      <c r="E632" s="10" t="s">
        <v>315</v>
      </c>
    </row>
    <row r="633" spans="1:5" x14ac:dyDescent="0.35">
      <c r="A633" s="3">
        <v>44462</v>
      </c>
      <c r="B633" s="1">
        <f t="shared" si="15"/>
        <v>4</v>
      </c>
      <c r="C633" s="10" t="s">
        <v>315</v>
      </c>
      <c r="D633" s="10" t="s">
        <v>315</v>
      </c>
      <c r="E633" s="10" t="s">
        <v>315</v>
      </c>
    </row>
    <row r="634" spans="1:5" x14ac:dyDescent="0.35">
      <c r="A634" s="3">
        <v>44463</v>
      </c>
      <c r="B634" s="1">
        <f t="shared" si="15"/>
        <v>5</v>
      </c>
      <c r="C634" s="10" t="s">
        <v>315</v>
      </c>
      <c r="D634" s="10" t="s">
        <v>315</v>
      </c>
      <c r="E634" s="10" t="s">
        <v>315</v>
      </c>
    </row>
    <row r="635" spans="1:5" x14ac:dyDescent="0.35">
      <c r="A635" s="3">
        <v>44464</v>
      </c>
      <c r="B635" s="1">
        <f t="shared" si="15"/>
        <v>6</v>
      </c>
      <c r="C635" s="10" t="s">
        <v>315</v>
      </c>
      <c r="D635" s="10" t="s">
        <v>313</v>
      </c>
      <c r="E635" s="10" t="s">
        <v>313</v>
      </c>
    </row>
    <row r="636" spans="1:5" x14ac:dyDescent="0.35">
      <c r="A636" s="3">
        <v>44465</v>
      </c>
      <c r="B636" s="1">
        <f t="shared" si="15"/>
        <v>7</v>
      </c>
      <c r="C636" s="10" t="s">
        <v>313</v>
      </c>
      <c r="D636" s="10" t="s">
        <v>313</v>
      </c>
      <c r="E636" s="10" t="s">
        <v>313</v>
      </c>
    </row>
    <row r="637" spans="1:5" x14ac:dyDescent="0.35">
      <c r="A637" s="3">
        <v>44466</v>
      </c>
      <c r="B637" s="1">
        <f t="shared" si="15"/>
        <v>1</v>
      </c>
      <c r="C637" s="10" t="s">
        <v>315</v>
      </c>
      <c r="D637" s="10" t="s">
        <v>315</v>
      </c>
      <c r="E637" s="10" t="s">
        <v>315</v>
      </c>
    </row>
    <row r="638" spans="1:5" x14ac:dyDescent="0.35">
      <c r="A638" s="3">
        <v>44467</v>
      </c>
      <c r="B638" s="1">
        <f t="shared" si="15"/>
        <v>2</v>
      </c>
      <c r="C638" s="10" t="s">
        <v>315</v>
      </c>
      <c r="D638" s="10" t="s">
        <v>315</v>
      </c>
      <c r="E638" s="10" t="s">
        <v>315</v>
      </c>
    </row>
    <row r="639" spans="1:5" x14ac:dyDescent="0.35">
      <c r="A639" s="3">
        <v>44468</v>
      </c>
      <c r="B639" s="1">
        <f t="shared" si="15"/>
        <v>3</v>
      </c>
      <c r="C639" s="10" t="s">
        <v>315</v>
      </c>
      <c r="D639" s="10" t="s">
        <v>315</v>
      </c>
      <c r="E639" s="10" t="s">
        <v>315</v>
      </c>
    </row>
    <row r="640" spans="1:5" x14ac:dyDescent="0.35">
      <c r="A640" s="3">
        <v>44469</v>
      </c>
      <c r="B640" s="1">
        <f t="shared" si="15"/>
        <v>4</v>
      </c>
      <c r="C640" s="10" t="s">
        <v>315</v>
      </c>
      <c r="D640" s="10" t="s">
        <v>315</v>
      </c>
      <c r="E640" s="10" t="s">
        <v>315</v>
      </c>
    </row>
    <row r="641" spans="1:5" x14ac:dyDescent="0.35">
      <c r="A641" s="3">
        <v>44470</v>
      </c>
      <c r="B641" s="1">
        <f t="shared" si="15"/>
        <v>5</v>
      </c>
      <c r="C641" s="10" t="s">
        <v>315</v>
      </c>
      <c r="D641" s="10" t="s">
        <v>315</v>
      </c>
      <c r="E641" s="10" t="s">
        <v>315</v>
      </c>
    </row>
    <row r="642" spans="1:5" x14ac:dyDescent="0.35">
      <c r="A642" s="3">
        <v>44471</v>
      </c>
      <c r="B642" s="1">
        <f t="shared" si="15"/>
        <v>6</v>
      </c>
      <c r="C642" s="10" t="s">
        <v>315</v>
      </c>
      <c r="D642" s="10" t="s">
        <v>313</v>
      </c>
      <c r="E642" s="10" t="s">
        <v>313</v>
      </c>
    </row>
    <row r="643" spans="1:5" x14ac:dyDescent="0.35">
      <c r="A643" s="3">
        <v>44472</v>
      </c>
      <c r="B643" s="1">
        <f t="shared" si="15"/>
        <v>7</v>
      </c>
      <c r="C643" s="10" t="s">
        <v>313</v>
      </c>
      <c r="D643" s="10" t="s">
        <v>313</v>
      </c>
      <c r="E643" s="10" t="s">
        <v>313</v>
      </c>
    </row>
    <row r="644" spans="1:5" x14ac:dyDescent="0.35">
      <c r="A644" s="3">
        <v>44473</v>
      </c>
      <c r="B644" s="1">
        <f t="shared" si="15"/>
        <v>1</v>
      </c>
      <c r="C644" s="10" t="s">
        <v>315</v>
      </c>
      <c r="D644" s="10" t="s">
        <v>315</v>
      </c>
      <c r="E644" s="10" t="s">
        <v>315</v>
      </c>
    </row>
    <row r="645" spans="1:5" x14ac:dyDescent="0.35">
      <c r="A645" s="3">
        <v>44474</v>
      </c>
      <c r="B645" s="1">
        <f t="shared" si="15"/>
        <v>2</v>
      </c>
      <c r="C645" s="10" t="s">
        <v>315</v>
      </c>
      <c r="D645" s="10" t="s">
        <v>315</v>
      </c>
      <c r="E645" s="10" t="s">
        <v>315</v>
      </c>
    </row>
    <row r="646" spans="1:5" x14ac:dyDescent="0.35">
      <c r="A646" s="3">
        <v>44475</v>
      </c>
      <c r="B646" s="1">
        <f t="shared" si="15"/>
        <v>3</v>
      </c>
      <c r="C646" s="10" t="s">
        <v>315</v>
      </c>
      <c r="D646" s="10" t="s">
        <v>315</v>
      </c>
      <c r="E646" s="10" t="s">
        <v>315</v>
      </c>
    </row>
    <row r="647" spans="1:5" x14ac:dyDescent="0.35">
      <c r="A647" s="3">
        <v>44476</v>
      </c>
      <c r="B647" s="1">
        <f t="shared" si="15"/>
        <v>4</v>
      </c>
      <c r="C647" s="10" t="s">
        <v>315</v>
      </c>
      <c r="D647" s="10" t="s">
        <v>315</v>
      </c>
      <c r="E647" s="10" t="s">
        <v>315</v>
      </c>
    </row>
    <row r="648" spans="1:5" x14ac:dyDescent="0.35">
      <c r="A648" s="3">
        <v>44477</v>
      </c>
      <c r="B648" s="1">
        <f t="shared" si="15"/>
        <v>5</v>
      </c>
      <c r="C648" s="10" t="s">
        <v>315</v>
      </c>
      <c r="D648" s="10" t="s">
        <v>315</v>
      </c>
      <c r="E648" s="10" t="s">
        <v>315</v>
      </c>
    </row>
    <row r="649" spans="1:5" x14ac:dyDescent="0.35">
      <c r="A649" s="3">
        <v>44478</v>
      </c>
      <c r="B649" s="1">
        <f t="shared" si="15"/>
        <v>6</v>
      </c>
      <c r="C649" s="10" t="s">
        <v>315</v>
      </c>
      <c r="D649" s="10" t="s">
        <v>313</v>
      </c>
      <c r="E649" s="10" t="s">
        <v>313</v>
      </c>
    </row>
    <row r="650" spans="1:5" x14ac:dyDescent="0.35">
      <c r="A650" s="3">
        <v>44479</v>
      </c>
      <c r="B650" s="1">
        <f t="shared" si="15"/>
        <v>7</v>
      </c>
      <c r="C650" s="10" t="s">
        <v>313</v>
      </c>
      <c r="D650" s="10" t="s">
        <v>313</v>
      </c>
      <c r="E650" s="10" t="s">
        <v>313</v>
      </c>
    </row>
    <row r="651" spans="1:5" x14ac:dyDescent="0.35">
      <c r="A651" s="3">
        <v>44480</v>
      </c>
      <c r="B651" s="1">
        <f t="shared" si="15"/>
        <v>1</v>
      </c>
      <c r="C651" s="10" t="s">
        <v>315</v>
      </c>
      <c r="D651" s="10" t="s">
        <v>315</v>
      </c>
      <c r="E651" s="10" t="s">
        <v>315</v>
      </c>
    </row>
    <row r="652" spans="1:5" x14ac:dyDescent="0.35">
      <c r="A652" s="3">
        <v>44481</v>
      </c>
      <c r="B652" s="1">
        <f t="shared" si="15"/>
        <v>2</v>
      </c>
      <c r="C652" s="10" t="s">
        <v>315</v>
      </c>
      <c r="D652" s="10" t="s">
        <v>315</v>
      </c>
      <c r="E652" s="10" t="s">
        <v>315</v>
      </c>
    </row>
    <row r="653" spans="1:5" x14ac:dyDescent="0.35">
      <c r="A653" s="3">
        <v>44482</v>
      </c>
      <c r="B653" s="1">
        <f t="shared" si="15"/>
        <v>3</v>
      </c>
      <c r="C653" s="10" t="s">
        <v>315</v>
      </c>
      <c r="D653" s="10" t="s">
        <v>315</v>
      </c>
      <c r="E653" s="10" t="s">
        <v>315</v>
      </c>
    </row>
    <row r="654" spans="1:5" x14ac:dyDescent="0.35">
      <c r="A654" s="3">
        <v>44483</v>
      </c>
      <c r="B654" s="1">
        <f t="shared" si="15"/>
        <v>4</v>
      </c>
      <c r="C654" s="10" t="s">
        <v>315</v>
      </c>
      <c r="D654" s="10" t="s">
        <v>315</v>
      </c>
      <c r="E654" s="10" t="s">
        <v>315</v>
      </c>
    </row>
    <row r="655" spans="1:5" x14ac:dyDescent="0.35">
      <c r="A655" s="3">
        <v>44484</v>
      </c>
      <c r="B655" s="1">
        <f t="shared" si="15"/>
        <v>5</v>
      </c>
      <c r="C655" s="10" t="s">
        <v>315</v>
      </c>
      <c r="D655" s="10" t="s">
        <v>315</v>
      </c>
      <c r="E655" s="10" t="s">
        <v>315</v>
      </c>
    </row>
    <row r="656" spans="1:5" x14ac:dyDescent="0.35">
      <c r="A656" s="3">
        <v>44485</v>
      </c>
      <c r="B656" s="1">
        <f t="shared" si="15"/>
        <v>6</v>
      </c>
      <c r="C656" s="10" t="s">
        <v>315</v>
      </c>
      <c r="D656" s="10" t="s">
        <v>313</v>
      </c>
      <c r="E656" s="10" t="s">
        <v>313</v>
      </c>
    </row>
    <row r="657" spans="1:5" x14ac:dyDescent="0.35">
      <c r="A657" s="3">
        <v>44486</v>
      </c>
      <c r="B657" s="1">
        <f t="shared" si="15"/>
        <v>7</v>
      </c>
      <c r="C657" s="10" t="s">
        <v>313</v>
      </c>
      <c r="D657" s="10" t="s">
        <v>313</v>
      </c>
      <c r="E657" s="10" t="s">
        <v>313</v>
      </c>
    </row>
    <row r="658" spans="1:5" x14ac:dyDescent="0.35">
      <c r="A658" s="3">
        <v>44487</v>
      </c>
      <c r="B658" s="1">
        <f t="shared" si="15"/>
        <v>1</v>
      </c>
      <c r="C658" s="10" t="s">
        <v>315</v>
      </c>
      <c r="D658" s="10" t="s">
        <v>315</v>
      </c>
      <c r="E658" s="10" t="s">
        <v>315</v>
      </c>
    </row>
    <row r="659" spans="1:5" x14ac:dyDescent="0.35">
      <c r="A659" s="3">
        <v>44488</v>
      </c>
      <c r="B659" s="1">
        <f t="shared" si="15"/>
        <v>2</v>
      </c>
      <c r="C659" s="10" t="s">
        <v>315</v>
      </c>
      <c r="D659" s="10" t="s">
        <v>315</v>
      </c>
      <c r="E659" s="10" t="s">
        <v>315</v>
      </c>
    </row>
    <row r="660" spans="1:5" x14ac:dyDescent="0.35">
      <c r="A660" s="3">
        <v>44489</v>
      </c>
      <c r="B660" s="1">
        <f t="shared" si="15"/>
        <v>3</v>
      </c>
      <c r="C660" s="10" t="s">
        <v>315</v>
      </c>
      <c r="D660" s="10" t="s">
        <v>315</v>
      </c>
      <c r="E660" s="10" t="s">
        <v>315</v>
      </c>
    </row>
    <row r="661" spans="1:5" x14ac:dyDescent="0.35">
      <c r="A661" s="3">
        <v>44490</v>
      </c>
      <c r="B661" s="1">
        <f t="shared" si="15"/>
        <v>4</v>
      </c>
      <c r="C661" s="10" t="s">
        <v>315</v>
      </c>
      <c r="D661" s="10" t="s">
        <v>315</v>
      </c>
      <c r="E661" s="10" t="s">
        <v>315</v>
      </c>
    </row>
    <row r="662" spans="1:5" x14ac:dyDescent="0.35">
      <c r="A662" s="3">
        <v>44491</v>
      </c>
      <c r="B662" s="1">
        <f t="shared" si="15"/>
        <v>5</v>
      </c>
      <c r="C662" s="10" t="s">
        <v>315</v>
      </c>
      <c r="D662" s="10" t="s">
        <v>315</v>
      </c>
      <c r="E662" s="10" t="s">
        <v>315</v>
      </c>
    </row>
    <row r="663" spans="1:5" x14ac:dyDescent="0.35">
      <c r="A663" s="3">
        <v>44492</v>
      </c>
      <c r="B663" s="1">
        <f t="shared" si="15"/>
        <v>6</v>
      </c>
      <c r="C663" s="10" t="s">
        <v>315</v>
      </c>
      <c r="D663" s="10" t="s">
        <v>313</v>
      </c>
      <c r="E663" s="10" t="s">
        <v>313</v>
      </c>
    </row>
    <row r="664" spans="1:5" x14ac:dyDescent="0.35">
      <c r="A664" s="3">
        <v>44493</v>
      </c>
      <c r="B664" s="1">
        <f t="shared" si="15"/>
        <v>7</v>
      </c>
      <c r="C664" s="10" t="s">
        <v>313</v>
      </c>
      <c r="D664" s="10" t="s">
        <v>313</v>
      </c>
      <c r="E664" s="10" t="s">
        <v>313</v>
      </c>
    </row>
    <row r="665" spans="1:5" x14ac:dyDescent="0.35">
      <c r="A665" s="3">
        <v>44494</v>
      </c>
      <c r="B665" s="1">
        <f t="shared" si="15"/>
        <v>1</v>
      </c>
      <c r="C665" s="10" t="s">
        <v>315</v>
      </c>
      <c r="D665" s="10" t="s">
        <v>315</v>
      </c>
      <c r="E665" s="10" t="s">
        <v>315</v>
      </c>
    </row>
    <row r="666" spans="1:5" x14ac:dyDescent="0.35">
      <c r="A666" s="3">
        <v>44495</v>
      </c>
      <c r="B666" s="1">
        <f t="shared" si="15"/>
        <v>2</v>
      </c>
      <c r="C666" s="10" t="s">
        <v>315</v>
      </c>
      <c r="D666" s="10" t="s">
        <v>315</v>
      </c>
      <c r="E666" s="10" t="s">
        <v>315</v>
      </c>
    </row>
    <row r="667" spans="1:5" x14ac:dyDescent="0.35">
      <c r="A667" s="3">
        <v>44496</v>
      </c>
      <c r="B667" s="1">
        <f t="shared" si="15"/>
        <v>3</v>
      </c>
      <c r="C667" s="10" t="s">
        <v>315</v>
      </c>
      <c r="D667" s="10" t="s">
        <v>315</v>
      </c>
      <c r="E667" s="10" t="s">
        <v>315</v>
      </c>
    </row>
    <row r="668" spans="1:5" x14ac:dyDescent="0.35">
      <c r="A668" s="3">
        <v>44497</v>
      </c>
      <c r="B668" s="1">
        <f t="shared" si="15"/>
        <v>4</v>
      </c>
      <c r="C668" s="10" t="s">
        <v>315</v>
      </c>
      <c r="D668" s="10" t="s">
        <v>315</v>
      </c>
      <c r="E668" s="10" t="s">
        <v>315</v>
      </c>
    </row>
    <row r="669" spans="1:5" x14ac:dyDescent="0.35">
      <c r="A669" s="3">
        <v>44498</v>
      </c>
      <c r="B669" s="1">
        <f t="shared" si="15"/>
        <v>5</v>
      </c>
      <c r="C669" s="10" t="s">
        <v>315</v>
      </c>
      <c r="D669" s="10" t="s">
        <v>315</v>
      </c>
      <c r="E669" s="10" t="s">
        <v>315</v>
      </c>
    </row>
    <row r="670" spans="1:5" x14ac:dyDescent="0.35">
      <c r="A670" s="3">
        <v>44499</v>
      </c>
      <c r="B670" s="1">
        <f t="shared" si="15"/>
        <v>6</v>
      </c>
      <c r="C670" s="10" t="s">
        <v>315</v>
      </c>
      <c r="D670" s="10" t="s">
        <v>313</v>
      </c>
      <c r="E670" s="10" t="s">
        <v>313</v>
      </c>
    </row>
    <row r="671" spans="1:5" x14ac:dyDescent="0.35">
      <c r="A671" s="3">
        <v>44500</v>
      </c>
      <c r="B671" s="1">
        <f t="shared" si="15"/>
        <v>7</v>
      </c>
      <c r="C671" s="10" t="s">
        <v>313</v>
      </c>
      <c r="D671" s="10" t="s">
        <v>313</v>
      </c>
      <c r="E671" s="10" t="s">
        <v>313</v>
      </c>
    </row>
    <row r="672" spans="1:5" x14ac:dyDescent="0.35">
      <c r="A672" s="3">
        <v>44501</v>
      </c>
      <c r="B672" s="1">
        <f t="shared" ref="B672:B735" si="16">IF(A672&gt;0,WEEKDAY(A672,2),"")</f>
        <v>1</v>
      </c>
      <c r="C672" s="10" t="s">
        <v>315</v>
      </c>
      <c r="D672" s="10" t="s">
        <v>315</v>
      </c>
      <c r="E672" s="10" t="s">
        <v>315</v>
      </c>
    </row>
    <row r="673" spans="1:5" x14ac:dyDescent="0.35">
      <c r="A673" s="3">
        <v>44502</v>
      </c>
      <c r="B673" s="1">
        <f t="shared" si="16"/>
        <v>2</v>
      </c>
      <c r="C673" s="10" t="s">
        <v>315</v>
      </c>
      <c r="D673" s="10" t="s">
        <v>315</v>
      </c>
      <c r="E673" s="10" t="s">
        <v>315</v>
      </c>
    </row>
    <row r="674" spans="1:5" x14ac:dyDescent="0.35">
      <c r="A674" s="3">
        <v>44503</v>
      </c>
      <c r="B674" s="1">
        <f t="shared" si="16"/>
        <v>3</v>
      </c>
      <c r="C674" s="10" t="s">
        <v>315</v>
      </c>
      <c r="D674" s="10" t="s">
        <v>315</v>
      </c>
      <c r="E674" s="10" t="s">
        <v>315</v>
      </c>
    </row>
    <row r="675" spans="1:5" x14ac:dyDescent="0.35">
      <c r="A675" s="3">
        <v>44504</v>
      </c>
      <c r="B675" s="1">
        <f t="shared" si="16"/>
        <v>4</v>
      </c>
      <c r="C675" s="10" t="s">
        <v>315</v>
      </c>
      <c r="D675" s="10" t="s">
        <v>315</v>
      </c>
      <c r="E675" s="10" t="s">
        <v>315</v>
      </c>
    </row>
    <row r="676" spans="1:5" x14ac:dyDescent="0.35">
      <c r="A676" s="3">
        <v>44505</v>
      </c>
      <c r="B676" s="1">
        <f t="shared" si="16"/>
        <v>5</v>
      </c>
      <c r="C676" s="10" t="s">
        <v>315</v>
      </c>
      <c r="D676" s="10" t="s">
        <v>315</v>
      </c>
      <c r="E676" s="10" t="s">
        <v>315</v>
      </c>
    </row>
    <row r="677" spans="1:5" x14ac:dyDescent="0.35">
      <c r="A677" s="3">
        <v>44506</v>
      </c>
      <c r="B677" s="1">
        <f t="shared" si="16"/>
        <v>6</v>
      </c>
      <c r="C677" s="10" t="s">
        <v>315</v>
      </c>
      <c r="D677" s="10" t="s">
        <v>313</v>
      </c>
      <c r="E677" s="10" t="s">
        <v>313</v>
      </c>
    </row>
    <row r="678" spans="1:5" x14ac:dyDescent="0.35">
      <c r="A678" s="3">
        <v>44507</v>
      </c>
      <c r="B678" s="1">
        <f t="shared" si="16"/>
        <v>7</v>
      </c>
      <c r="C678" s="10" t="s">
        <v>313</v>
      </c>
      <c r="D678" s="10" t="s">
        <v>313</v>
      </c>
      <c r="E678" s="10" t="s">
        <v>313</v>
      </c>
    </row>
    <row r="679" spans="1:5" x14ac:dyDescent="0.35">
      <c r="A679" s="3">
        <v>44508</v>
      </c>
      <c r="B679" s="1">
        <f t="shared" si="16"/>
        <v>1</v>
      </c>
      <c r="C679" s="10" t="s">
        <v>315</v>
      </c>
      <c r="D679" s="10" t="s">
        <v>315</v>
      </c>
      <c r="E679" s="10" t="s">
        <v>315</v>
      </c>
    </row>
    <row r="680" spans="1:5" x14ac:dyDescent="0.35">
      <c r="A680" s="3">
        <v>44509</v>
      </c>
      <c r="B680" s="1">
        <f t="shared" si="16"/>
        <v>2</v>
      </c>
      <c r="C680" s="10" t="s">
        <v>315</v>
      </c>
      <c r="D680" s="10" t="s">
        <v>315</v>
      </c>
      <c r="E680" s="10" t="s">
        <v>315</v>
      </c>
    </row>
    <row r="681" spans="1:5" x14ac:dyDescent="0.35">
      <c r="A681" s="3">
        <v>44510</v>
      </c>
      <c r="B681" s="1">
        <f t="shared" si="16"/>
        <v>3</v>
      </c>
      <c r="C681" s="10" t="s">
        <v>315</v>
      </c>
      <c r="D681" s="10" t="s">
        <v>315</v>
      </c>
      <c r="E681" s="10" t="s">
        <v>315</v>
      </c>
    </row>
    <row r="682" spans="1:5" x14ac:dyDescent="0.35">
      <c r="A682" s="3">
        <v>44511</v>
      </c>
      <c r="B682" s="1">
        <f t="shared" si="16"/>
        <v>4</v>
      </c>
      <c r="C682" s="10" t="s">
        <v>315</v>
      </c>
      <c r="D682" s="10" t="s">
        <v>315</v>
      </c>
      <c r="E682" s="10" t="s">
        <v>315</v>
      </c>
    </row>
    <row r="683" spans="1:5" x14ac:dyDescent="0.35">
      <c r="A683" s="3">
        <v>44512</v>
      </c>
      <c r="B683" s="1">
        <f t="shared" si="16"/>
        <v>5</v>
      </c>
      <c r="C683" s="10" t="s">
        <v>315</v>
      </c>
      <c r="D683" s="10" t="s">
        <v>315</v>
      </c>
      <c r="E683" s="10" t="s">
        <v>315</v>
      </c>
    </row>
    <row r="684" spans="1:5" x14ac:dyDescent="0.35">
      <c r="A684" s="3">
        <v>44513</v>
      </c>
      <c r="B684" s="1">
        <f t="shared" si="16"/>
        <v>6</v>
      </c>
      <c r="C684" s="10" t="s">
        <v>315</v>
      </c>
      <c r="D684" s="10" t="s">
        <v>313</v>
      </c>
      <c r="E684" s="10" t="s">
        <v>313</v>
      </c>
    </row>
    <row r="685" spans="1:5" x14ac:dyDescent="0.35">
      <c r="A685" s="3">
        <v>44514</v>
      </c>
      <c r="B685" s="1">
        <f t="shared" si="16"/>
        <v>7</v>
      </c>
      <c r="C685" s="10" t="s">
        <v>313</v>
      </c>
      <c r="D685" s="10" t="s">
        <v>313</v>
      </c>
      <c r="E685" s="10" t="s">
        <v>313</v>
      </c>
    </row>
    <row r="686" spans="1:5" x14ac:dyDescent="0.35">
      <c r="A686" s="3">
        <v>44515</v>
      </c>
      <c r="B686" s="1">
        <f t="shared" si="16"/>
        <v>1</v>
      </c>
      <c r="C686" s="10" t="s">
        <v>315</v>
      </c>
      <c r="D686" s="10" t="s">
        <v>315</v>
      </c>
      <c r="E686" s="10" t="s">
        <v>315</v>
      </c>
    </row>
    <row r="687" spans="1:5" x14ac:dyDescent="0.35">
      <c r="A687" s="3">
        <v>44516</v>
      </c>
      <c r="B687" s="1">
        <f t="shared" si="16"/>
        <v>2</v>
      </c>
      <c r="C687" s="10" t="s">
        <v>315</v>
      </c>
      <c r="D687" s="10" t="s">
        <v>315</v>
      </c>
      <c r="E687" s="10" t="s">
        <v>315</v>
      </c>
    </row>
    <row r="688" spans="1:5" x14ac:dyDescent="0.35">
      <c r="A688" s="3">
        <v>44517</v>
      </c>
      <c r="B688" s="1">
        <f t="shared" si="16"/>
        <v>3</v>
      </c>
      <c r="C688" s="10" t="s">
        <v>315</v>
      </c>
      <c r="D688" s="10" t="s">
        <v>315</v>
      </c>
      <c r="E688" s="10" t="s">
        <v>315</v>
      </c>
    </row>
    <row r="689" spans="1:5" x14ac:dyDescent="0.35">
      <c r="A689" s="3">
        <v>44518</v>
      </c>
      <c r="B689" s="1">
        <f t="shared" si="16"/>
        <v>4</v>
      </c>
      <c r="C689" s="10" t="s">
        <v>315</v>
      </c>
      <c r="D689" s="10" t="s">
        <v>315</v>
      </c>
      <c r="E689" s="10" t="s">
        <v>315</v>
      </c>
    </row>
    <row r="690" spans="1:5" x14ac:dyDescent="0.35">
      <c r="A690" s="3">
        <v>44519</v>
      </c>
      <c r="B690" s="1">
        <f t="shared" si="16"/>
        <v>5</v>
      </c>
      <c r="C690" s="10" t="s">
        <v>315</v>
      </c>
      <c r="D690" s="10" t="s">
        <v>315</v>
      </c>
      <c r="E690" s="10" t="s">
        <v>315</v>
      </c>
    </row>
    <row r="691" spans="1:5" x14ac:dyDescent="0.35">
      <c r="A691" s="3">
        <v>44520</v>
      </c>
      <c r="B691" s="1">
        <f t="shared" si="16"/>
        <v>6</v>
      </c>
      <c r="C691" s="10" t="s">
        <v>315</v>
      </c>
      <c r="D691" s="10" t="s">
        <v>313</v>
      </c>
      <c r="E691" s="10" t="s">
        <v>313</v>
      </c>
    </row>
    <row r="692" spans="1:5" x14ac:dyDescent="0.35">
      <c r="A692" s="3">
        <v>44521</v>
      </c>
      <c r="B692" s="1">
        <f t="shared" si="16"/>
        <v>7</v>
      </c>
      <c r="C692" s="10" t="s">
        <v>313</v>
      </c>
      <c r="D692" s="10" t="s">
        <v>313</v>
      </c>
      <c r="E692" s="10" t="s">
        <v>313</v>
      </c>
    </row>
    <row r="693" spans="1:5" x14ac:dyDescent="0.35">
      <c r="A693" s="3">
        <v>44522</v>
      </c>
      <c r="B693" s="1">
        <f t="shared" si="16"/>
        <v>1</v>
      </c>
      <c r="C693" s="10" t="s">
        <v>315</v>
      </c>
      <c r="D693" s="10" t="s">
        <v>315</v>
      </c>
      <c r="E693" s="10" t="s">
        <v>315</v>
      </c>
    </row>
    <row r="694" spans="1:5" x14ac:dyDescent="0.35">
      <c r="A694" s="3">
        <v>44523</v>
      </c>
      <c r="B694" s="1">
        <f t="shared" si="16"/>
        <v>2</v>
      </c>
      <c r="C694" s="10" t="s">
        <v>315</v>
      </c>
      <c r="D694" s="10" t="s">
        <v>315</v>
      </c>
      <c r="E694" s="10" t="s">
        <v>315</v>
      </c>
    </row>
    <row r="695" spans="1:5" x14ac:dyDescent="0.35">
      <c r="A695" s="3">
        <v>44524</v>
      </c>
      <c r="B695" s="1">
        <f t="shared" si="16"/>
        <v>3</v>
      </c>
      <c r="C695" s="10" t="s">
        <v>315</v>
      </c>
      <c r="D695" s="10" t="s">
        <v>315</v>
      </c>
      <c r="E695" s="10" t="s">
        <v>315</v>
      </c>
    </row>
    <row r="696" spans="1:5" x14ac:dyDescent="0.35">
      <c r="A696" s="3">
        <v>44525</v>
      </c>
      <c r="B696" s="1">
        <f t="shared" si="16"/>
        <v>4</v>
      </c>
      <c r="C696" s="10" t="s">
        <v>315</v>
      </c>
      <c r="D696" s="10" t="s">
        <v>315</v>
      </c>
      <c r="E696" s="10" t="s">
        <v>315</v>
      </c>
    </row>
    <row r="697" spans="1:5" x14ac:dyDescent="0.35">
      <c r="A697" s="3">
        <v>44526</v>
      </c>
      <c r="B697" s="1">
        <f t="shared" si="16"/>
        <v>5</v>
      </c>
      <c r="C697" s="10" t="s">
        <v>315</v>
      </c>
      <c r="D697" s="10" t="s">
        <v>315</v>
      </c>
      <c r="E697" s="10" t="s">
        <v>315</v>
      </c>
    </row>
    <row r="698" spans="1:5" x14ac:dyDescent="0.35">
      <c r="A698" s="3">
        <v>44527</v>
      </c>
      <c r="B698" s="1">
        <f t="shared" si="16"/>
        <v>6</v>
      </c>
      <c r="C698" s="10" t="s">
        <v>315</v>
      </c>
      <c r="D698" s="10" t="s">
        <v>313</v>
      </c>
      <c r="E698" s="10" t="s">
        <v>313</v>
      </c>
    </row>
    <row r="699" spans="1:5" x14ac:dyDescent="0.35">
      <c r="A699" s="3">
        <v>44528</v>
      </c>
      <c r="B699" s="1">
        <f t="shared" si="16"/>
        <v>7</v>
      </c>
      <c r="C699" s="10" t="s">
        <v>313</v>
      </c>
      <c r="D699" s="10" t="s">
        <v>313</v>
      </c>
      <c r="E699" s="10" t="s">
        <v>313</v>
      </c>
    </row>
    <row r="700" spans="1:5" x14ac:dyDescent="0.35">
      <c r="A700" s="3">
        <v>44529</v>
      </c>
      <c r="B700" s="1">
        <f t="shared" si="16"/>
        <v>1</v>
      </c>
      <c r="C700" s="10" t="s">
        <v>315</v>
      </c>
      <c r="D700" s="10" t="s">
        <v>315</v>
      </c>
      <c r="E700" s="10" t="s">
        <v>315</v>
      </c>
    </row>
    <row r="701" spans="1:5" x14ac:dyDescent="0.35">
      <c r="A701" s="3">
        <v>44530</v>
      </c>
      <c r="B701" s="1">
        <f t="shared" si="16"/>
        <v>2</v>
      </c>
      <c r="C701" s="10" t="s">
        <v>315</v>
      </c>
      <c r="D701" s="10" t="s">
        <v>315</v>
      </c>
      <c r="E701" s="10" t="s">
        <v>315</v>
      </c>
    </row>
    <row r="702" spans="1:5" x14ac:dyDescent="0.35">
      <c r="A702" s="3">
        <v>44531</v>
      </c>
      <c r="B702" s="1">
        <f t="shared" si="16"/>
        <v>3</v>
      </c>
      <c r="C702" s="10" t="s">
        <v>315</v>
      </c>
      <c r="D702" s="10" t="s">
        <v>315</v>
      </c>
      <c r="E702" s="10" t="s">
        <v>315</v>
      </c>
    </row>
    <row r="703" spans="1:5" x14ac:dyDescent="0.35">
      <c r="A703" s="3">
        <v>44532</v>
      </c>
      <c r="B703" s="1">
        <f t="shared" si="16"/>
        <v>4</v>
      </c>
      <c r="C703" s="10" t="s">
        <v>315</v>
      </c>
      <c r="D703" s="10" t="s">
        <v>315</v>
      </c>
      <c r="E703" s="10" t="s">
        <v>315</v>
      </c>
    </row>
    <row r="704" spans="1:5" x14ac:dyDescent="0.35">
      <c r="A704" s="3">
        <v>44533</v>
      </c>
      <c r="B704" s="1">
        <f t="shared" si="16"/>
        <v>5</v>
      </c>
      <c r="C704" s="10" t="s">
        <v>315</v>
      </c>
      <c r="D704" s="10" t="s">
        <v>315</v>
      </c>
      <c r="E704" s="10" t="s">
        <v>315</v>
      </c>
    </row>
    <row r="705" spans="1:5" x14ac:dyDescent="0.35">
      <c r="A705" s="3">
        <v>44534</v>
      </c>
      <c r="B705" s="1">
        <f t="shared" si="16"/>
        <v>6</v>
      </c>
      <c r="C705" s="10" t="s">
        <v>315</v>
      </c>
      <c r="D705" s="10" t="s">
        <v>313</v>
      </c>
      <c r="E705" s="10" t="s">
        <v>313</v>
      </c>
    </row>
    <row r="706" spans="1:5" x14ac:dyDescent="0.35">
      <c r="A706" s="3">
        <v>44535</v>
      </c>
      <c r="B706" s="1">
        <f t="shared" si="16"/>
        <v>7</v>
      </c>
      <c r="C706" s="10" t="s">
        <v>313</v>
      </c>
      <c r="D706" s="10" t="s">
        <v>313</v>
      </c>
      <c r="E706" s="10" t="s">
        <v>313</v>
      </c>
    </row>
    <row r="707" spans="1:5" x14ac:dyDescent="0.35">
      <c r="A707" s="3">
        <v>44536</v>
      </c>
      <c r="B707" s="1">
        <f t="shared" si="16"/>
        <v>1</v>
      </c>
      <c r="C707" s="10" t="s">
        <v>315</v>
      </c>
      <c r="D707" s="10" t="s">
        <v>315</v>
      </c>
      <c r="E707" s="10" t="s">
        <v>315</v>
      </c>
    </row>
    <row r="708" spans="1:5" x14ac:dyDescent="0.35">
      <c r="A708" s="3">
        <v>44537</v>
      </c>
      <c r="B708" s="1">
        <f t="shared" si="16"/>
        <v>2</v>
      </c>
      <c r="C708" s="10" t="s">
        <v>315</v>
      </c>
      <c r="D708" s="10" t="s">
        <v>315</v>
      </c>
      <c r="E708" s="10" t="s">
        <v>315</v>
      </c>
    </row>
    <row r="709" spans="1:5" x14ac:dyDescent="0.35">
      <c r="A709" s="3">
        <v>44538</v>
      </c>
      <c r="B709" s="1">
        <f t="shared" si="16"/>
        <v>3</v>
      </c>
      <c r="C709" s="10" t="s">
        <v>315</v>
      </c>
      <c r="D709" s="10" t="s">
        <v>315</v>
      </c>
      <c r="E709" s="10" t="s">
        <v>315</v>
      </c>
    </row>
    <row r="710" spans="1:5" x14ac:dyDescent="0.35">
      <c r="A710" s="3">
        <v>44539</v>
      </c>
      <c r="B710" s="1">
        <f t="shared" si="16"/>
        <v>4</v>
      </c>
      <c r="C710" s="10" t="s">
        <v>315</v>
      </c>
      <c r="D710" s="10" t="s">
        <v>315</v>
      </c>
      <c r="E710" s="10" t="s">
        <v>315</v>
      </c>
    </row>
    <row r="711" spans="1:5" x14ac:dyDescent="0.35">
      <c r="A711" s="3">
        <v>44540</v>
      </c>
      <c r="B711" s="1">
        <f t="shared" si="16"/>
        <v>5</v>
      </c>
      <c r="C711" s="10" t="s">
        <v>315</v>
      </c>
      <c r="D711" s="10" t="s">
        <v>315</v>
      </c>
      <c r="E711" s="10" t="s">
        <v>315</v>
      </c>
    </row>
    <row r="712" spans="1:5" x14ac:dyDescent="0.35">
      <c r="A712" s="3">
        <v>44541</v>
      </c>
      <c r="B712" s="1">
        <f t="shared" si="16"/>
        <v>6</v>
      </c>
      <c r="C712" s="10" t="s">
        <v>315</v>
      </c>
      <c r="D712" s="10" t="s">
        <v>313</v>
      </c>
      <c r="E712" s="10" t="s">
        <v>313</v>
      </c>
    </row>
    <row r="713" spans="1:5" x14ac:dyDescent="0.35">
      <c r="A713" s="3">
        <v>44542</v>
      </c>
      <c r="B713" s="1">
        <f t="shared" si="16"/>
        <v>7</v>
      </c>
      <c r="C713" s="10" t="s">
        <v>313</v>
      </c>
      <c r="D713" s="10" t="s">
        <v>313</v>
      </c>
      <c r="E713" s="10" t="s">
        <v>313</v>
      </c>
    </row>
    <row r="714" spans="1:5" x14ac:dyDescent="0.35">
      <c r="A714" s="3">
        <v>44543</v>
      </c>
      <c r="B714" s="1">
        <f t="shared" si="16"/>
        <v>1</v>
      </c>
      <c r="C714" s="10" t="s">
        <v>315</v>
      </c>
      <c r="D714" s="10" t="s">
        <v>315</v>
      </c>
      <c r="E714" s="10" t="s">
        <v>315</v>
      </c>
    </row>
    <row r="715" spans="1:5" x14ac:dyDescent="0.35">
      <c r="A715" s="3">
        <v>44544</v>
      </c>
      <c r="B715" s="1">
        <f t="shared" si="16"/>
        <v>2</v>
      </c>
      <c r="C715" s="10" t="s">
        <v>315</v>
      </c>
      <c r="D715" s="10" t="s">
        <v>315</v>
      </c>
      <c r="E715" s="10" t="s">
        <v>315</v>
      </c>
    </row>
    <row r="716" spans="1:5" x14ac:dyDescent="0.35">
      <c r="A716" s="3">
        <v>44545</v>
      </c>
      <c r="B716" s="1">
        <f t="shared" si="16"/>
        <v>3</v>
      </c>
      <c r="C716" s="10" t="s">
        <v>315</v>
      </c>
      <c r="D716" s="10" t="s">
        <v>315</v>
      </c>
      <c r="E716" s="10" t="s">
        <v>315</v>
      </c>
    </row>
    <row r="717" spans="1:5" x14ac:dyDescent="0.35">
      <c r="A717" s="3">
        <v>44546</v>
      </c>
      <c r="B717" s="1">
        <f t="shared" si="16"/>
        <v>4</v>
      </c>
      <c r="C717" s="10" t="s">
        <v>315</v>
      </c>
      <c r="D717" s="10" t="s">
        <v>315</v>
      </c>
      <c r="E717" s="10" t="s">
        <v>315</v>
      </c>
    </row>
    <row r="718" spans="1:5" x14ac:dyDescent="0.35">
      <c r="A718" s="3">
        <v>44547</v>
      </c>
      <c r="B718" s="1">
        <f t="shared" si="16"/>
        <v>5</v>
      </c>
      <c r="C718" s="10" t="s">
        <v>315</v>
      </c>
      <c r="D718" s="10" t="s">
        <v>315</v>
      </c>
      <c r="E718" s="10" t="s">
        <v>315</v>
      </c>
    </row>
    <row r="719" spans="1:5" x14ac:dyDescent="0.35">
      <c r="A719" s="3">
        <v>44548</v>
      </c>
      <c r="B719" s="1">
        <f t="shared" si="16"/>
        <v>6</v>
      </c>
      <c r="C719" s="10" t="s">
        <v>315</v>
      </c>
      <c r="D719" s="10" t="s">
        <v>313</v>
      </c>
      <c r="E719" s="10" t="s">
        <v>313</v>
      </c>
    </row>
    <row r="720" spans="1:5" x14ac:dyDescent="0.35">
      <c r="A720" s="3">
        <v>44549</v>
      </c>
      <c r="B720" s="1">
        <f t="shared" si="16"/>
        <v>7</v>
      </c>
      <c r="C720" s="10" t="s">
        <v>313</v>
      </c>
      <c r="D720" s="10" t="s">
        <v>313</v>
      </c>
      <c r="E720" s="10" t="s">
        <v>313</v>
      </c>
    </row>
    <row r="721" spans="1:5" x14ac:dyDescent="0.35">
      <c r="A721" s="3">
        <v>44550</v>
      </c>
      <c r="B721" s="1">
        <f t="shared" si="16"/>
        <v>1</v>
      </c>
      <c r="C721" s="10" t="s">
        <v>315</v>
      </c>
      <c r="D721" s="10" t="s">
        <v>315</v>
      </c>
      <c r="E721" s="10" t="s">
        <v>315</v>
      </c>
    </row>
    <row r="722" spans="1:5" x14ac:dyDescent="0.35">
      <c r="A722" s="3">
        <v>44551</v>
      </c>
      <c r="B722" s="1">
        <f t="shared" si="16"/>
        <v>2</v>
      </c>
      <c r="C722" s="10" t="s">
        <v>315</v>
      </c>
      <c r="D722" s="10" t="s">
        <v>315</v>
      </c>
      <c r="E722" s="10" t="s">
        <v>315</v>
      </c>
    </row>
    <row r="723" spans="1:5" x14ac:dyDescent="0.35">
      <c r="A723" s="3">
        <v>44552</v>
      </c>
      <c r="B723" s="1">
        <f t="shared" si="16"/>
        <v>3</v>
      </c>
      <c r="C723" s="10" t="s">
        <v>315</v>
      </c>
      <c r="D723" s="10" t="s">
        <v>315</v>
      </c>
      <c r="E723" s="10" t="s">
        <v>315</v>
      </c>
    </row>
    <row r="724" spans="1:5" x14ac:dyDescent="0.35">
      <c r="A724" s="3">
        <v>44553</v>
      </c>
      <c r="B724" s="1">
        <f t="shared" si="16"/>
        <v>4</v>
      </c>
      <c r="C724" s="10" t="s">
        <v>315</v>
      </c>
      <c r="D724" s="10" t="s">
        <v>315</v>
      </c>
      <c r="E724" s="10" t="s">
        <v>315</v>
      </c>
    </row>
    <row r="725" spans="1:5" x14ac:dyDescent="0.35">
      <c r="A725" s="3">
        <v>44554</v>
      </c>
      <c r="B725" s="1">
        <f t="shared" si="16"/>
        <v>5</v>
      </c>
      <c r="C725" s="10" t="s">
        <v>315</v>
      </c>
      <c r="D725" s="10" t="s">
        <v>315</v>
      </c>
      <c r="E725" s="10" t="s">
        <v>315</v>
      </c>
    </row>
    <row r="726" spans="1:5" x14ac:dyDescent="0.35">
      <c r="A726" s="3">
        <v>44555</v>
      </c>
      <c r="B726" s="1">
        <f t="shared" si="16"/>
        <v>6</v>
      </c>
      <c r="C726" s="10" t="s">
        <v>315</v>
      </c>
      <c r="D726" s="10" t="s">
        <v>313</v>
      </c>
      <c r="E726" s="10" t="s">
        <v>313</v>
      </c>
    </row>
    <row r="727" spans="1:5" x14ac:dyDescent="0.35">
      <c r="A727" s="3">
        <v>44556</v>
      </c>
      <c r="B727" s="1">
        <f t="shared" si="16"/>
        <v>7</v>
      </c>
      <c r="C727" s="10" t="s">
        <v>313</v>
      </c>
      <c r="D727" s="10" t="s">
        <v>313</v>
      </c>
      <c r="E727" s="10" t="s">
        <v>313</v>
      </c>
    </row>
    <row r="728" spans="1:5" x14ac:dyDescent="0.35">
      <c r="A728" s="3">
        <v>44557</v>
      </c>
      <c r="B728" s="1">
        <f t="shared" si="16"/>
        <v>1</v>
      </c>
      <c r="C728" s="10" t="s">
        <v>315</v>
      </c>
      <c r="D728" s="10" t="s">
        <v>315</v>
      </c>
      <c r="E728" s="10" t="s">
        <v>315</v>
      </c>
    </row>
    <row r="729" spans="1:5" x14ac:dyDescent="0.35">
      <c r="A729" s="3">
        <v>44558</v>
      </c>
      <c r="B729" s="1">
        <f t="shared" si="16"/>
        <v>2</v>
      </c>
      <c r="C729" s="10" t="s">
        <v>315</v>
      </c>
      <c r="D729" s="10" t="s">
        <v>315</v>
      </c>
      <c r="E729" s="10" t="s">
        <v>315</v>
      </c>
    </row>
    <row r="730" spans="1:5" x14ac:dyDescent="0.35">
      <c r="A730" s="3">
        <v>44559</v>
      </c>
      <c r="B730" s="1">
        <f t="shared" si="16"/>
        <v>3</v>
      </c>
      <c r="C730" s="10" t="s">
        <v>315</v>
      </c>
      <c r="D730" s="10" t="s">
        <v>315</v>
      </c>
      <c r="E730" s="10" t="s">
        <v>315</v>
      </c>
    </row>
    <row r="731" spans="1:5" x14ac:dyDescent="0.35">
      <c r="A731" s="3">
        <v>44560</v>
      </c>
      <c r="B731" s="1">
        <f t="shared" si="16"/>
        <v>4</v>
      </c>
      <c r="C731" s="10" t="s">
        <v>315</v>
      </c>
      <c r="D731" s="10" t="s">
        <v>315</v>
      </c>
      <c r="E731" s="10" t="s">
        <v>315</v>
      </c>
    </row>
    <row r="732" spans="1:5" x14ac:dyDescent="0.35">
      <c r="A732" s="3">
        <v>44561</v>
      </c>
      <c r="B732" s="1">
        <f t="shared" si="16"/>
        <v>5</v>
      </c>
      <c r="C732" s="10" t="s">
        <v>315</v>
      </c>
      <c r="D732" s="10" t="s">
        <v>315</v>
      </c>
      <c r="E732" s="10" t="s">
        <v>315</v>
      </c>
    </row>
    <row r="733" spans="1:5" x14ac:dyDescent="0.35">
      <c r="A733" s="3">
        <v>44562</v>
      </c>
      <c r="B733" s="1">
        <f t="shared" si="16"/>
        <v>6</v>
      </c>
      <c r="C733" s="10" t="s">
        <v>315</v>
      </c>
      <c r="D733" s="10" t="s">
        <v>313</v>
      </c>
      <c r="E733" s="10" t="s">
        <v>313</v>
      </c>
    </row>
    <row r="734" spans="1:5" x14ac:dyDescent="0.35">
      <c r="A734" s="3">
        <v>44563</v>
      </c>
      <c r="B734" s="1">
        <f t="shared" si="16"/>
        <v>7</v>
      </c>
      <c r="C734" s="10" t="s">
        <v>313</v>
      </c>
      <c r="D734" s="10" t="s">
        <v>313</v>
      </c>
      <c r="E734" s="10" t="s">
        <v>313</v>
      </c>
    </row>
    <row r="735" spans="1:5" x14ac:dyDescent="0.35">
      <c r="A735" s="3">
        <v>44564</v>
      </c>
      <c r="B735" s="1">
        <f t="shared" si="16"/>
        <v>1</v>
      </c>
      <c r="C735" s="10" t="s">
        <v>315</v>
      </c>
      <c r="D735" s="10" t="s">
        <v>315</v>
      </c>
      <c r="E735" s="10" t="s">
        <v>315</v>
      </c>
    </row>
    <row r="736" spans="1:5" x14ac:dyDescent="0.35">
      <c r="A736" s="3">
        <v>44565</v>
      </c>
      <c r="B736" s="1">
        <f t="shared" ref="B736:B799" si="17">IF(A736&gt;0,WEEKDAY(A736,2),"")</f>
        <v>2</v>
      </c>
      <c r="C736" s="10" t="s">
        <v>315</v>
      </c>
      <c r="D736" s="10" t="s">
        <v>315</v>
      </c>
      <c r="E736" s="10" t="s">
        <v>315</v>
      </c>
    </row>
    <row r="737" spans="1:5" x14ac:dyDescent="0.35">
      <c r="A737" s="3">
        <v>44566</v>
      </c>
      <c r="B737" s="1">
        <f t="shared" si="17"/>
        <v>3</v>
      </c>
      <c r="C737" s="10" t="s">
        <v>315</v>
      </c>
      <c r="D737" s="10" t="s">
        <v>315</v>
      </c>
      <c r="E737" s="10" t="s">
        <v>315</v>
      </c>
    </row>
    <row r="738" spans="1:5" x14ac:dyDescent="0.35">
      <c r="A738" s="3">
        <v>44567</v>
      </c>
      <c r="B738" s="1">
        <f t="shared" si="17"/>
        <v>4</v>
      </c>
      <c r="C738" s="10" t="s">
        <v>315</v>
      </c>
      <c r="D738" s="10" t="s">
        <v>315</v>
      </c>
      <c r="E738" s="10" t="s">
        <v>315</v>
      </c>
    </row>
    <row r="739" spans="1:5" x14ac:dyDescent="0.35">
      <c r="A739" s="3">
        <v>44568</v>
      </c>
      <c r="B739" s="1">
        <f t="shared" si="17"/>
        <v>5</v>
      </c>
      <c r="C739" s="10" t="s">
        <v>315</v>
      </c>
      <c r="D739" s="10" t="s">
        <v>315</v>
      </c>
      <c r="E739" s="10" t="s">
        <v>315</v>
      </c>
    </row>
    <row r="740" spans="1:5" x14ac:dyDescent="0.35">
      <c r="A740" s="3">
        <v>44569</v>
      </c>
      <c r="B740" s="1">
        <f t="shared" si="17"/>
        <v>6</v>
      </c>
      <c r="C740" s="10" t="s">
        <v>315</v>
      </c>
      <c r="D740" s="10" t="s">
        <v>313</v>
      </c>
      <c r="E740" s="10" t="s">
        <v>313</v>
      </c>
    </row>
    <row r="741" spans="1:5" x14ac:dyDescent="0.35">
      <c r="A741" s="3">
        <v>44570</v>
      </c>
      <c r="B741" s="1">
        <f t="shared" si="17"/>
        <v>7</v>
      </c>
      <c r="C741" s="10" t="s">
        <v>313</v>
      </c>
      <c r="D741" s="10" t="s">
        <v>313</v>
      </c>
      <c r="E741" s="10" t="s">
        <v>313</v>
      </c>
    </row>
    <row r="742" spans="1:5" x14ac:dyDescent="0.35">
      <c r="A742" s="3">
        <v>44571</v>
      </c>
      <c r="B742" s="1">
        <f t="shared" si="17"/>
        <v>1</v>
      </c>
      <c r="C742" s="10" t="s">
        <v>315</v>
      </c>
      <c r="D742" s="10" t="s">
        <v>315</v>
      </c>
      <c r="E742" s="10" t="s">
        <v>315</v>
      </c>
    </row>
    <row r="743" spans="1:5" x14ac:dyDescent="0.35">
      <c r="A743" s="3">
        <v>44572</v>
      </c>
      <c r="B743" s="1">
        <f t="shared" si="17"/>
        <v>2</v>
      </c>
      <c r="C743" s="10" t="s">
        <v>315</v>
      </c>
      <c r="D743" s="10" t="s">
        <v>315</v>
      </c>
      <c r="E743" s="10" t="s">
        <v>315</v>
      </c>
    </row>
    <row r="744" spans="1:5" x14ac:dyDescent="0.35">
      <c r="A744" s="3">
        <v>44573</v>
      </c>
      <c r="B744" s="1">
        <f t="shared" si="17"/>
        <v>3</v>
      </c>
      <c r="C744" s="10" t="s">
        <v>315</v>
      </c>
      <c r="D744" s="10" t="s">
        <v>315</v>
      </c>
      <c r="E744" s="10" t="s">
        <v>315</v>
      </c>
    </row>
    <row r="745" spans="1:5" x14ac:dyDescent="0.35">
      <c r="A745" s="3">
        <v>44574</v>
      </c>
      <c r="B745" s="1">
        <f t="shared" si="17"/>
        <v>4</v>
      </c>
      <c r="C745" s="10" t="s">
        <v>315</v>
      </c>
      <c r="D745" s="10" t="s">
        <v>315</v>
      </c>
      <c r="E745" s="10" t="s">
        <v>315</v>
      </c>
    </row>
    <row r="746" spans="1:5" x14ac:dyDescent="0.35">
      <c r="A746" s="3">
        <v>44575</v>
      </c>
      <c r="B746" s="1">
        <f t="shared" si="17"/>
        <v>5</v>
      </c>
      <c r="C746" s="10" t="s">
        <v>315</v>
      </c>
      <c r="D746" s="10" t="s">
        <v>315</v>
      </c>
      <c r="E746" s="10" t="s">
        <v>315</v>
      </c>
    </row>
    <row r="747" spans="1:5" x14ac:dyDescent="0.35">
      <c r="A747" s="3">
        <v>44576</v>
      </c>
      <c r="B747" s="1">
        <f t="shared" si="17"/>
        <v>6</v>
      </c>
      <c r="C747" s="10" t="s">
        <v>315</v>
      </c>
      <c r="D747" s="10" t="s">
        <v>313</v>
      </c>
      <c r="E747" s="10" t="s">
        <v>313</v>
      </c>
    </row>
    <row r="748" spans="1:5" x14ac:dyDescent="0.35">
      <c r="A748" s="3">
        <v>44577</v>
      </c>
      <c r="B748" s="1">
        <f t="shared" si="17"/>
        <v>7</v>
      </c>
      <c r="C748" s="10" t="s">
        <v>313</v>
      </c>
      <c r="D748" s="10" t="s">
        <v>313</v>
      </c>
      <c r="E748" s="10" t="s">
        <v>313</v>
      </c>
    </row>
    <row r="749" spans="1:5" x14ac:dyDescent="0.35">
      <c r="A749" s="3">
        <v>44578</v>
      </c>
      <c r="B749" s="1">
        <f t="shared" si="17"/>
        <v>1</v>
      </c>
      <c r="C749" s="10" t="s">
        <v>315</v>
      </c>
      <c r="D749" s="10" t="s">
        <v>315</v>
      </c>
      <c r="E749" s="10" t="s">
        <v>315</v>
      </c>
    </row>
    <row r="750" spans="1:5" x14ac:dyDescent="0.35">
      <c r="A750" s="3">
        <v>44579</v>
      </c>
      <c r="B750" s="1">
        <f t="shared" si="17"/>
        <v>2</v>
      </c>
      <c r="C750" s="10" t="s">
        <v>315</v>
      </c>
      <c r="D750" s="10" t="s">
        <v>315</v>
      </c>
      <c r="E750" s="10" t="s">
        <v>315</v>
      </c>
    </row>
    <row r="751" spans="1:5" x14ac:dyDescent="0.35">
      <c r="A751" s="3">
        <v>44580</v>
      </c>
      <c r="B751" s="1">
        <f t="shared" si="17"/>
        <v>3</v>
      </c>
      <c r="C751" s="10" t="s">
        <v>315</v>
      </c>
      <c r="D751" s="10" t="s">
        <v>315</v>
      </c>
      <c r="E751" s="10" t="s">
        <v>315</v>
      </c>
    </row>
    <row r="752" spans="1:5" x14ac:dyDescent="0.35">
      <c r="A752" s="3">
        <v>44581</v>
      </c>
      <c r="B752" s="1">
        <f t="shared" si="17"/>
        <v>4</v>
      </c>
      <c r="C752" s="10" t="s">
        <v>315</v>
      </c>
      <c r="D752" s="10" t="s">
        <v>315</v>
      </c>
      <c r="E752" s="10" t="s">
        <v>315</v>
      </c>
    </row>
    <row r="753" spans="1:5" x14ac:dyDescent="0.35">
      <c r="A753" s="3">
        <v>44582</v>
      </c>
      <c r="B753" s="1">
        <f t="shared" si="17"/>
        <v>5</v>
      </c>
      <c r="C753" s="10" t="s">
        <v>315</v>
      </c>
      <c r="D753" s="10" t="s">
        <v>315</v>
      </c>
      <c r="E753" s="10" t="s">
        <v>315</v>
      </c>
    </row>
    <row r="754" spans="1:5" x14ac:dyDescent="0.35">
      <c r="A754" s="3">
        <v>44583</v>
      </c>
      <c r="B754" s="1">
        <f t="shared" si="17"/>
        <v>6</v>
      </c>
      <c r="C754" s="10" t="s">
        <v>315</v>
      </c>
      <c r="D754" s="10" t="s">
        <v>313</v>
      </c>
      <c r="E754" s="10" t="s">
        <v>313</v>
      </c>
    </row>
    <row r="755" spans="1:5" x14ac:dyDescent="0.35">
      <c r="A755" s="3">
        <v>44584</v>
      </c>
      <c r="B755" s="1">
        <f t="shared" si="17"/>
        <v>7</v>
      </c>
      <c r="C755" s="10" t="s">
        <v>313</v>
      </c>
      <c r="D755" s="10" t="s">
        <v>313</v>
      </c>
      <c r="E755" s="10" t="s">
        <v>313</v>
      </c>
    </row>
    <row r="756" spans="1:5" x14ac:dyDescent="0.35">
      <c r="A756" s="3">
        <v>44585</v>
      </c>
      <c r="B756" s="1">
        <f t="shared" si="17"/>
        <v>1</v>
      </c>
      <c r="C756" s="10" t="s">
        <v>315</v>
      </c>
      <c r="D756" s="10" t="s">
        <v>315</v>
      </c>
      <c r="E756" s="10" t="s">
        <v>315</v>
      </c>
    </row>
    <row r="757" spans="1:5" x14ac:dyDescent="0.35">
      <c r="A757" s="3">
        <v>44586</v>
      </c>
      <c r="B757" s="1">
        <f t="shared" si="17"/>
        <v>2</v>
      </c>
      <c r="C757" s="10" t="s">
        <v>315</v>
      </c>
      <c r="D757" s="10" t="s">
        <v>315</v>
      </c>
      <c r="E757" s="10" t="s">
        <v>315</v>
      </c>
    </row>
    <row r="758" spans="1:5" x14ac:dyDescent="0.35">
      <c r="A758" s="3">
        <v>44587</v>
      </c>
      <c r="B758" s="1">
        <f t="shared" si="17"/>
        <v>3</v>
      </c>
      <c r="C758" s="10" t="s">
        <v>315</v>
      </c>
      <c r="D758" s="10" t="s">
        <v>315</v>
      </c>
      <c r="E758" s="10" t="s">
        <v>315</v>
      </c>
    </row>
    <row r="759" spans="1:5" x14ac:dyDescent="0.35">
      <c r="A759" s="3">
        <v>44588</v>
      </c>
      <c r="B759" s="1">
        <f t="shared" si="17"/>
        <v>4</v>
      </c>
      <c r="C759" s="10" t="s">
        <v>315</v>
      </c>
      <c r="D759" s="10" t="s">
        <v>315</v>
      </c>
      <c r="E759" s="10" t="s">
        <v>315</v>
      </c>
    </row>
    <row r="760" spans="1:5" x14ac:dyDescent="0.35">
      <c r="A760" s="3">
        <v>44589</v>
      </c>
      <c r="B760" s="1">
        <f t="shared" si="17"/>
        <v>5</v>
      </c>
      <c r="C760" s="10" t="s">
        <v>315</v>
      </c>
      <c r="D760" s="10" t="s">
        <v>315</v>
      </c>
      <c r="E760" s="10" t="s">
        <v>315</v>
      </c>
    </row>
    <row r="761" spans="1:5" x14ac:dyDescent="0.35">
      <c r="A761" s="3">
        <v>44590</v>
      </c>
      <c r="B761" s="1">
        <f t="shared" si="17"/>
        <v>6</v>
      </c>
      <c r="C761" s="10" t="s">
        <v>315</v>
      </c>
      <c r="D761" s="10" t="s">
        <v>313</v>
      </c>
      <c r="E761" s="10" t="s">
        <v>313</v>
      </c>
    </row>
    <row r="762" spans="1:5" x14ac:dyDescent="0.35">
      <c r="A762" s="3">
        <v>44591</v>
      </c>
      <c r="B762" s="1">
        <f t="shared" si="17"/>
        <v>7</v>
      </c>
      <c r="C762" s="10" t="s">
        <v>313</v>
      </c>
      <c r="D762" s="10" t="s">
        <v>313</v>
      </c>
      <c r="E762" s="10" t="s">
        <v>313</v>
      </c>
    </row>
    <row r="763" spans="1:5" x14ac:dyDescent="0.35">
      <c r="A763" s="3">
        <v>44592</v>
      </c>
      <c r="B763" s="1">
        <f t="shared" si="17"/>
        <v>1</v>
      </c>
      <c r="C763" s="10" t="s">
        <v>315</v>
      </c>
      <c r="D763" s="10" t="s">
        <v>315</v>
      </c>
      <c r="E763" s="10" t="s">
        <v>315</v>
      </c>
    </row>
    <row r="764" spans="1:5" x14ac:dyDescent="0.35">
      <c r="A764" s="3">
        <v>44593</v>
      </c>
      <c r="B764" s="1">
        <f t="shared" si="17"/>
        <v>2</v>
      </c>
      <c r="C764" s="10" t="s">
        <v>315</v>
      </c>
      <c r="D764" s="10" t="s">
        <v>315</v>
      </c>
      <c r="E764" s="10" t="s">
        <v>315</v>
      </c>
    </row>
    <row r="765" spans="1:5" x14ac:dyDescent="0.35">
      <c r="A765" s="3">
        <v>44594</v>
      </c>
      <c r="B765" s="1">
        <f t="shared" si="17"/>
        <v>3</v>
      </c>
      <c r="C765" s="10" t="s">
        <v>315</v>
      </c>
      <c r="D765" s="10" t="s">
        <v>315</v>
      </c>
      <c r="E765" s="10" t="s">
        <v>315</v>
      </c>
    </row>
    <row r="766" spans="1:5" x14ac:dyDescent="0.35">
      <c r="A766" s="3">
        <v>44595</v>
      </c>
      <c r="B766" s="1">
        <f t="shared" si="17"/>
        <v>4</v>
      </c>
      <c r="C766" s="10" t="s">
        <v>315</v>
      </c>
      <c r="D766" s="10" t="s">
        <v>315</v>
      </c>
      <c r="E766" s="10" t="s">
        <v>315</v>
      </c>
    </row>
    <row r="767" spans="1:5" x14ac:dyDescent="0.35">
      <c r="A767" s="3">
        <v>44596</v>
      </c>
      <c r="B767" s="1">
        <f t="shared" si="17"/>
        <v>5</v>
      </c>
      <c r="C767" s="10" t="s">
        <v>315</v>
      </c>
      <c r="D767" s="10" t="s">
        <v>315</v>
      </c>
      <c r="E767" s="10" t="s">
        <v>315</v>
      </c>
    </row>
    <row r="768" spans="1:5" x14ac:dyDescent="0.35">
      <c r="A768" s="3">
        <v>44597</v>
      </c>
      <c r="B768" s="1">
        <f t="shared" si="17"/>
        <v>6</v>
      </c>
      <c r="C768" s="10" t="s">
        <v>315</v>
      </c>
      <c r="D768" s="10" t="s">
        <v>313</v>
      </c>
      <c r="E768" s="10" t="s">
        <v>313</v>
      </c>
    </row>
    <row r="769" spans="1:5" x14ac:dyDescent="0.35">
      <c r="A769" s="3">
        <v>44598</v>
      </c>
      <c r="B769" s="1">
        <f t="shared" si="17"/>
        <v>7</v>
      </c>
      <c r="C769" s="10" t="s">
        <v>313</v>
      </c>
      <c r="D769" s="10" t="s">
        <v>313</v>
      </c>
      <c r="E769" s="10" t="s">
        <v>313</v>
      </c>
    </row>
    <row r="770" spans="1:5" x14ac:dyDescent="0.35">
      <c r="A770" s="3">
        <v>44599</v>
      </c>
      <c r="B770" s="1">
        <f t="shared" si="17"/>
        <v>1</v>
      </c>
      <c r="C770" s="10" t="s">
        <v>315</v>
      </c>
      <c r="D770" s="10" t="s">
        <v>315</v>
      </c>
      <c r="E770" s="10" t="s">
        <v>315</v>
      </c>
    </row>
    <row r="771" spans="1:5" x14ac:dyDescent="0.35">
      <c r="A771" s="3">
        <v>44600</v>
      </c>
      <c r="B771" s="1">
        <f t="shared" si="17"/>
        <v>2</v>
      </c>
      <c r="C771" s="10" t="s">
        <v>315</v>
      </c>
      <c r="D771" s="10" t="s">
        <v>315</v>
      </c>
      <c r="E771" s="10" t="s">
        <v>315</v>
      </c>
    </row>
    <row r="772" spans="1:5" x14ac:dyDescent="0.35">
      <c r="A772" s="3">
        <v>44601</v>
      </c>
      <c r="B772" s="1">
        <f t="shared" si="17"/>
        <v>3</v>
      </c>
      <c r="C772" s="10" t="s">
        <v>315</v>
      </c>
      <c r="D772" s="10" t="s">
        <v>315</v>
      </c>
      <c r="E772" s="10" t="s">
        <v>315</v>
      </c>
    </row>
    <row r="773" spans="1:5" x14ac:dyDescent="0.35">
      <c r="A773" s="3">
        <v>44602</v>
      </c>
      <c r="B773" s="1">
        <f t="shared" si="17"/>
        <v>4</v>
      </c>
      <c r="C773" s="10" t="s">
        <v>315</v>
      </c>
      <c r="D773" s="10" t="s">
        <v>315</v>
      </c>
      <c r="E773" s="10" t="s">
        <v>315</v>
      </c>
    </row>
    <row r="774" spans="1:5" x14ac:dyDescent="0.35">
      <c r="A774" s="3">
        <v>44603</v>
      </c>
      <c r="B774" s="1">
        <f t="shared" si="17"/>
        <v>5</v>
      </c>
      <c r="C774" s="10" t="s">
        <v>315</v>
      </c>
      <c r="D774" s="10" t="s">
        <v>315</v>
      </c>
      <c r="E774" s="10" t="s">
        <v>315</v>
      </c>
    </row>
    <row r="775" spans="1:5" x14ac:dyDescent="0.35">
      <c r="A775" s="3">
        <v>44604</v>
      </c>
      <c r="B775" s="1">
        <f t="shared" si="17"/>
        <v>6</v>
      </c>
      <c r="C775" s="10" t="s">
        <v>315</v>
      </c>
      <c r="D775" s="10" t="s">
        <v>313</v>
      </c>
      <c r="E775" s="10" t="s">
        <v>313</v>
      </c>
    </row>
    <row r="776" spans="1:5" x14ac:dyDescent="0.35">
      <c r="A776" s="3">
        <v>44605</v>
      </c>
      <c r="B776" s="1">
        <f t="shared" si="17"/>
        <v>7</v>
      </c>
      <c r="C776" s="10" t="s">
        <v>313</v>
      </c>
      <c r="D776" s="10" t="s">
        <v>313</v>
      </c>
      <c r="E776" s="10" t="s">
        <v>313</v>
      </c>
    </row>
    <row r="777" spans="1:5" x14ac:dyDescent="0.35">
      <c r="A777" s="3">
        <v>44606</v>
      </c>
      <c r="B777" s="1">
        <f t="shared" si="17"/>
        <v>1</v>
      </c>
      <c r="C777" s="10" t="s">
        <v>315</v>
      </c>
      <c r="D777" s="10" t="s">
        <v>315</v>
      </c>
      <c r="E777" s="10" t="s">
        <v>315</v>
      </c>
    </row>
    <row r="778" spans="1:5" x14ac:dyDescent="0.35">
      <c r="A778" s="3">
        <v>44607</v>
      </c>
      <c r="B778" s="1">
        <f t="shared" si="17"/>
        <v>2</v>
      </c>
      <c r="C778" s="10" t="s">
        <v>315</v>
      </c>
      <c r="D778" s="10" t="s">
        <v>315</v>
      </c>
      <c r="E778" s="10" t="s">
        <v>315</v>
      </c>
    </row>
    <row r="779" spans="1:5" x14ac:dyDescent="0.35">
      <c r="A779" s="3">
        <v>44608</v>
      </c>
      <c r="B779" s="1">
        <f t="shared" si="17"/>
        <v>3</v>
      </c>
      <c r="C779" s="10" t="s">
        <v>315</v>
      </c>
      <c r="D779" s="10" t="s">
        <v>315</v>
      </c>
      <c r="E779" s="10" t="s">
        <v>315</v>
      </c>
    </row>
    <row r="780" spans="1:5" x14ac:dyDescent="0.35">
      <c r="A780" s="3">
        <v>44609</v>
      </c>
      <c r="B780" s="1">
        <f t="shared" si="17"/>
        <v>4</v>
      </c>
      <c r="C780" s="10" t="s">
        <v>315</v>
      </c>
      <c r="D780" s="10" t="s">
        <v>315</v>
      </c>
      <c r="E780" s="10" t="s">
        <v>315</v>
      </c>
    </row>
    <row r="781" spans="1:5" x14ac:dyDescent="0.35">
      <c r="A781" s="3">
        <v>44610</v>
      </c>
      <c r="B781" s="1">
        <f t="shared" si="17"/>
        <v>5</v>
      </c>
      <c r="C781" s="10" t="s">
        <v>315</v>
      </c>
      <c r="D781" s="10" t="s">
        <v>315</v>
      </c>
      <c r="E781" s="10" t="s">
        <v>315</v>
      </c>
    </row>
    <row r="782" spans="1:5" x14ac:dyDescent="0.35">
      <c r="A782" s="3">
        <v>44611</v>
      </c>
      <c r="B782" s="1">
        <f t="shared" si="17"/>
        <v>6</v>
      </c>
      <c r="C782" s="10" t="s">
        <v>315</v>
      </c>
      <c r="D782" s="10" t="s">
        <v>313</v>
      </c>
      <c r="E782" s="10" t="s">
        <v>313</v>
      </c>
    </row>
    <row r="783" spans="1:5" x14ac:dyDescent="0.35">
      <c r="A783" s="3">
        <v>44612</v>
      </c>
      <c r="B783" s="1">
        <f t="shared" si="17"/>
        <v>7</v>
      </c>
      <c r="C783" s="10" t="s">
        <v>313</v>
      </c>
      <c r="D783" s="10" t="s">
        <v>313</v>
      </c>
      <c r="E783" s="10" t="s">
        <v>313</v>
      </c>
    </row>
    <row r="784" spans="1:5" x14ac:dyDescent="0.35">
      <c r="A784" s="3">
        <v>44613</v>
      </c>
      <c r="B784" s="1">
        <f t="shared" si="17"/>
        <v>1</v>
      </c>
      <c r="C784" s="10" t="s">
        <v>315</v>
      </c>
      <c r="D784" s="10" t="s">
        <v>315</v>
      </c>
      <c r="E784" s="10" t="s">
        <v>315</v>
      </c>
    </row>
    <row r="785" spans="1:5" x14ac:dyDescent="0.35">
      <c r="A785" s="3">
        <v>44614</v>
      </c>
      <c r="B785" s="1">
        <f t="shared" si="17"/>
        <v>2</v>
      </c>
      <c r="C785" s="10" t="s">
        <v>315</v>
      </c>
      <c r="D785" s="10" t="s">
        <v>315</v>
      </c>
      <c r="E785" s="10" t="s">
        <v>315</v>
      </c>
    </row>
    <row r="786" spans="1:5" x14ac:dyDescent="0.35">
      <c r="A786" s="3">
        <v>44615</v>
      </c>
      <c r="B786" s="1">
        <f t="shared" si="17"/>
        <v>3</v>
      </c>
      <c r="C786" s="10" t="s">
        <v>315</v>
      </c>
      <c r="D786" s="10" t="s">
        <v>315</v>
      </c>
      <c r="E786" s="10" t="s">
        <v>315</v>
      </c>
    </row>
    <row r="787" spans="1:5" x14ac:dyDescent="0.35">
      <c r="A787" s="3">
        <v>44616</v>
      </c>
      <c r="B787" s="1">
        <f t="shared" si="17"/>
        <v>4</v>
      </c>
      <c r="C787" s="10" t="s">
        <v>315</v>
      </c>
      <c r="D787" s="10" t="s">
        <v>315</v>
      </c>
      <c r="E787" s="10" t="s">
        <v>315</v>
      </c>
    </row>
    <row r="788" spans="1:5" x14ac:dyDescent="0.35">
      <c r="A788" s="3">
        <v>44617</v>
      </c>
      <c r="B788" s="1">
        <f t="shared" si="17"/>
        <v>5</v>
      </c>
      <c r="C788" s="10" t="s">
        <v>315</v>
      </c>
      <c r="D788" s="10" t="s">
        <v>315</v>
      </c>
      <c r="E788" s="10" t="s">
        <v>315</v>
      </c>
    </row>
    <row r="789" spans="1:5" x14ac:dyDescent="0.35">
      <c r="A789" s="3">
        <v>44618</v>
      </c>
      <c r="B789" s="1">
        <f t="shared" si="17"/>
        <v>6</v>
      </c>
      <c r="C789" s="10" t="s">
        <v>315</v>
      </c>
      <c r="D789" s="10" t="s">
        <v>313</v>
      </c>
      <c r="E789" s="10" t="s">
        <v>313</v>
      </c>
    </row>
    <row r="790" spans="1:5" x14ac:dyDescent="0.35">
      <c r="A790" s="3">
        <v>44619</v>
      </c>
      <c r="B790" s="1">
        <f t="shared" si="17"/>
        <v>7</v>
      </c>
      <c r="C790" s="10" t="s">
        <v>313</v>
      </c>
      <c r="D790" s="10" t="s">
        <v>313</v>
      </c>
      <c r="E790" s="10" t="s">
        <v>313</v>
      </c>
    </row>
    <row r="791" spans="1:5" x14ac:dyDescent="0.35">
      <c r="A791" s="3">
        <v>44620</v>
      </c>
      <c r="B791" s="1">
        <f t="shared" si="17"/>
        <v>1</v>
      </c>
      <c r="C791" s="10" t="s">
        <v>315</v>
      </c>
      <c r="D791" s="10" t="s">
        <v>315</v>
      </c>
      <c r="E791" s="10" t="s">
        <v>315</v>
      </c>
    </row>
    <row r="792" spans="1:5" x14ac:dyDescent="0.35">
      <c r="A792" s="3">
        <v>44621</v>
      </c>
      <c r="B792" s="1">
        <f t="shared" si="17"/>
        <v>2</v>
      </c>
      <c r="C792" s="10" t="s">
        <v>315</v>
      </c>
      <c r="D792" s="10" t="s">
        <v>315</v>
      </c>
      <c r="E792" s="10" t="s">
        <v>315</v>
      </c>
    </row>
    <row r="793" spans="1:5" x14ac:dyDescent="0.35">
      <c r="A793" s="3">
        <v>44622</v>
      </c>
      <c r="B793" s="1">
        <f t="shared" si="17"/>
        <v>3</v>
      </c>
      <c r="C793" s="10" t="s">
        <v>315</v>
      </c>
      <c r="D793" s="10" t="s">
        <v>315</v>
      </c>
      <c r="E793" s="10" t="s">
        <v>315</v>
      </c>
    </row>
    <row r="794" spans="1:5" x14ac:dyDescent="0.35">
      <c r="A794" s="3">
        <v>44623</v>
      </c>
      <c r="B794" s="1">
        <f t="shared" si="17"/>
        <v>4</v>
      </c>
      <c r="C794" s="10" t="s">
        <v>315</v>
      </c>
      <c r="D794" s="10" t="s">
        <v>315</v>
      </c>
      <c r="E794" s="10" t="s">
        <v>315</v>
      </c>
    </row>
    <row r="795" spans="1:5" x14ac:dyDescent="0.35">
      <c r="A795" s="3">
        <v>44624</v>
      </c>
      <c r="B795" s="1">
        <f t="shared" si="17"/>
        <v>5</v>
      </c>
      <c r="C795" s="10" t="s">
        <v>315</v>
      </c>
      <c r="D795" s="10" t="s">
        <v>315</v>
      </c>
      <c r="E795" s="10" t="s">
        <v>315</v>
      </c>
    </row>
    <row r="796" spans="1:5" x14ac:dyDescent="0.35">
      <c r="A796" s="3">
        <v>44625</v>
      </c>
      <c r="B796" s="1">
        <f t="shared" si="17"/>
        <v>6</v>
      </c>
      <c r="C796" s="10" t="s">
        <v>315</v>
      </c>
      <c r="D796" s="10" t="s">
        <v>313</v>
      </c>
      <c r="E796" s="10" t="s">
        <v>313</v>
      </c>
    </row>
    <row r="797" spans="1:5" x14ac:dyDescent="0.35">
      <c r="A797" s="3">
        <v>44626</v>
      </c>
      <c r="B797" s="1">
        <f t="shared" si="17"/>
        <v>7</v>
      </c>
      <c r="C797" s="10" t="s">
        <v>313</v>
      </c>
      <c r="D797" s="10" t="s">
        <v>313</v>
      </c>
      <c r="E797" s="10" t="s">
        <v>313</v>
      </c>
    </row>
    <row r="798" spans="1:5" x14ac:dyDescent="0.35">
      <c r="A798" s="3">
        <v>44627</v>
      </c>
      <c r="B798" s="1">
        <f t="shared" si="17"/>
        <v>1</v>
      </c>
      <c r="C798" s="10" t="s">
        <v>315</v>
      </c>
      <c r="D798" s="10" t="s">
        <v>315</v>
      </c>
      <c r="E798" s="10" t="s">
        <v>315</v>
      </c>
    </row>
    <row r="799" spans="1:5" x14ac:dyDescent="0.35">
      <c r="A799" s="3">
        <v>44628</v>
      </c>
      <c r="B799" s="1">
        <f t="shared" si="17"/>
        <v>2</v>
      </c>
      <c r="C799" s="10" t="s">
        <v>315</v>
      </c>
      <c r="D799" s="10" t="s">
        <v>315</v>
      </c>
      <c r="E799" s="10" t="s">
        <v>315</v>
      </c>
    </row>
    <row r="800" spans="1:5" x14ac:dyDescent="0.35">
      <c r="A800" s="3">
        <v>44629</v>
      </c>
      <c r="B800" s="1">
        <f t="shared" ref="B800:B863" si="18">IF(A800&gt;0,WEEKDAY(A800,2),"")</f>
        <v>3</v>
      </c>
      <c r="C800" s="10" t="s">
        <v>315</v>
      </c>
      <c r="D800" s="10" t="s">
        <v>315</v>
      </c>
      <c r="E800" s="10" t="s">
        <v>315</v>
      </c>
    </row>
    <row r="801" spans="1:5" x14ac:dyDescent="0.35">
      <c r="A801" s="3">
        <v>44630</v>
      </c>
      <c r="B801" s="1">
        <f t="shared" si="18"/>
        <v>4</v>
      </c>
      <c r="C801" s="10" t="s">
        <v>315</v>
      </c>
      <c r="D801" s="10" t="s">
        <v>315</v>
      </c>
      <c r="E801" s="10" t="s">
        <v>315</v>
      </c>
    </row>
    <row r="802" spans="1:5" x14ac:dyDescent="0.35">
      <c r="A802" s="3">
        <v>44631</v>
      </c>
      <c r="B802" s="1">
        <f t="shared" si="18"/>
        <v>5</v>
      </c>
      <c r="C802" s="10" t="s">
        <v>315</v>
      </c>
      <c r="D802" s="10" t="s">
        <v>315</v>
      </c>
      <c r="E802" s="10" t="s">
        <v>315</v>
      </c>
    </row>
    <row r="803" spans="1:5" x14ac:dyDescent="0.35">
      <c r="A803" s="3">
        <v>44632</v>
      </c>
      <c r="B803" s="1">
        <f t="shared" si="18"/>
        <v>6</v>
      </c>
      <c r="C803" s="10" t="s">
        <v>315</v>
      </c>
      <c r="D803" s="10" t="s">
        <v>313</v>
      </c>
      <c r="E803" s="10" t="s">
        <v>313</v>
      </c>
    </row>
    <row r="804" spans="1:5" x14ac:dyDescent="0.35">
      <c r="A804" s="3">
        <v>44633</v>
      </c>
      <c r="B804" s="1">
        <f t="shared" si="18"/>
        <v>7</v>
      </c>
      <c r="C804" s="10" t="s">
        <v>313</v>
      </c>
      <c r="D804" s="10" t="s">
        <v>313</v>
      </c>
      <c r="E804" s="10" t="s">
        <v>313</v>
      </c>
    </row>
    <row r="805" spans="1:5" x14ac:dyDescent="0.35">
      <c r="A805" s="3">
        <v>44634</v>
      </c>
      <c r="B805" s="1">
        <f t="shared" si="18"/>
        <v>1</v>
      </c>
      <c r="C805" s="10" t="s">
        <v>315</v>
      </c>
      <c r="D805" s="10" t="s">
        <v>315</v>
      </c>
      <c r="E805" s="10" t="s">
        <v>315</v>
      </c>
    </row>
    <row r="806" spans="1:5" x14ac:dyDescent="0.35">
      <c r="A806" s="3">
        <v>44635</v>
      </c>
      <c r="B806" s="1">
        <f t="shared" si="18"/>
        <v>2</v>
      </c>
      <c r="C806" s="10" t="s">
        <v>315</v>
      </c>
      <c r="D806" s="10" t="s">
        <v>315</v>
      </c>
      <c r="E806" s="10" t="s">
        <v>315</v>
      </c>
    </row>
    <row r="807" spans="1:5" x14ac:dyDescent="0.35">
      <c r="A807" s="3">
        <v>44636</v>
      </c>
      <c r="B807" s="1">
        <f t="shared" si="18"/>
        <v>3</v>
      </c>
      <c r="C807" s="10" t="s">
        <v>315</v>
      </c>
      <c r="D807" s="10" t="s">
        <v>315</v>
      </c>
      <c r="E807" s="10" t="s">
        <v>315</v>
      </c>
    </row>
    <row r="808" spans="1:5" x14ac:dyDescent="0.35">
      <c r="A808" s="3">
        <v>44637</v>
      </c>
      <c r="B808" s="1">
        <f t="shared" si="18"/>
        <v>4</v>
      </c>
      <c r="C808" s="10" t="s">
        <v>315</v>
      </c>
      <c r="D808" s="10" t="s">
        <v>315</v>
      </c>
      <c r="E808" s="10" t="s">
        <v>315</v>
      </c>
    </row>
    <row r="809" spans="1:5" x14ac:dyDescent="0.35">
      <c r="A809" s="3">
        <v>44638</v>
      </c>
      <c r="B809" s="1">
        <f t="shared" si="18"/>
        <v>5</v>
      </c>
      <c r="C809" s="10" t="s">
        <v>315</v>
      </c>
      <c r="D809" s="10" t="s">
        <v>315</v>
      </c>
      <c r="E809" s="10" t="s">
        <v>315</v>
      </c>
    </row>
    <row r="810" spans="1:5" x14ac:dyDescent="0.35">
      <c r="A810" s="3">
        <v>44639</v>
      </c>
      <c r="B810" s="1">
        <f t="shared" si="18"/>
        <v>6</v>
      </c>
      <c r="C810" s="10" t="s">
        <v>315</v>
      </c>
      <c r="D810" s="10" t="s">
        <v>313</v>
      </c>
      <c r="E810" s="10" t="s">
        <v>313</v>
      </c>
    </row>
    <row r="811" spans="1:5" x14ac:dyDescent="0.35">
      <c r="A811" s="3">
        <v>44640</v>
      </c>
      <c r="B811" s="1">
        <f t="shared" si="18"/>
        <v>7</v>
      </c>
      <c r="C811" s="10" t="s">
        <v>313</v>
      </c>
      <c r="D811" s="10" t="s">
        <v>313</v>
      </c>
      <c r="E811" s="10" t="s">
        <v>313</v>
      </c>
    </row>
    <row r="812" spans="1:5" x14ac:dyDescent="0.35">
      <c r="A812" s="3">
        <v>44641</v>
      </c>
      <c r="B812" s="1">
        <f t="shared" si="18"/>
        <v>1</v>
      </c>
      <c r="C812" s="10" t="s">
        <v>315</v>
      </c>
      <c r="D812" s="10" t="s">
        <v>315</v>
      </c>
      <c r="E812" s="10" t="s">
        <v>315</v>
      </c>
    </row>
    <row r="813" spans="1:5" x14ac:dyDescent="0.35">
      <c r="A813" s="3">
        <v>44642</v>
      </c>
      <c r="B813" s="1">
        <f t="shared" si="18"/>
        <v>2</v>
      </c>
      <c r="C813" s="10" t="s">
        <v>315</v>
      </c>
      <c r="D813" s="10" t="s">
        <v>315</v>
      </c>
      <c r="E813" s="10" t="s">
        <v>315</v>
      </c>
    </row>
    <row r="814" spans="1:5" x14ac:dyDescent="0.35">
      <c r="A814" s="3">
        <v>44643</v>
      </c>
      <c r="B814" s="1">
        <f t="shared" si="18"/>
        <v>3</v>
      </c>
      <c r="C814" s="10" t="s">
        <v>315</v>
      </c>
      <c r="D814" s="10" t="s">
        <v>315</v>
      </c>
      <c r="E814" s="10" t="s">
        <v>315</v>
      </c>
    </row>
    <row r="815" spans="1:5" x14ac:dyDescent="0.35">
      <c r="A815" s="3">
        <v>44644</v>
      </c>
      <c r="B815" s="1">
        <f t="shared" si="18"/>
        <v>4</v>
      </c>
      <c r="C815" s="10" t="s">
        <v>315</v>
      </c>
      <c r="D815" s="10" t="s">
        <v>315</v>
      </c>
      <c r="E815" s="10" t="s">
        <v>315</v>
      </c>
    </row>
    <row r="816" spans="1:5" x14ac:dyDescent="0.35">
      <c r="A816" s="3">
        <v>44645</v>
      </c>
      <c r="B816" s="1">
        <f t="shared" si="18"/>
        <v>5</v>
      </c>
      <c r="C816" s="10" t="s">
        <v>315</v>
      </c>
      <c r="D816" s="10" t="s">
        <v>315</v>
      </c>
      <c r="E816" s="10" t="s">
        <v>315</v>
      </c>
    </row>
    <row r="817" spans="1:5" x14ac:dyDescent="0.35">
      <c r="A817" s="3">
        <v>44646</v>
      </c>
      <c r="B817" s="1">
        <f t="shared" si="18"/>
        <v>6</v>
      </c>
      <c r="C817" s="10" t="s">
        <v>315</v>
      </c>
      <c r="D817" s="10" t="s">
        <v>313</v>
      </c>
      <c r="E817" s="10" t="s">
        <v>313</v>
      </c>
    </row>
    <row r="818" spans="1:5" x14ac:dyDescent="0.35">
      <c r="A818" s="3">
        <v>44647</v>
      </c>
      <c r="B818" s="1">
        <f t="shared" si="18"/>
        <v>7</v>
      </c>
      <c r="C818" s="10" t="s">
        <v>313</v>
      </c>
      <c r="D818" s="10" t="s">
        <v>313</v>
      </c>
      <c r="E818" s="10" t="s">
        <v>313</v>
      </c>
    </row>
    <row r="819" spans="1:5" x14ac:dyDescent="0.35">
      <c r="A819" s="3">
        <v>44648</v>
      </c>
      <c r="B819" s="1">
        <f t="shared" si="18"/>
        <v>1</v>
      </c>
      <c r="C819" s="10" t="s">
        <v>315</v>
      </c>
      <c r="D819" s="10" t="s">
        <v>315</v>
      </c>
      <c r="E819" s="10" t="s">
        <v>315</v>
      </c>
    </row>
    <row r="820" spans="1:5" x14ac:dyDescent="0.35">
      <c r="A820" s="3">
        <v>44649</v>
      </c>
      <c r="B820" s="1">
        <f t="shared" si="18"/>
        <v>2</v>
      </c>
      <c r="C820" s="10" t="s">
        <v>315</v>
      </c>
      <c r="D820" s="10" t="s">
        <v>315</v>
      </c>
      <c r="E820" s="10" t="s">
        <v>315</v>
      </c>
    </row>
    <row r="821" spans="1:5" x14ac:dyDescent="0.35">
      <c r="A821" s="3">
        <v>44650</v>
      </c>
      <c r="B821" s="1">
        <f t="shared" si="18"/>
        <v>3</v>
      </c>
      <c r="C821" s="10" t="s">
        <v>315</v>
      </c>
      <c r="D821" s="10" t="s">
        <v>315</v>
      </c>
      <c r="E821" s="10" t="s">
        <v>315</v>
      </c>
    </row>
    <row r="822" spans="1:5" x14ac:dyDescent="0.35">
      <c r="A822" s="3">
        <v>44651</v>
      </c>
      <c r="B822" s="1">
        <f t="shared" si="18"/>
        <v>4</v>
      </c>
      <c r="C822" s="10" t="s">
        <v>315</v>
      </c>
      <c r="D822" s="10" t="s">
        <v>315</v>
      </c>
      <c r="E822" s="10" t="s">
        <v>315</v>
      </c>
    </row>
    <row r="823" spans="1:5" x14ac:dyDescent="0.35">
      <c r="A823" s="3">
        <v>44652</v>
      </c>
      <c r="B823" s="1">
        <f t="shared" si="18"/>
        <v>5</v>
      </c>
      <c r="C823" s="10" t="s">
        <v>315</v>
      </c>
      <c r="D823" s="10" t="s">
        <v>315</v>
      </c>
      <c r="E823" s="10" t="s">
        <v>315</v>
      </c>
    </row>
    <row r="824" spans="1:5" x14ac:dyDescent="0.35">
      <c r="A824" s="3">
        <v>44653</v>
      </c>
      <c r="B824" s="1">
        <f t="shared" si="18"/>
        <v>6</v>
      </c>
      <c r="C824" s="10" t="s">
        <v>315</v>
      </c>
      <c r="D824" s="10" t="s">
        <v>313</v>
      </c>
      <c r="E824" s="10" t="s">
        <v>313</v>
      </c>
    </row>
    <row r="825" spans="1:5" x14ac:dyDescent="0.35">
      <c r="A825" s="3">
        <v>44654</v>
      </c>
      <c r="B825" s="1">
        <f t="shared" si="18"/>
        <v>7</v>
      </c>
      <c r="C825" s="10" t="s">
        <v>313</v>
      </c>
      <c r="D825" s="10" t="s">
        <v>313</v>
      </c>
      <c r="E825" s="10" t="s">
        <v>313</v>
      </c>
    </row>
    <row r="826" spans="1:5" x14ac:dyDescent="0.35">
      <c r="A826" s="3">
        <v>44655</v>
      </c>
      <c r="B826" s="1">
        <f t="shared" si="18"/>
        <v>1</v>
      </c>
      <c r="C826" s="10" t="s">
        <v>315</v>
      </c>
      <c r="D826" s="10" t="s">
        <v>315</v>
      </c>
      <c r="E826" s="10" t="s">
        <v>315</v>
      </c>
    </row>
    <row r="827" spans="1:5" x14ac:dyDescent="0.35">
      <c r="A827" s="3">
        <v>44656</v>
      </c>
      <c r="B827" s="1">
        <f t="shared" si="18"/>
        <v>2</v>
      </c>
      <c r="C827" s="10" t="s">
        <v>315</v>
      </c>
      <c r="D827" s="10" t="s">
        <v>315</v>
      </c>
      <c r="E827" s="10" t="s">
        <v>315</v>
      </c>
    </row>
    <row r="828" spans="1:5" x14ac:dyDescent="0.35">
      <c r="A828" s="3">
        <v>44657</v>
      </c>
      <c r="B828" s="1">
        <f t="shared" si="18"/>
        <v>3</v>
      </c>
      <c r="C828" s="10" t="s">
        <v>315</v>
      </c>
      <c r="D828" s="10" t="s">
        <v>315</v>
      </c>
      <c r="E828" s="10" t="s">
        <v>315</v>
      </c>
    </row>
    <row r="829" spans="1:5" x14ac:dyDescent="0.35">
      <c r="A829" s="3">
        <v>44658</v>
      </c>
      <c r="B829" s="1">
        <f t="shared" si="18"/>
        <v>4</v>
      </c>
      <c r="C829" s="10" t="s">
        <v>315</v>
      </c>
      <c r="D829" s="10" t="s">
        <v>315</v>
      </c>
      <c r="E829" s="10" t="s">
        <v>315</v>
      </c>
    </row>
    <row r="830" spans="1:5" x14ac:dyDescent="0.35">
      <c r="A830" s="3">
        <v>44659</v>
      </c>
      <c r="B830" s="1">
        <f t="shared" si="18"/>
        <v>5</v>
      </c>
      <c r="C830" s="10" t="s">
        <v>315</v>
      </c>
      <c r="D830" s="10" t="s">
        <v>315</v>
      </c>
      <c r="E830" s="10" t="s">
        <v>315</v>
      </c>
    </row>
    <row r="831" spans="1:5" x14ac:dyDescent="0.35">
      <c r="A831" s="3">
        <v>44660</v>
      </c>
      <c r="B831" s="1">
        <f t="shared" si="18"/>
        <v>6</v>
      </c>
      <c r="C831" s="10" t="s">
        <v>315</v>
      </c>
      <c r="D831" s="10" t="s">
        <v>313</v>
      </c>
      <c r="E831" s="10" t="s">
        <v>313</v>
      </c>
    </row>
    <row r="832" spans="1:5" x14ac:dyDescent="0.35">
      <c r="A832" s="3">
        <v>44661</v>
      </c>
      <c r="B832" s="1">
        <f t="shared" si="18"/>
        <v>7</v>
      </c>
      <c r="C832" s="10" t="s">
        <v>313</v>
      </c>
      <c r="D832" s="10" t="s">
        <v>313</v>
      </c>
      <c r="E832" s="10" t="s">
        <v>313</v>
      </c>
    </row>
    <row r="833" spans="1:5" x14ac:dyDescent="0.35">
      <c r="A833" s="3">
        <v>44662</v>
      </c>
      <c r="B833" s="1">
        <f t="shared" si="18"/>
        <v>1</v>
      </c>
      <c r="C833" s="10" t="s">
        <v>315</v>
      </c>
      <c r="D833" s="10" t="s">
        <v>315</v>
      </c>
      <c r="E833" s="10" t="s">
        <v>315</v>
      </c>
    </row>
    <row r="834" spans="1:5" x14ac:dyDescent="0.35">
      <c r="A834" s="3">
        <v>44663</v>
      </c>
      <c r="B834" s="1">
        <f t="shared" si="18"/>
        <v>2</v>
      </c>
      <c r="C834" s="10" t="s">
        <v>315</v>
      </c>
      <c r="D834" s="10" t="s">
        <v>315</v>
      </c>
      <c r="E834" s="10" t="s">
        <v>315</v>
      </c>
    </row>
    <row r="835" spans="1:5" x14ac:dyDescent="0.35">
      <c r="A835" s="3">
        <v>44664</v>
      </c>
      <c r="B835" s="1">
        <f t="shared" si="18"/>
        <v>3</v>
      </c>
      <c r="C835" s="10" t="s">
        <v>315</v>
      </c>
      <c r="D835" s="10" t="s">
        <v>315</v>
      </c>
      <c r="E835" s="10" t="s">
        <v>315</v>
      </c>
    </row>
    <row r="836" spans="1:5" x14ac:dyDescent="0.35">
      <c r="A836" s="3">
        <v>44665</v>
      </c>
      <c r="B836" s="1">
        <f t="shared" si="18"/>
        <v>4</v>
      </c>
      <c r="C836" s="10" t="s">
        <v>315</v>
      </c>
      <c r="D836" s="10" t="s">
        <v>315</v>
      </c>
      <c r="E836" s="10" t="s">
        <v>315</v>
      </c>
    </row>
    <row r="837" spans="1:5" x14ac:dyDescent="0.35">
      <c r="A837" s="3">
        <v>44666</v>
      </c>
      <c r="B837" s="1">
        <f t="shared" si="18"/>
        <v>5</v>
      </c>
      <c r="C837" s="10" t="s">
        <v>315</v>
      </c>
      <c r="D837" s="10" t="s">
        <v>315</v>
      </c>
      <c r="E837" s="10" t="s">
        <v>315</v>
      </c>
    </row>
    <row r="838" spans="1:5" x14ac:dyDescent="0.35">
      <c r="A838" s="3">
        <v>44667</v>
      </c>
      <c r="B838" s="1">
        <f t="shared" si="18"/>
        <v>6</v>
      </c>
      <c r="C838" s="10" t="s">
        <v>315</v>
      </c>
      <c r="D838" s="10" t="s">
        <v>313</v>
      </c>
      <c r="E838" s="10" t="s">
        <v>313</v>
      </c>
    </row>
    <row r="839" spans="1:5" x14ac:dyDescent="0.35">
      <c r="A839" s="3">
        <v>44668</v>
      </c>
      <c r="B839" s="1">
        <f t="shared" si="18"/>
        <v>7</v>
      </c>
      <c r="C839" s="10" t="s">
        <v>313</v>
      </c>
      <c r="D839" s="10" t="s">
        <v>313</v>
      </c>
      <c r="E839" s="10" t="s">
        <v>313</v>
      </c>
    </row>
    <row r="840" spans="1:5" x14ac:dyDescent="0.35">
      <c r="A840" s="3">
        <v>44669</v>
      </c>
      <c r="B840" s="1">
        <f t="shared" si="18"/>
        <v>1</v>
      </c>
      <c r="C840" s="10" t="s">
        <v>315</v>
      </c>
      <c r="D840" s="10" t="s">
        <v>315</v>
      </c>
      <c r="E840" s="10" t="s">
        <v>315</v>
      </c>
    </row>
    <row r="841" spans="1:5" x14ac:dyDescent="0.35">
      <c r="A841" s="3">
        <v>44670</v>
      </c>
      <c r="B841" s="1">
        <f t="shared" si="18"/>
        <v>2</v>
      </c>
      <c r="C841" s="10" t="s">
        <v>315</v>
      </c>
      <c r="D841" s="10" t="s">
        <v>315</v>
      </c>
      <c r="E841" s="10" t="s">
        <v>315</v>
      </c>
    </row>
    <row r="842" spans="1:5" x14ac:dyDescent="0.35">
      <c r="A842" s="3">
        <v>44671</v>
      </c>
      <c r="B842" s="1">
        <f t="shared" si="18"/>
        <v>3</v>
      </c>
      <c r="C842" s="10" t="s">
        <v>315</v>
      </c>
      <c r="D842" s="10" t="s">
        <v>315</v>
      </c>
      <c r="E842" s="10" t="s">
        <v>315</v>
      </c>
    </row>
    <row r="843" spans="1:5" x14ac:dyDescent="0.35">
      <c r="A843" s="3">
        <v>44672</v>
      </c>
      <c r="B843" s="1">
        <f t="shared" si="18"/>
        <v>4</v>
      </c>
      <c r="C843" s="10" t="s">
        <v>315</v>
      </c>
      <c r="D843" s="10" t="s">
        <v>315</v>
      </c>
      <c r="E843" s="10" t="s">
        <v>315</v>
      </c>
    </row>
    <row r="844" spans="1:5" x14ac:dyDescent="0.35">
      <c r="A844" s="3">
        <v>44673</v>
      </c>
      <c r="B844" s="1">
        <f t="shared" si="18"/>
        <v>5</v>
      </c>
      <c r="C844" s="10" t="s">
        <v>315</v>
      </c>
      <c r="D844" s="10" t="s">
        <v>315</v>
      </c>
      <c r="E844" s="10" t="s">
        <v>315</v>
      </c>
    </row>
    <row r="845" spans="1:5" x14ac:dyDescent="0.35">
      <c r="A845" s="3">
        <v>44674</v>
      </c>
      <c r="B845" s="1">
        <f t="shared" si="18"/>
        <v>6</v>
      </c>
      <c r="C845" s="10" t="s">
        <v>315</v>
      </c>
      <c r="D845" s="10" t="s">
        <v>313</v>
      </c>
      <c r="E845" s="10" t="s">
        <v>313</v>
      </c>
    </row>
    <row r="846" spans="1:5" x14ac:dyDescent="0.35">
      <c r="A846" s="3">
        <v>44675</v>
      </c>
      <c r="B846" s="1">
        <f t="shared" si="18"/>
        <v>7</v>
      </c>
      <c r="C846" s="10" t="s">
        <v>313</v>
      </c>
      <c r="D846" s="10" t="s">
        <v>313</v>
      </c>
      <c r="E846" s="10" t="s">
        <v>313</v>
      </c>
    </row>
    <row r="847" spans="1:5" x14ac:dyDescent="0.35">
      <c r="A847" s="3">
        <v>44676</v>
      </c>
      <c r="B847" s="1">
        <f t="shared" si="18"/>
        <v>1</v>
      </c>
      <c r="C847" s="10" t="s">
        <v>315</v>
      </c>
      <c r="D847" s="10" t="s">
        <v>315</v>
      </c>
      <c r="E847" s="10" t="s">
        <v>315</v>
      </c>
    </row>
    <row r="848" spans="1:5" x14ac:dyDescent="0.35">
      <c r="A848" s="3">
        <v>44677</v>
      </c>
      <c r="B848" s="1">
        <f t="shared" si="18"/>
        <v>2</v>
      </c>
      <c r="C848" s="10" t="s">
        <v>315</v>
      </c>
      <c r="D848" s="10" t="s">
        <v>315</v>
      </c>
      <c r="E848" s="10" t="s">
        <v>315</v>
      </c>
    </row>
    <row r="849" spans="1:5" x14ac:dyDescent="0.35">
      <c r="A849" s="3">
        <v>44678</v>
      </c>
      <c r="B849" s="1">
        <f t="shared" si="18"/>
        <v>3</v>
      </c>
      <c r="C849" s="10" t="s">
        <v>315</v>
      </c>
      <c r="D849" s="10" t="s">
        <v>315</v>
      </c>
      <c r="E849" s="10" t="s">
        <v>315</v>
      </c>
    </row>
    <row r="850" spans="1:5" x14ac:dyDescent="0.35">
      <c r="A850" s="3">
        <v>44679</v>
      </c>
      <c r="B850" s="1">
        <f t="shared" si="18"/>
        <v>4</v>
      </c>
      <c r="C850" s="10" t="s">
        <v>315</v>
      </c>
      <c r="D850" s="10" t="s">
        <v>315</v>
      </c>
      <c r="E850" s="10" t="s">
        <v>315</v>
      </c>
    </row>
    <row r="851" spans="1:5" x14ac:dyDescent="0.35">
      <c r="A851" s="3">
        <v>44680</v>
      </c>
      <c r="B851" s="1">
        <f t="shared" si="18"/>
        <v>5</v>
      </c>
      <c r="C851" s="10" t="s">
        <v>315</v>
      </c>
      <c r="D851" s="10" t="s">
        <v>315</v>
      </c>
      <c r="E851" s="10" t="s">
        <v>315</v>
      </c>
    </row>
    <row r="852" spans="1:5" x14ac:dyDescent="0.35">
      <c r="A852" s="3">
        <v>44681</v>
      </c>
      <c r="B852" s="1">
        <f t="shared" si="18"/>
        <v>6</v>
      </c>
      <c r="C852" s="10" t="s">
        <v>315</v>
      </c>
      <c r="D852" s="10" t="s">
        <v>313</v>
      </c>
      <c r="E852" s="10" t="s">
        <v>313</v>
      </c>
    </row>
    <row r="853" spans="1:5" x14ac:dyDescent="0.35">
      <c r="A853" s="3">
        <v>44682</v>
      </c>
      <c r="B853" s="1">
        <f t="shared" si="18"/>
        <v>7</v>
      </c>
      <c r="C853" s="10" t="s">
        <v>313</v>
      </c>
      <c r="D853" s="10" t="s">
        <v>313</v>
      </c>
      <c r="E853" s="10" t="s">
        <v>313</v>
      </c>
    </row>
    <row r="854" spans="1:5" x14ac:dyDescent="0.35">
      <c r="A854" s="3">
        <v>44683</v>
      </c>
      <c r="B854" s="1">
        <f t="shared" si="18"/>
        <v>1</v>
      </c>
      <c r="C854" s="10" t="s">
        <v>315</v>
      </c>
      <c r="D854" s="10" t="s">
        <v>315</v>
      </c>
      <c r="E854" s="10" t="s">
        <v>315</v>
      </c>
    </row>
    <row r="855" spans="1:5" x14ac:dyDescent="0.35">
      <c r="A855" s="3">
        <v>44684</v>
      </c>
      <c r="B855" s="1">
        <f t="shared" si="18"/>
        <v>2</v>
      </c>
      <c r="C855" s="10" t="s">
        <v>315</v>
      </c>
      <c r="D855" s="10" t="s">
        <v>315</v>
      </c>
      <c r="E855" s="10" t="s">
        <v>315</v>
      </c>
    </row>
    <row r="856" spans="1:5" x14ac:dyDescent="0.35">
      <c r="A856" s="3">
        <v>44685</v>
      </c>
      <c r="B856" s="1">
        <f t="shared" si="18"/>
        <v>3</v>
      </c>
      <c r="C856" s="10" t="s">
        <v>315</v>
      </c>
      <c r="D856" s="10" t="s">
        <v>315</v>
      </c>
      <c r="E856" s="10" t="s">
        <v>315</v>
      </c>
    </row>
    <row r="857" spans="1:5" x14ac:dyDescent="0.35">
      <c r="A857" s="3">
        <v>44686</v>
      </c>
      <c r="B857" s="1">
        <f t="shared" si="18"/>
        <v>4</v>
      </c>
      <c r="C857" s="10" t="s">
        <v>315</v>
      </c>
      <c r="D857" s="10" t="s">
        <v>315</v>
      </c>
      <c r="E857" s="10" t="s">
        <v>315</v>
      </c>
    </row>
    <row r="858" spans="1:5" x14ac:dyDescent="0.35">
      <c r="A858" s="3">
        <v>44687</v>
      </c>
      <c r="B858" s="1">
        <f t="shared" si="18"/>
        <v>5</v>
      </c>
      <c r="C858" s="10" t="s">
        <v>315</v>
      </c>
      <c r="D858" s="10" t="s">
        <v>315</v>
      </c>
      <c r="E858" s="10" t="s">
        <v>315</v>
      </c>
    </row>
    <row r="859" spans="1:5" x14ac:dyDescent="0.35">
      <c r="A859" s="3">
        <v>44688</v>
      </c>
      <c r="B859" s="1">
        <f t="shared" si="18"/>
        <v>6</v>
      </c>
      <c r="C859" s="10" t="s">
        <v>315</v>
      </c>
      <c r="D859" s="10" t="s">
        <v>313</v>
      </c>
      <c r="E859" s="10" t="s">
        <v>313</v>
      </c>
    </row>
    <row r="860" spans="1:5" x14ac:dyDescent="0.35">
      <c r="A860" s="3">
        <v>44689</v>
      </c>
      <c r="B860" s="1">
        <f t="shared" si="18"/>
        <v>7</v>
      </c>
      <c r="C860" s="10" t="s">
        <v>313</v>
      </c>
      <c r="D860" s="10" t="s">
        <v>313</v>
      </c>
      <c r="E860" s="10" t="s">
        <v>313</v>
      </c>
    </row>
    <row r="861" spans="1:5" x14ac:dyDescent="0.35">
      <c r="A861" s="3">
        <v>44690</v>
      </c>
      <c r="B861" s="1">
        <f t="shared" si="18"/>
        <v>1</v>
      </c>
      <c r="C861" s="10" t="s">
        <v>315</v>
      </c>
      <c r="D861" s="10" t="s">
        <v>315</v>
      </c>
      <c r="E861" s="10" t="s">
        <v>315</v>
      </c>
    </row>
    <row r="862" spans="1:5" x14ac:dyDescent="0.35">
      <c r="A862" s="3">
        <v>44691</v>
      </c>
      <c r="B862" s="1">
        <f t="shared" si="18"/>
        <v>2</v>
      </c>
      <c r="C862" s="10" t="s">
        <v>315</v>
      </c>
      <c r="D862" s="10" t="s">
        <v>315</v>
      </c>
      <c r="E862" s="10" t="s">
        <v>315</v>
      </c>
    </row>
    <row r="863" spans="1:5" x14ac:dyDescent="0.35">
      <c r="A863" s="3">
        <v>44692</v>
      </c>
      <c r="B863" s="1">
        <f t="shared" si="18"/>
        <v>3</v>
      </c>
      <c r="C863" s="10" t="s">
        <v>315</v>
      </c>
      <c r="D863" s="10" t="s">
        <v>315</v>
      </c>
      <c r="E863" s="10" t="s">
        <v>315</v>
      </c>
    </row>
    <row r="864" spans="1:5" x14ac:dyDescent="0.35">
      <c r="A864" s="3">
        <v>44693</v>
      </c>
      <c r="B864" s="1">
        <f t="shared" ref="B864:B927" si="19">IF(A864&gt;0,WEEKDAY(A864,2),"")</f>
        <v>4</v>
      </c>
      <c r="C864" s="10" t="s">
        <v>315</v>
      </c>
      <c r="D864" s="10" t="s">
        <v>315</v>
      </c>
      <c r="E864" s="10" t="s">
        <v>315</v>
      </c>
    </row>
    <row r="865" spans="1:5" x14ac:dyDescent="0.35">
      <c r="A865" s="3">
        <v>44694</v>
      </c>
      <c r="B865" s="1">
        <f t="shared" si="19"/>
        <v>5</v>
      </c>
      <c r="C865" s="10" t="s">
        <v>315</v>
      </c>
      <c r="D865" s="10" t="s">
        <v>315</v>
      </c>
      <c r="E865" s="10" t="s">
        <v>315</v>
      </c>
    </row>
    <row r="866" spans="1:5" x14ac:dyDescent="0.35">
      <c r="A866" s="3">
        <v>44695</v>
      </c>
      <c r="B866" s="1">
        <f t="shared" si="19"/>
        <v>6</v>
      </c>
      <c r="C866" s="10" t="s">
        <v>315</v>
      </c>
      <c r="D866" s="10" t="s">
        <v>313</v>
      </c>
      <c r="E866" s="10" t="s">
        <v>313</v>
      </c>
    </row>
    <row r="867" spans="1:5" x14ac:dyDescent="0.35">
      <c r="A867" s="3">
        <v>44696</v>
      </c>
      <c r="B867" s="1">
        <f t="shared" si="19"/>
        <v>7</v>
      </c>
      <c r="C867" s="10" t="s">
        <v>313</v>
      </c>
      <c r="D867" s="10" t="s">
        <v>313</v>
      </c>
      <c r="E867" s="10" t="s">
        <v>313</v>
      </c>
    </row>
    <row r="868" spans="1:5" x14ac:dyDescent="0.35">
      <c r="A868" s="3">
        <v>44697</v>
      </c>
      <c r="B868" s="1">
        <f t="shared" si="19"/>
        <v>1</v>
      </c>
      <c r="C868" s="10" t="s">
        <v>315</v>
      </c>
      <c r="D868" s="10" t="s">
        <v>315</v>
      </c>
      <c r="E868" s="10" t="s">
        <v>315</v>
      </c>
    </row>
    <row r="869" spans="1:5" x14ac:dyDescent="0.35">
      <c r="A869" s="3">
        <v>44698</v>
      </c>
      <c r="B869" s="1">
        <f t="shared" si="19"/>
        <v>2</v>
      </c>
      <c r="C869" s="10" t="s">
        <v>315</v>
      </c>
      <c r="D869" s="10" t="s">
        <v>315</v>
      </c>
      <c r="E869" s="10" t="s">
        <v>315</v>
      </c>
    </row>
    <row r="870" spans="1:5" x14ac:dyDescent="0.35">
      <c r="A870" s="3">
        <v>44699</v>
      </c>
      <c r="B870" s="1">
        <f t="shared" si="19"/>
        <v>3</v>
      </c>
      <c r="C870" s="10" t="s">
        <v>315</v>
      </c>
      <c r="D870" s="10" t="s">
        <v>315</v>
      </c>
      <c r="E870" s="10" t="s">
        <v>315</v>
      </c>
    </row>
    <row r="871" spans="1:5" x14ac:dyDescent="0.35">
      <c r="A871" s="3">
        <v>44700</v>
      </c>
      <c r="B871" s="1">
        <f t="shared" si="19"/>
        <v>4</v>
      </c>
      <c r="C871" s="10" t="s">
        <v>315</v>
      </c>
      <c r="D871" s="10" t="s">
        <v>315</v>
      </c>
      <c r="E871" s="10" t="s">
        <v>315</v>
      </c>
    </row>
    <row r="872" spans="1:5" x14ac:dyDescent="0.35">
      <c r="A872" s="3">
        <v>44701</v>
      </c>
      <c r="B872" s="1">
        <f t="shared" si="19"/>
        <v>5</v>
      </c>
      <c r="C872" s="10" t="s">
        <v>315</v>
      </c>
      <c r="D872" s="10" t="s">
        <v>315</v>
      </c>
      <c r="E872" s="10" t="s">
        <v>315</v>
      </c>
    </row>
    <row r="873" spans="1:5" x14ac:dyDescent="0.35">
      <c r="A873" s="3">
        <v>44702</v>
      </c>
      <c r="B873" s="1">
        <f t="shared" si="19"/>
        <v>6</v>
      </c>
      <c r="C873" s="10" t="s">
        <v>315</v>
      </c>
      <c r="D873" s="10" t="s">
        <v>313</v>
      </c>
      <c r="E873" s="10" t="s">
        <v>313</v>
      </c>
    </row>
    <row r="874" spans="1:5" x14ac:dyDescent="0.35">
      <c r="A874" s="3">
        <v>44703</v>
      </c>
      <c r="B874" s="1">
        <f t="shared" si="19"/>
        <v>7</v>
      </c>
      <c r="C874" s="10" t="s">
        <v>313</v>
      </c>
      <c r="D874" s="10" t="s">
        <v>313</v>
      </c>
      <c r="E874" s="10" t="s">
        <v>313</v>
      </c>
    </row>
    <row r="875" spans="1:5" x14ac:dyDescent="0.35">
      <c r="A875" s="3">
        <v>44704</v>
      </c>
      <c r="B875" s="1">
        <f t="shared" si="19"/>
        <v>1</v>
      </c>
      <c r="C875" s="10" t="s">
        <v>315</v>
      </c>
      <c r="D875" s="10" t="s">
        <v>315</v>
      </c>
      <c r="E875" s="10" t="s">
        <v>315</v>
      </c>
    </row>
    <row r="876" spans="1:5" x14ac:dyDescent="0.35">
      <c r="A876" s="3">
        <v>44705</v>
      </c>
      <c r="B876" s="1">
        <f t="shared" si="19"/>
        <v>2</v>
      </c>
      <c r="C876" s="10" t="s">
        <v>315</v>
      </c>
      <c r="D876" s="10" t="s">
        <v>315</v>
      </c>
      <c r="E876" s="10" t="s">
        <v>315</v>
      </c>
    </row>
    <row r="877" spans="1:5" x14ac:dyDescent="0.35">
      <c r="A877" s="3">
        <v>44706</v>
      </c>
      <c r="B877" s="1">
        <f t="shared" si="19"/>
        <v>3</v>
      </c>
      <c r="C877" s="10" t="s">
        <v>315</v>
      </c>
      <c r="D877" s="10" t="s">
        <v>315</v>
      </c>
      <c r="E877" s="10" t="s">
        <v>315</v>
      </c>
    </row>
    <row r="878" spans="1:5" x14ac:dyDescent="0.35">
      <c r="A878" s="3">
        <v>44707</v>
      </c>
      <c r="B878" s="1">
        <f t="shared" si="19"/>
        <v>4</v>
      </c>
      <c r="C878" s="10" t="s">
        <v>315</v>
      </c>
      <c r="D878" s="10" t="s">
        <v>315</v>
      </c>
      <c r="E878" s="10" t="s">
        <v>315</v>
      </c>
    </row>
    <row r="879" spans="1:5" x14ac:dyDescent="0.35">
      <c r="A879" s="3">
        <v>44708</v>
      </c>
      <c r="B879" s="1">
        <f t="shared" si="19"/>
        <v>5</v>
      </c>
      <c r="C879" s="10" t="s">
        <v>315</v>
      </c>
      <c r="D879" s="10" t="s">
        <v>315</v>
      </c>
      <c r="E879" s="10" t="s">
        <v>315</v>
      </c>
    </row>
    <row r="880" spans="1:5" x14ac:dyDescent="0.35">
      <c r="A880" s="3">
        <v>44709</v>
      </c>
      <c r="B880" s="1">
        <f t="shared" si="19"/>
        <v>6</v>
      </c>
      <c r="C880" s="10" t="s">
        <v>315</v>
      </c>
      <c r="D880" s="10" t="s">
        <v>313</v>
      </c>
      <c r="E880" s="10" t="s">
        <v>313</v>
      </c>
    </row>
    <row r="881" spans="1:5" x14ac:dyDescent="0.35">
      <c r="A881" s="3">
        <v>44710</v>
      </c>
      <c r="B881" s="1">
        <f t="shared" si="19"/>
        <v>7</v>
      </c>
      <c r="C881" s="10" t="s">
        <v>313</v>
      </c>
      <c r="D881" s="10" t="s">
        <v>313</v>
      </c>
      <c r="E881" s="10" t="s">
        <v>313</v>
      </c>
    </row>
    <row r="882" spans="1:5" x14ac:dyDescent="0.35">
      <c r="A882" s="3">
        <v>44711</v>
      </c>
      <c r="B882" s="1">
        <f t="shared" si="19"/>
        <v>1</v>
      </c>
      <c r="C882" s="10" t="s">
        <v>315</v>
      </c>
      <c r="D882" s="10" t="s">
        <v>315</v>
      </c>
      <c r="E882" s="10" t="s">
        <v>315</v>
      </c>
    </row>
    <row r="883" spans="1:5" x14ac:dyDescent="0.35">
      <c r="A883" s="3">
        <v>44712</v>
      </c>
      <c r="B883" s="1">
        <f t="shared" si="19"/>
        <v>2</v>
      </c>
      <c r="C883" s="10" t="s">
        <v>315</v>
      </c>
      <c r="D883" s="10" t="s">
        <v>315</v>
      </c>
      <c r="E883" s="10" t="s">
        <v>315</v>
      </c>
    </row>
    <row r="884" spans="1:5" x14ac:dyDescent="0.35">
      <c r="A884" s="3">
        <v>44713</v>
      </c>
      <c r="B884" s="1">
        <f t="shared" si="19"/>
        <v>3</v>
      </c>
      <c r="C884" s="10" t="s">
        <v>315</v>
      </c>
      <c r="D884" s="10" t="s">
        <v>315</v>
      </c>
      <c r="E884" s="10" t="s">
        <v>315</v>
      </c>
    </row>
    <row r="885" spans="1:5" x14ac:dyDescent="0.35">
      <c r="A885" s="3">
        <v>44714</v>
      </c>
      <c r="B885" s="1">
        <f t="shared" si="19"/>
        <v>4</v>
      </c>
      <c r="C885" s="10" t="s">
        <v>315</v>
      </c>
      <c r="D885" s="10" t="s">
        <v>315</v>
      </c>
      <c r="E885" s="10" t="s">
        <v>315</v>
      </c>
    </row>
    <row r="886" spans="1:5" x14ac:dyDescent="0.35">
      <c r="A886" s="3">
        <v>44715</v>
      </c>
      <c r="B886" s="1">
        <f t="shared" si="19"/>
        <v>5</v>
      </c>
      <c r="C886" s="10" t="s">
        <v>315</v>
      </c>
      <c r="D886" s="10" t="s">
        <v>315</v>
      </c>
      <c r="E886" s="10" t="s">
        <v>315</v>
      </c>
    </row>
    <row r="887" spans="1:5" x14ac:dyDescent="0.35">
      <c r="A887" s="3">
        <v>44716</v>
      </c>
      <c r="B887" s="1">
        <f t="shared" si="19"/>
        <v>6</v>
      </c>
      <c r="C887" s="10" t="s">
        <v>315</v>
      </c>
      <c r="D887" s="10" t="s">
        <v>313</v>
      </c>
      <c r="E887" s="10" t="s">
        <v>313</v>
      </c>
    </row>
    <row r="888" spans="1:5" x14ac:dyDescent="0.35">
      <c r="A888" s="3">
        <v>44717</v>
      </c>
      <c r="B888" s="1">
        <f t="shared" si="19"/>
        <v>7</v>
      </c>
      <c r="C888" s="10" t="s">
        <v>313</v>
      </c>
      <c r="D888" s="10" t="s">
        <v>313</v>
      </c>
      <c r="E888" s="10" t="s">
        <v>313</v>
      </c>
    </row>
    <row r="889" spans="1:5" x14ac:dyDescent="0.35">
      <c r="A889" s="3">
        <v>44718</v>
      </c>
      <c r="B889" s="1">
        <f t="shared" si="19"/>
        <v>1</v>
      </c>
      <c r="C889" s="10" t="s">
        <v>315</v>
      </c>
      <c r="D889" s="10" t="s">
        <v>315</v>
      </c>
      <c r="E889" s="10" t="s">
        <v>315</v>
      </c>
    </row>
    <row r="890" spans="1:5" x14ac:dyDescent="0.35">
      <c r="A890" s="3">
        <v>44719</v>
      </c>
      <c r="B890" s="1">
        <f t="shared" si="19"/>
        <v>2</v>
      </c>
      <c r="C890" s="10" t="s">
        <v>315</v>
      </c>
      <c r="D890" s="10" t="s">
        <v>315</v>
      </c>
      <c r="E890" s="10" t="s">
        <v>315</v>
      </c>
    </row>
    <row r="891" spans="1:5" x14ac:dyDescent="0.35">
      <c r="A891" s="3">
        <v>44720</v>
      </c>
      <c r="B891" s="1">
        <f t="shared" si="19"/>
        <v>3</v>
      </c>
      <c r="C891" s="10" t="s">
        <v>315</v>
      </c>
      <c r="D891" s="10" t="s">
        <v>315</v>
      </c>
      <c r="E891" s="10" t="s">
        <v>315</v>
      </c>
    </row>
    <row r="892" spans="1:5" x14ac:dyDescent="0.35">
      <c r="A892" s="3">
        <v>44721</v>
      </c>
      <c r="B892" s="1">
        <f t="shared" si="19"/>
        <v>4</v>
      </c>
      <c r="C892" s="10" t="s">
        <v>315</v>
      </c>
      <c r="D892" s="10" t="s">
        <v>315</v>
      </c>
      <c r="E892" s="10" t="s">
        <v>315</v>
      </c>
    </row>
    <row r="893" spans="1:5" x14ac:dyDescent="0.35">
      <c r="A893" s="3">
        <v>44722</v>
      </c>
      <c r="B893" s="1">
        <f t="shared" si="19"/>
        <v>5</v>
      </c>
      <c r="C893" s="10" t="s">
        <v>315</v>
      </c>
      <c r="D893" s="10" t="s">
        <v>315</v>
      </c>
      <c r="E893" s="10" t="s">
        <v>315</v>
      </c>
    </row>
    <row r="894" spans="1:5" x14ac:dyDescent="0.35">
      <c r="A894" s="3">
        <v>44723</v>
      </c>
      <c r="B894" s="1">
        <f t="shared" si="19"/>
        <v>6</v>
      </c>
      <c r="C894" s="10" t="s">
        <v>315</v>
      </c>
      <c r="D894" s="10" t="s">
        <v>313</v>
      </c>
      <c r="E894" s="10" t="s">
        <v>313</v>
      </c>
    </row>
    <row r="895" spans="1:5" x14ac:dyDescent="0.35">
      <c r="A895" s="3">
        <v>44724</v>
      </c>
      <c r="B895" s="1">
        <f t="shared" si="19"/>
        <v>7</v>
      </c>
      <c r="C895" s="10" t="s">
        <v>313</v>
      </c>
      <c r="D895" s="10" t="s">
        <v>313</v>
      </c>
      <c r="E895" s="10" t="s">
        <v>313</v>
      </c>
    </row>
    <row r="896" spans="1:5" x14ac:dyDescent="0.35">
      <c r="A896" s="3">
        <v>44725</v>
      </c>
      <c r="B896" s="1">
        <f t="shared" si="19"/>
        <v>1</v>
      </c>
      <c r="C896" s="10" t="s">
        <v>315</v>
      </c>
      <c r="D896" s="10" t="s">
        <v>315</v>
      </c>
      <c r="E896" s="10" t="s">
        <v>315</v>
      </c>
    </row>
    <row r="897" spans="1:5" x14ac:dyDescent="0.35">
      <c r="A897" s="3">
        <v>44726</v>
      </c>
      <c r="B897" s="1">
        <f t="shared" si="19"/>
        <v>2</v>
      </c>
      <c r="C897" s="10" t="s">
        <v>315</v>
      </c>
      <c r="D897" s="10" t="s">
        <v>315</v>
      </c>
      <c r="E897" s="10" t="s">
        <v>315</v>
      </c>
    </row>
    <row r="898" spans="1:5" x14ac:dyDescent="0.35">
      <c r="A898" s="3">
        <v>44727</v>
      </c>
      <c r="B898" s="1">
        <f t="shared" si="19"/>
        <v>3</v>
      </c>
      <c r="C898" s="10" t="s">
        <v>315</v>
      </c>
      <c r="D898" s="10" t="s">
        <v>315</v>
      </c>
      <c r="E898" s="10" t="s">
        <v>315</v>
      </c>
    </row>
    <row r="899" spans="1:5" x14ac:dyDescent="0.35">
      <c r="A899" s="3">
        <v>44728</v>
      </c>
      <c r="B899" s="1">
        <f t="shared" si="19"/>
        <v>4</v>
      </c>
      <c r="C899" s="10" t="s">
        <v>315</v>
      </c>
      <c r="D899" s="10" t="s">
        <v>315</v>
      </c>
      <c r="E899" s="10" t="s">
        <v>315</v>
      </c>
    </row>
    <row r="900" spans="1:5" x14ac:dyDescent="0.35">
      <c r="A900" s="3">
        <v>44729</v>
      </c>
      <c r="B900" s="1">
        <f t="shared" si="19"/>
        <v>5</v>
      </c>
      <c r="C900" s="10" t="s">
        <v>315</v>
      </c>
      <c r="D900" s="10" t="s">
        <v>315</v>
      </c>
      <c r="E900" s="10" t="s">
        <v>315</v>
      </c>
    </row>
    <row r="901" spans="1:5" x14ac:dyDescent="0.35">
      <c r="A901" s="3">
        <v>44730</v>
      </c>
      <c r="B901" s="1">
        <f t="shared" si="19"/>
        <v>6</v>
      </c>
      <c r="C901" s="10" t="s">
        <v>315</v>
      </c>
      <c r="D901" s="10" t="s">
        <v>313</v>
      </c>
      <c r="E901" s="10" t="s">
        <v>313</v>
      </c>
    </row>
    <row r="902" spans="1:5" x14ac:dyDescent="0.35">
      <c r="A902" s="3">
        <v>44731</v>
      </c>
      <c r="B902" s="1">
        <f t="shared" si="19"/>
        <v>7</v>
      </c>
      <c r="C902" s="10" t="s">
        <v>313</v>
      </c>
      <c r="D902" s="10" t="s">
        <v>313</v>
      </c>
      <c r="E902" s="10" t="s">
        <v>313</v>
      </c>
    </row>
    <row r="903" spans="1:5" x14ac:dyDescent="0.35">
      <c r="A903" s="3">
        <v>44732</v>
      </c>
      <c r="B903" s="1">
        <f t="shared" si="19"/>
        <v>1</v>
      </c>
      <c r="C903" s="10" t="s">
        <v>315</v>
      </c>
      <c r="D903" s="10" t="s">
        <v>315</v>
      </c>
      <c r="E903" s="10" t="s">
        <v>315</v>
      </c>
    </row>
    <row r="904" spans="1:5" x14ac:dyDescent="0.35">
      <c r="A904" s="3">
        <v>44733</v>
      </c>
      <c r="B904" s="1">
        <f t="shared" si="19"/>
        <v>2</v>
      </c>
      <c r="C904" s="10" t="s">
        <v>315</v>
      </c>
      <c r="D904" s="10" t="s">
        <v>315</v>
      </c>
      <c r="E904" s="10" t="s">
        <v>315</v>
      </c>
    </row>
    <row r="905" spans="1:5" x14ac:dyDescent="0.35">
      <c r="A905" s="3">
        <v>44734</v>
      </c>
      <c r="B905" s="1">
        <f t="shared" si="19"/>
        <v>3</v>
      </c>
      <c r="C905" s="10" t="s">
        <v>315</v>
      </c>
      <c r="D905" s="10" t="s">
        <v>315</v>
      </c>
      <c r="E905" s="10" t="s">
        <v>315</v>
      </c>
    </row>
    <row r="906" spans="1:5" x14ac:dyDescent="0.35">
      <c r="A906" s="3">
        <v>44735</v>
      </c>
      <c r="B906" s="1">
        <f t="shared" si="19"/>
        <v>4</v>
      </c>
      <c r="C906" s="10" t="s">
        <v>315</v>
      </c>
      <c r="D906" s="10" t="s">
        <v>315</v>
      </c>
      <c r="E906" s="10" t="s">
        <v>315</v>
      </c>
    </row>
    <row r="907" spans="1:5" x14ac:dyDescent="0.35">
      <c r="A907" s="3">
        <v>44736</v>
      </c>
      <c r="B907" s="1">
        <f t="shared" si="19"/>
        <v>5</v>
      </c>
      <c r="C907" s="10" t="s">
        <v>315</v>
      </c>
      <c r="D907" s="10" t="s">
        <v>315</v>
      </c>
      <c r="E907" s="10" t="s">
        <v>315</v>
      </c>
    </row>
    <row r="908" spans="1:5" x14ac:dyDescent="0.35">
      <c r="A908" s="3">
        <v>44737</v>
      </c>
      <c r="B908" s="1">
        <f t="shared" si="19"/>
        <v>6</v>
      </c>
      <c r="C908" s="10" t="s">
        <v>315</v>
      </c>
      <c r="D908" s="10" t="s">
        <v>313</v>
      </c>
      <c r="E908" s="10" t="s">
        <v>313</v>
      </c>
    </row>
    <row r="909" spans="1:5" x14ac:dyDescent="0.35">
      <c r="A909" s="3">
        <v>44738</v>
      </c>
      <c r="B909" s="1">
        <f t="shared" si="19"/>
        <v>7</v>
      </c>
      <c r="C909" s="10" t="s">
        <v>313</v>
      </c>
      <c r="D909" s="10" t="s">
        <v>313</v>
      </c>
      <c r="E909" s="10" t="s">
        <v>313</v>
      </c>
    </row>
    <row r="910" spans="1:5" x14ac:dyDescent="0.35">
      <c r="A910" s="3">
        <v>44739</v>
      </c>
      <c r="B910" s="1">
        <f t="shared" si="19"/>
        <v>1</v>
      </c>
      <c r="C910" s="10" t="s">
        <v>315</v>
      </c>
      <c r="D910" s="10" t="s">
        <v>315</v>
      </c>
      <c r="E910" s="10" t="s">
        <v>315</v>
      </c>
    </row>
    <row r="911" spans="1:5" x14ac:dyDescent="0.35">
      <c r="A911" s="3">
        <v>44740</v>
      </c>
      <c r="B911" s="1">
        <f t="shared" si="19"/>
        <v>2</v>
      </c>
      <c r="C911" s="10" t="s">
        <v>315</v>
      </c>
      <c r="D911" s="10" t="s">
        <v>315</v>
      </c>
      <c r="E911" s="10" t="s">
        <v>315</v>
      </c>
    </row>
    <row r="912" spans="1:5" x14ac:dyDescent="0.35">
      <c r="A912" s="3">
        <v>44741</v>
      </c>
      <c r="B912" s="1">
        <f t="shared" si="19"/>
        <v>3</v>
      </c>
      <c r="C912" s="10" t="s">
        <v>315</v>
      </c>
      <c r="D912" s="10" t="s">
        <v>315</v>
      </c>
      <c r="E912" s="10" t="s">
        <v>315</v>
      </c>
    </row>
    <row r="913" spans="1:5" x14ac:dyDescent="0.35">
      <c r="A913" s="3">
        <v>44742</v>
      </c>
      <c r="B913" s="1">
        <f t="shared" si="19"/>
        <v>4</v>
      </c>
      <c r="C913" s="10" t="s">
        <v>315</v>
      </c>
      <c r="D913" s="10" t="s">
        <v>315</v>
      </c>
      <c r="E913" s="10" t="s">
        <v>315</v>
      </c>
    </row>
    <row r="914" spans="1:5" x14ac:dyDescent="0.35">
      <c r="A914" s="3">
        <v>44743</v>
      </c>
      <c r="B914" s="1">
        <f t="shared" si="19"/>
        <v>5</v>
      </c>
      <c r="C914" s="10" t="s">
        <v>315</v>
      </c>
      <c r="D914" s="10" t="s">
        <v>315</v>
      </c>
      <c r="E914" s="10" t="s">
        <v>315</v>
      </c>
    </row>
    <row r="915" spans="1:5" x14ac:dyDescent="0.35">
      <c r="A915" s="3">
        <v>44744</v>
      </c>
      <c r="B915" s="1">
        <f t="shared" si="19"/>
        <v>6</v>
      </c>
      <c r="C915" s="10" t="s">
        <v>315</v>
      </c>
      <c r="D915" s="10" t="s">
        <v>313</v>
      </c>
      <c r="E915" s="10" t="s">
        <v>313</v>
      </c>
    </row>
    <row r="916" spans="1:5" x14ac:dyDescent="0.35">
      <c r="A916" s="3">
        <v>44745</v>
      </c>
      <c r="B916" s="1">
        <f t="shared" si="19"/>
        <v>7</v>
      </c>
      <c r="C916" s="10" t="s">
        <v>313</v>
      </c>
      <c r="D916" s="10" t="s">
        <v>313</v>
      </c>
      <c r="E916" s="10" t="s">
        <v>313</v>
      </c>
    </row>
    <row r="917" spans="1:5" x14ac:dyDescent="0.35">
      <c r="A917" s="3">
        <v>44746</v>
      </c>
      <c r="B917" s="1">
        <f t="shared" si="19"/>
        <v>1</v>
      </c>
      <c r="C917" s="10" t="s">
        <v>315</v>
      </c>
      <c r="D917" s="10" t="s">
        <v>315</v>
      </c>
      <c r="E917" s="10" t="s">
        <v>315</v>
      </c>
    </row>
    <row r="918" spans="1:5" x14ac:dyDescent="0.35">
      <c r="A918" s="3">
        <v>44747</v>
      </c>
      <c r="B918" s="1">
        <f t="shared" si="19"/>
        <v>2</v>
      </c>
      <c r="C918" s="10" t="s">
        <v>315</v>
      </c>
      <c r="D918" s="10" t="s">
        <v>315</v>
      </c>
      <c r="E918" s="10" t="s">
        <v>315</v>
      </c>
    </row>
    <row r="919" spans="1:5" x14ac:dyDescent="0.35">
      <c r="A919" s="3">
        <v>44748</v>
      </c>
      <c r="B919" s="1">
        <f t="shared" si="19"/>
        <v>3</v>
      </c>
      <c r="C919" s="10" t="s">
        <v>315</v>
      </c>
      <c r="D919" s="10" t="s">
        <v>315</v>
      </c>
      <c r="E919" s="10" t="s">
        <v>315</v>
      </c>
    </row>
    <row r="920" spans="1:5" x14ac:dyDescent="0.35">
      <c r="A920" s="3">
        <v>44749</v>
      </c>
      <c r="B920" s="1">
        <f t="shared" si="19"/>
        <v>4</v>
      </c>
      <c r="C920" s="10" t="s">
        <v>315</v>
      </c>
      <c r="D920" s="10" t="s">
        <v>315</v>
      </c>
      <c r="E920" s="10" t="s">
        <v>315</v>
      </c>
    </row>
    <row r="921" spans="1:5" x14ac:dyDescent="0.35">
      <c r="A921" s="3">
        <v>44750</v>
      </c>
      <c r="B921" s="1">
        <f t="shared" si="19"/>
        <v>5</v>
      </c>
      <c r="C921" s="10" t="s">
        <v>315</v>
      </c>
      <c r="D921" s="10" t="s">
        <v>315</v>
      </c>
      <c r="E921" s="10" t="s">
        <v>315</v>
      </c>
    </row>
    <row r="922" spans="1:5" x14ac:dyDescent="0.35">
      <c r="A922" s="3">
        <v>44751</v>
      </c>
      <c r="B922" s="1">
        <f t="shared" si="19"/>
        <v>6</v>
      </c>
      <c r="C922" s="10" t="s">
        <v>315</v>
      </c>
      <c r="D922" s="10" t="s">
        <v>313</v>
      </c>
      <c r="E922" s="10" t="s">
        <v>313</v>
      </c>
    </row>
    <row r="923" spans="1:5" x14ac:dyDescent="0.35">
      <c r="A923" s="3">
        <v>44752</v>
      </c>
      <c r="B923" s="1">
        <f t="shared" si="19"/>
        <v>7</v>
      </c>
      <c r="C923" s="10" t="s">
        <v>313</v>
      </c>
      <c r="D923" s="10" t="s">
        <v>313</v>
      </c>
      <c r="E923" s="10" t="s">
        <v>313</v>
      </c>
    </row>
    <row r="924" spans="1:5" x14ac:dyDescent="0.35">
      <c r="A924" s="3">
        <v>44753</v>
      </c>
      <c r="B924" s="1">
        <f t="shared" si="19"/>
        <v>1</v>
      </c>
      <c r="C924" s="10" t="s">
        <v>315</v>
      </c>
      <c r="D924" s="10" t="s">
        <v>315</v>
      </c>
      <c r="E924" s="10" t="s">
        <v>315</v>
      </c>
    </row>
    <row r="925" spans="1:5" x14ac:dyDescent="0.35">
      <c r="A925" s="3">
        <v>44754</v>
      </c>
      <c r="B925" s="1">
        <f t="shared" si="19"/>
        <v>2</v>
      </c>
      <c r="C925" s="10" t="s">
        <v>315</v>
      </c>
      <c r="D925" s="10" t="s">
        <v>315</v>
      </c>
      <c r="E925" s="10" t="s">
        <v>315</v>
      </c>
    </row>
    <row r="926" spans="1:5" x14ac:dyDescent="0.35">
      <c r="A926" s="3">
        <v>44755</v>
      </c>
      <c r="B926" s="1">
        <f t="shared" si="19"/>
        <v>3</v>
      </c>
      <c r="C926" s="10" t="s">
        <v>315</v>
      </c>
      <c r="D926" s="10" t="s">
        <v>315</v>
      </c>
      <c r="E926" s="10" t="s">
        <v>315</v>
      </c>
    </row>
    <row r="927" spans="1:5" x14ac:dyDescent="0.35">
      <c r="A927" s="3">
        <v>44756</v>
      </c>
      <c r="B927" s="1">
        <f t="shared" si="19"/>
        <v>4</v>
      </c>
      <c r="C927" s="10" t="s">
        <v>315</v>
      </c>
      <c r="D927" s="10" t="s">
        <v>315</v>
      </c>
      <c r="E927" s="10" t="s">
        <v>315</v>
      </c>
    </row>
    <row r="928" spans="1:5" x14ac:dyDescent="0.35">
      <c r="A928" s="3">
        <v>44757</v>
      </c>
      <c r="B928" s="1">
        <f t="shared" ref="B928:B991" si="20">IF(A928&gt;0,WEEKDAY(A928,2),"")</f>
        <v>5</v>
      </c>
      <c r="C928" s="10" t="s">
        <v>315</v>
      </c>
      <c r="D928" s="10" t="s">
        <v>315</v>
      </c>
      <c r="E928" s="10" t="s">
        <v>315</v>
      </c>
    </row>
    <row r="929" spans="1:5" x14ac:dyDescent="0.35">
      <c r="A929" s="3">
        <v>44758</v>
      </c>
      <c r="B929" s="1">
        <f t="shared" si="20"/>
        <v>6</v>
      </c>
      <c r="C929" s="10" t="s">
        <v>315</v>
      </c>
      <c r="D929" s="10" t="s">
        <v>313</v>
      </c>
      <c r="E929" s="10" t="s">
        <v>313</v>
      </c>
    </row>
    <row r="930" spans="1:5" x14ac:dyDescent="0.35">
      <c r="A930" s="3">
        <v>44759</v>
      </c>
      <c r="B930" s="1">
        <f t="shared" si="20"/>
        <v>7</v>
      </c>
      <c r="C930" s="10" t="s">
        <v>313</v>
      </c>
      <c r="D930" s="10" t="s">
        <v>313</v>
      </c>
      <c r="E930" s="10" t="s">
        <v>313</v>
      </c>
    </row>
    <row r="931" spans="1:5" x14ac:dyDescent="0.35">
      <c r="A931" s="3">
        <v>44760</v>
      </c>
      <c r="B931" s="1">
        <f t="shared" si="20"/>
        <v>1</v>
      </c>
      <c r="C931" s="10" t="s">
        <v>315</v>
      </c>
      <c r="D931" s="10" t="s">
        <v>315</v>
      </c>
      <c r="E931" s="10" t="s">
        <v>315</v>
      </c>
    </row>
    <row r="932" spans="1:5" x14ac:dyDescent="0.35">
      <c r="A932" s="3">
        <v>44761</v>
      </c>
      <c r="B932" s="1">
        <f t="shared" si="20"/>
        <v>2</v>
      </c>
      <c r="C932" s="10" t="s">
        <v>315</v>
      </c>
      <c r="D932" s="10" t="s">
        <v>315</v>
      </c>
      <c r="E932" s="10" t="s">
        <v>315</v>
      </c>
    </row>
    <row r="933" spans="1:5" x14ac:dyDescent="0.35">
      <c r="A933" s="3">
        <v>44762</v>
      </c>
      <c r="B933" s="1">
        <f t="shared" si="20"/>
        <v>3</v>
      </c>
      <c r="C933" s="10" t="s">
        <v>315</v>
      </c>
      <c r="D933" s="10" t="s">
        <v>315</v>
      </c>
      <c r="E933" s="10" t="s">
        <v>315</v>
      </c>
    </row>
    <row r="934" spans="1:5" x14ac:dyDescent="0.35">
      <c r="A934" s="3">
        <v>44763</v>
      </c>
      <c r="B934" s="1">
        <f t="shared" si="20"/>
        <v>4</v>
      </c>
      <c r="C934" s="10" t="s">
        <v>315</v>
      </c>
      <c r="D934" s="10" t="s">
        <v>315</v>
      </c>
      <c r="E934" s="10" t="s">
        <v>315</v>
      </c>
    </row>
    <row r="935" spans="1:5" x14ac:dyDescent="0.35">
      <c r="A935" s="3">
        <v>44764</v>
      </c>
      <c r="B935" s="1">
        <f t="shared" si="20"/>
        <v>5</v>
      </c>
      <c r="C935" s="10" t="s">
        <v>315</v>
      </c>
      <c r="D935" s="10" t="s">
        <v>315</v>
      </c>
      <c r="E935" s="10" t="s">
        <v>315</v>
      </c>
    </row>
    <row r="936" spans="1:5" x14ac:dyDescent="0.35">
      <c r="A936" s="3">
        <v>44765</v>
      </c>
      <c r="B936" s="1">
        <f t="shared" si="20"/>
        <v>6</v>
      </c>
      <c r="C936" s="10" t="s">
        <v>315</v>
      </c>
      <c r="D936" s="10" t="s">
        <v>313</v>
      </c>
      <c r="E936" s="10" t="s">
        <v>313</v>
      </c>
    </row>
    <row r="937" spans="1:5" x14ac:dyDescent="0.35">
      <c r="A937" s="3">
        <v>44766</v>
      </c>
      <c r="B937" s="1">
        <f t="shared" si="20"/>
        <v>7</v>
      </c>
      <c r="C937" s="10" t="s">
        <v>313</v>
      </c>
      <c r="D937" s="10" t="s">
        <v>313</v>
      </c>
      <c r="E937" s="10" t="s">
        <v>313</v>
      </c>
    </row>
    <row r="938" spans="1:5" x14ac:dyDescent="0.35">
      <c r="A938" s="3">
        <v>44767</v>
      </c>
      <c r="B938" s="1">
        <f t="shared" si="20"/>
        <v>1</v>
      </c>
      <c r="C938" s="10" t="s">
        <v>315</v>
      </c>
      <c r="D938" s="10" t="s">
        <v>315</v>
      </c>
      <c r="E938" s="10" t="s">
        <v>315</v>
      </c>
    </row>
    <row r="939" spans="1:5" x14ac:dyDescent="0.35">
      <c r="A939" s="3">
        <v>44768</v>
      </c>
      <c r="B939" s="1">
        <f t="shared" si="20"/>
        <v>2</v>
      </c>
      <c r="C939" s="10" t="s">
        <v>315</v>
      </c>
      <c r="D939" s="10" t="s">
        <v>315</v>
      </c>
      <c r="E939" s="10" t="s">
        <v>315</v>
      </c>
    </row>
    <row r="940" spans="1:5" x14ac:dyDescent="0.35">
      <c r="A940" s="3">
        <v>44769</v>
      </c>
      <c r="B940" s="1">
        <f t="shared" si="20"/>
        <v>3</v>
      </c>
      <c r="C940" s="10" t="s">
        <v>315</v>
      </c>
      <c r="D940" s="10" t="s">
        <v>315</v>
      </c>
      <c r="E940" s="10" t="s">
        <v>315</v>
      </c>
    </row>
    <row r="941" spans="1:5" x14ac:dyDescent="0.35">
      <c r="A941" s="3">
        <v>44770</v>
      </c>
      <c r="B941" s="1">
        <f t="shared" si="20"/>
        <v>4</v>
      </c>
      <c r="C941" s="10" t="s">
        <v>315</v>
      </c>
      <c r="D941" s="10" t="s">
        <v>315</v>
      </c>
      <c r="E941" s="10" t="s">
        <v>315</v>
      </c>
    </row>
    <row r="942" spans="1:5" x14ac:dyDescent="0.35">
      <c r="A942" s="3">
        <v>44771</v>
      </c>
      <c r="B942" s="1">
        <f t="shared" si="20"/>
        <v>5</v>
      </c>
      <c r="C942" s="10" t="s">
        <v>315</v>
      </c>
      <c r="D942" s="10" t="s">
        <v>315</v>
      </c>
      <c r="E942" s="10" t="s">
        <v>315</v>
      </c>
    </row>
    <row r="943" spans="1:5" x14ac:dyDescent="0.35">
      <c r="A943" s="3">
        <v>44772</v>
      </c>
      <c r="B943" s="1">
        <f t="shared" si="20"/>
        <v>6</v>
      </c>
      <c r="C943" s="10" t="s">
        <v>315</v>
      </c>
      <c r="D943" s="10" t="s">
        <v>313</v>
      </c>
      <c r="E943" s="10" t="s">
        <v>313</v>
      </c>
    </row>
    <row r="944" spans="1:5" x14ac:dyDescent="0.35">
      <c r="A944" s="3">
        <v>44773</v>
      </c>
      <c r="B944" s="1">
        <f t="shared" si="20"/>
        <v>7</v>
      </c>
      <c r="C944" s="10" t="s">
        <v>313</v>
      </c>
      <c r="D944" s="10" t="s">
        <v>313</v>
      </c>
      <c r="E944" s="10" t="s">
        <v>313</v>
      </c>
    </row>
    <row r="945" spans="1:5" x14ac:dyDescent="0.35">
      <c r="A945" s="3">
        <v>44774</v>
      </c>
      <c r="B945" s="1">
        <f t="shared" si="20"/>
        <v>1</v>
      </c>
      <c r="C945" s="10" t="s">
        <v>315</v>
      </c>
      <c r="D945" s="10" t="s">
        <v>315</v>
      </c>
      <c r="E945" s="10" t="s">
        <v>315</v>
      </c>
    </row>
    <row r="946" spans="1:5" x14ac:dyDescent="0.35">
      <c r="A946" s="3">
        <v>44775</v>
      </c>
      <c r="B946" s="1">
        <f t="shared" si="20"/>
        <v>2</v>
      </c>
      <c r="C946" s="10" t="s">
        <v>315</v>
      </c>
      <c r="D946" s="10" t="s">
        <v>315</v>
      </c>
      <c r="E946" s="10" t="s">
        <v>315</v>
      </c>
    </row>
    <row r="947" spans="1:5" x14ac:dyDescent="0.35">
      <c r="A947" s="3">
        <v>44776</v>
      </c>
      <c r="B947" s="1">
        <f t="shared" si="20"/>
        <v>3</v>
      </c>
      <c r="C947" s="10" t="s">
        <v>315</v>
      </c>
      <c r="D947" s="10" t="s">
        <v>315</v>
      </c>
      <c r="E947" s="10" t="s">
        <v>315</v>
      </c>
    </row>
    <row r="948" spans="1:5" x14ac:dyDescent="0.35">
      <c r="A948" s="3">
        <v>44777</v>
      </c>
      <c r="B948" s="1">
        <f t="shared" si="20"/>
        <v>4</v>
      </c>
      <c r="C948" s="10" t="s">
        <v>315</v>
      </c>
      <c r="D948" s="10" t="s">
        <v>315</v>
      </c>
      <c r="E948" s="10" t="s">
        <v>315</v>
      </c>
    </row>
    <row r="949" spans="1:5" x14ac:dyDescent="0.35">
      <c r="A949" s="3">
        <v>44778</v>
      </c>
      <c r="B949" s="1">
        <f t="shared" si="20"/>
        <v>5</v>
      </c>
      <c r="C949" s="10" t="s">
        <v>315</v>
      </c>
      <c r="D949" s="10" t="s">
        <v>315</v>
      </c>
      <c r="E949" s="10" t="s">
        <v>315</v>
      </c>
    </row>
    <row r="950" spans="1:5" x14ac:dyDescent="0.35">
      <c r="A950" s="3">
        <v>44779</v>
      </c>
      <c r="B950" s="1">
        <f t="shared" si="20"/>
        <v>6</v>
      </c>
      <c r="C950" s="10" t="s">
        <v>315</v>
      </c>
      <c r="D950" s="10" t="s">
        <v>313</v>
      </c>
      <c r="E950" s="10" t="s">
        <v>313</v>
      </c>
    </row>
    <row r="951" spans="1:5" x14ac:dyDescent="0.35">
      <c r="A951" s="3">
        <v>44780</v>
      </c>
      <c r="B951" s="1">
        <f t="shared" si="20"/>
        <v>7</v>
      </c>
      <c r="C951" s="10" t="s">
        <v>313</v>
      </c>
      <c r="D951" s="10" t="s">
        <v>313</v>
      </c>
      <c r="E951" s="10" t="s">
        <v>313</v>
      </c>
    </row>
    <row r="952" spans="1:5" x14ac:dyDescent="0.35">
      <c r="A952" s="3">
        <v>44781</v>
      </c>
      <c r="B952" s="1">
        <f t="shared" si="20"/>
        <v>1</v>
      </c>
      <c r="C952" s="10" t="s">
        <v>315</v>
      </c>
      <c r="D952" s="10" t="s">
        <v>315</v>
      </c>
      <c r="E952" s="10" t="s">
        <v>315</v>
      </c>
    </row>
    <row r="953" spans="1:5" x14ac:dyDescent="0.35">
      <c r="A953" s="3">
        <v>44782</v>
      </c>
      <c r="B953" s="1">
        <f t="shared" si="20"/>
        <v>2</v>
      </c>
      <c r="C953" s="10" t="s">
        <v>315</v>
      </c>
      <c r="D953" s="10" t="s">
        <v>315</v>
      </c>
      <c r="E953" s="10" t="s">
        <v>315</v>
      </c>
    </row>
    <row r="954" spans="1:5" x14ac:dyDescent="0.35">
      <c r="A954" s="3">
        <v>44783</v>
      </c>
      <c r="B954" s="1">
        <f t="shared" si="20"/>
        <v>3</v>
      </c>
      <c r="C954" s="10" t="s">
        <v>315</v>
      </c>
      <c r="D954" s="10" t="s">
        <v>315</v>
      </c>
      <c r="E954" s="10" t="s">
        <v>315</v>
      </c>
    </row>
    <row r="955" spans="1:5" x14ac:dyDescent="0.35">
      <c r="A955" s="3">
        <v>44784</v>
      </c>
      <c r="B955" s="1">
        <f t="shared" si="20"/>
        <v>4</v>
      </c>
      <c r="C955" s="10" t="s">
        <v>315</v>
      </c>
      <c r="D955" s="10" t="s">
        <v>315</v>
      </c>
      <c r="E955" s="10" t="s">
        <v>315</v>
      </c>
    </row>
    <row r="956" spans="1:5" x14ac:dyDescent="0.35">
      <c r="A956" s="3">
        <v>44785</v>
      </c>
      <c r="B956" s="1">
        <f t="shared" si="20"/>
        <v>5</v>
      </c>
      <c r="C956" s="10" t="s">
        <v>315</v>
      </c>
      <c r="D956" s="10" t="s">
        <v>315</v>
      </c>
      <c r="E956" s="10" t="s">
        <v>315</v>
      </c>
    </row>
    <row r="957" spans="1:5" x14ac:dyDescent="0.35">
      <c r="A957" s="3">
        <v>44786</v>
      </c>
      <c r="B957" s="1">
        <f t="shared" si="20"/>
        <v>6</v>
      </c>
      <c r="C957" s="10" t="s">
        <v>315</v>
      </c>
      <c r="D957" s="10" t="s">
        <v>313</v>
      </c>
      <c r="E957" s="10" t="s">
        <v>313</v>
      </c>
    </row>
    <row r="958" spans="1:5" x14ac:dyDescent="0.35">
      <c r="A958" s="3">
        <v>44787</v>
      </c>
      <c r="B958" s="1">
        <f t="shared" si="20"/>
        <v>7</v>
      </c>
      <c r="C958" s="10" t="s">
        <v>313</v>
      </c>
      <c r="D958" s="10" t="s">
        <v>313</v>
      </c>
      <c r="E958" s="10" t="s">
        <v>313</v>
      </c>
    </row>
    <row r="959" spans="1:5" x14ac:dyDescent="0.35">
      <c r="A959" s="3">
        <v>44788</v>
      </c>
      <c r="B959" s="1">
        <f t="shared" si="20"/>
        <v>1</v>
      </c>
      <c r="C959" s="10" t="s">
        <v>315</v>
      </c>
      <c r="D959" s="10" t="s">
        <v>315</v>
      </c>
      <c r="E959" s="10" t="s">
        <v>315</v>
      </c>
    </row>
    <row r="960" spans="1:5" x14ac:dyDescent="0.35">
      <c r="A960" s="3">
        <v>44789</v>
      </c>
      <c r="B960" s="1">
        <f t="shared" si="20"/>
        <v>2</v>
      </c>
      <c r="C960" s="10" t="s">
        <v>315</v>
      </c>
      <c r="D960" s="10" t="s">
        <v>315</v>
      </c>
      <c r="E960" s="10" t="s">
        <v>315</v>
      </c>
    </row>
    <row r="961" spans="1:5" x14ac:dyDescent="0.35">
      <c r="A961" s="3">
        <v>44790</v>
      </c>
      <c r="B961" s="1">
        <f t="shared" si="20"/>
        <v>3</v>
      </c>
      <c r="C961" s="10" t="s">
        <v>315</v>
      </c>
      <c r="D961" s="10" t="s">
        <v>315</v>
      </c>
      <c r="E961" s="10" t="s">
        <v>315</v>
      </c>
    </row>
    <row r="962" spans="1:5" x14ac:dyDescent="0.35">
      <c r="A962" s="3">
        <v>44791</v>
      </c>
      <c r="B962" s="1">
        <f t="shared" si="20"/>
        <v>4</v>
      </c>
      <c r="C962" s="10" t="s">
        <v>315</v>
      </c>
      <c r="D962" s="10" t="s">
        <v>315</v>
      </c>
      <c r="E962" s="10" t="s">
        <v>315</v>
      </c>
    </row>
    <row r="963" spans="1:5" x14ac:dyDescent="0.35">
      <c r="A963" s="3">
        <v>44792</v>
      </c>
      <c r="B963" s="1">
        <f t="shared" si="20"/>
        <v>5</v>
      </c>
      <c r="C963" s="10" t="s">
        <v>315</v>
      </c>
      <c r="D963" s="10" t="s">
        <v>315</v>
      </c>
      <c r="E963" s="10" t="s">
        <v>315</v>
      </c>
    </row>
    <row r="964" spans="1:5" x14ac:dyDescent="0.35">
      <c r="A964" s="3">
        <v>44793</v>
      </c>
      <c r="B964" s="1">
        <f t="shared" si="20"/>
        <v>6</v>
      </c>
      <c r="C964" s="10" t="s">
        <v>315</v>
      </c>
      <c r="D964" s="10" t="s">
        <v>313</v>
      </c>
      <c r="E964" s="10" t="s">
        <v>313</v>
      </c>
    </row>
    <row r="965" spans="1:5" x14ac:dyDescent="0.35">
      <c r="A965" s="3">
        <v>44794</v>
      </c>
      <c r="B965" s="1">
        <f t="shared" si="20"/>
        <v>7</v>
      </c>
      <c r="C965" s="10" t="s">
        <v>313</v>
      </c>
      <c r="D965" s="10" t="s">
        <v>313</v>
      </c>
      <c r="E965" s="10" t="s">
        <v>313</v>
      </c>
    </row>
    <row r="966" spans="1:5" x14ac:dyDescent="0.35">
      <c r="A966" s="3">
        <v>44795</v>
      </c>
      <c r="B966" s="1">
        <f t="shared" si="20"/>
        <v>1</v>
      </c>
      <c r="C966" s="10" t="s">
        <v>315</v>
      </c>
      <c r="D966" s="10" t="s">
        <v>315</v>
      </c>
      <c r="E966" s="10" t="s">
        <v>315</v>
      </c>
    </row>
    <row r="967" spans="1:5" x14ac:dyDescent="0.35">
      <c r="A967" s="3">
        <v>44796</v>
      </c>
      <c r="B967" s="1">
        <f t="shared" si="20"/>
        <v>2</v>
      </c>
      <c r="C967" s="10" t="s">
        <v>315</v>
      </c>
      <c r="D967" s="10" t="s">
        <v>315</v>
      </c>
      <c r="E967" s="10" t="s">
        <v>315</v>
      </c>
    </row>
    <row r="968" spans="1:5" x14ac:dyDescent="0.35">
      <c r="A968" s="3">
        <v>44797</v>
      </c>
      <c r="B968" s="1">
        <f t="shared" si="20"/>
        <v>3</v>
      </c>
      <c r="C968" s="10" t="s">
        <v>315</v>
      </c>
      <c r="D968" s="10" t="s">
        <v>315</v>
      </c>
      <c r="E968" s="10" t="s">
        <v>315</v>
      </c>
    </row>
    <row r="969" spans="1:5" x14ac:dyDescent="0.35">
      <c r="A969" s="3">
        <v>44798</v>
      </c>
      <c r="B969" s="1">
        <f t="shared" si="20"/>
        <v>4</v>
      </c>
      <c r="C969" s="10" t="s">
        <v>315</v>
      </c>
      <c r="D969" s="10" t="s">
        <v>315</v>
      </c>
      <c r="E969" s="10" t="s">
        <v>315</v>
      </c>
    </row>
    <row r="970" spans="1:5" x14ac:dyDescent="0.35">
      <c r="A970" s="3">
        <v>44799</v>
      </c>
      <c r="B970" s="1">
        <f t="shared" si="20"/>
        <v>5</v>
      </c>
      <c r="C970" s="10" t="s">
        <v>315</v>
      </c>
      <c r="D970" s="10" t="s">
        <v>315</v>
      </c>
      <c r="E970" s="10" t="s">
        <v>315</v>
      </c>
    </row>
    <row r="971" spans="1:5" x14ac:dyDescent="0.35">
      <c r="A971" s="3">
        <v>44800</v>
      </c>
      <c r="B971" s="1">
        <f t="shared" si="20"/>
        <v>6</v>
      </c>
      <c r="C971" s="10" t="s">
        <v>315</v>
      </c>
      <c r="D971" s="10" t="s">
        <v>313</v>
      </c>
      <c r="E971" s="10" t="s">
        <v>313</v>
      </c>
    </row>
    <row r="972" spans="1:5" x14ac:dyDescent="0.35">
      <c r="A972" s="3">
        <v>44801</v>
      </c>
      <c r="B972" s="1">
        <f t="shared" si="20"/>
        <v>7</v>
      </c>
      <c r="C972" s="10" t="s">
        <v>313</v>
      </c>
      <c r="D972" s="10" t="s">
        <v>313</v>
      </c>
      <c r="E972" s="10" t="s">
        <v>313</v>
      </c>
    </row>
    <row r="973" spans="1:5" x14ac:dyDescent="0.35">
      <c r="A973" s="3">
        <v>44802</v>
      </c>
      <c r="B973" s="1">
        <f t="shared" si="20"/>
        <v>1</v>
      </c>
      <c r="C973" s="10" t="s">
        <v>315</v>
      </c>
      <c r="D973" s="10" t="s">
        <v>315</v>
      </c>
      <c r="E973" s="10" t="s">
        <v>315</v>
      </c>
    </row>
    <row r="974" spans="1:5" x14ac:dyDescent="0.35">
      <c r="A974" s="3">
        <v>44803</v>
      </c>
      <c r="B974" s="1">
        <f t="shared" si="20"/>
        <v>2</v>
      </c>
      <c r="C974" s="10" t="s">
        <v>315</v>
      </c>
      <c r="D974" s="10" t="s">
        <v>315</v>
      </c>
      <c r="E974" s="10" t="s">
        <v>315</v>
      </c>
    </row>
    <row r="975" spans="1:5" x14ac:dyDescent="0.35">
      <c r="A975" s="3">
        <v>44804</v>
      </c>
      <c r="B975" s="1">
        <f t="shared" si="20"/>
        <v>3</v>
      </c>
      <c r="C975" s="10" t="s">
        <v>315</v>
      </c>
      <c r="D975" s="10" t="s">
        <v>315</v>
      </c>
      <c r="E975" s="10" t="s">
        <v>315</v>
      </c>
    </row>
    <row r="976" spans="1:5" x14ac:dyDescent="0.35">
      <c r="A976" s="3">
        <v>44805</v>
      </c>
      <c r="B976" s="1">
        <f t="shared" si="20"/>
        <v>4</v>
      </c>
      <c r="C976" s="10" t="s">
        <v>315</v>
      </c>
      <c r="D976" s="10" t="s">
        <v>315</v>
      </c>
      <c r="E976" s="10" t="s">
        <v>315</v>
      </c>
    </row>
    <row r="977" spans="1:5" x14ac:dyDescent="0.35">
      <c r="A977" s="3">
        <v>44806</v>
      </c>
      <c r="B977" s="1">
        <f t="shared" si="20"/>
        <v>5</v>
      </c>
      <c r="C977" s="10" t="s">
        <v>315</v>
      </c>
      <c r="D977" s="10" t="s">
        <v>315</v>
      </c>
      <c r="E977" s="10" t="s">
        <v>315</v>
      </c>
    </row>
    <row r="978" spans="1:5" x14ac:dyDescent="0.35">
      <c r="A978" s="3">
        <v>44807</v>
      </c>
      <c r="B978" s="1">
        <f t="shared" si="20"/>
        <v>6</v>
      </c>
      <c r="C978" s="10" t="s">
        <v>315</v>
      </c>
      <c r="D978" s="10" t="s">
        <v>313</v>
      </c>
      <c r="E978" s="10" t="s">
        <v>313</v>
      </c>
    </row>
    <row r="979" spans="1:5" x14ac:dyDescent="0.35">
      <c r="A979" s="3">
        <v>44808</v>
      </c>
      <c r="B979" s="1">
        <f t="shared" si="20"/>
        <v>7</v>
      </c>
      <c r="C979" s="10" t="s">
        <v>313</v>
      </c>
      <c r="D979" s="10" t="s">
        <v>313</v>
      </c>
      <c r="E979" s="10" t="s">
        <v>313</v>
      </c>
    </row>
    <row r="980" spans="1:5" x14ac:dyDescent="0.35">
      <c r="A980" s="3">
        <v>44809</v>
      </c>
      <c r="B980" s="1">
        <f t="shared" si="20"/>
        <v>1</v>
      </c>
      <c r="C980" s="10" t="s">
        <v>315</v>
      </c>
      <c r="D980" s="10" t="s">
        <v>315</v>
      </c>
      <c r="E980" s="10" t="s">
        <v>315</v>
      </c>
    </row>
    <row r="981" spans="1:5" x14ac:dyDescent="0.35">
      <c r="A981" s="3">
        <v>44810</v>
      </c>
      <c r="B981" s="1">
        <f t="shared" si="20"/>
        <v>2</v>
      </c>
      <c r="C981" s="10" t="s">
        <v>315</v>
      </c>
      <c r="D981" s="10" t="s">
        <v>315</v>
      </c>
      <c r="E981" s="10" t="s">
        <v>315</v>
      </c>
    </row>
    <row r="982" spans="1:5" x14ac:dyDescent="0.35">
      <c r="A982" s="3">
        <v>44811</v>
      </c>
      <c r="B982" s="1">
        <f t="shared" si="20"/>
        <v>3</v>
      </c>
      <c r="C982" s="10" t="s">
        <v>315</v>
      </c>
      <c r="D982" s="10" t="s">
        <v>315</v>
      </c>
      <c r="E982" s="10" t="s">
        <v>315</v>
      </c>
    </row>
    <row r="983" spans="1:5" x14ac:dyDescent="0.35">
      <c r="A983" s="3">
        <v>44812</v>
      </c>
      <c r="B983" s="1">
        <f t="shared" si="20"/>
        <v>4</v>
      </c>
      <c r="C983" s="10" t="s">
        <v>315</v>
      </c>
      <c r="D983" s="10" t="s">
        <v>315</v>
      </c>
      <c r="E983" s="10" t="s">
        <v>315</v>
      </c>
    </row>
    <row r="984" spans="1:5" x14ac:dyDescent="0.35">
      <c r="A984" s="3">
        <v>44813</v>
      </c>
      <c r="B984" s="1">
        <f t="shared" si="20"/>
        <v>5</v>
      </c>
      <c r="C984" s="10" t="s">
        <v>315</v>
      </c>
      <c r="D984" s="10" t="s">
        <v>315</v>
      </c>
      <c r="E984" s="10" t="s">
        <v>315</v>
      </c>
    </row>
    <row r="985" spans="1:5" x14ac:dyDescent="0.35">
      <c r="A985" s="3">
        <v>44814</v>
      </c>
      <c r="B985" s="1">
        <f t="shared" si="20"/>
        <v>6</v>
      </c>
      <c r="C985" s="10" t="s">
        <v>315</v>
      </c>
      <c r="D985" s="10" t="s">
        <v>313</v>
      </c>
      <c r="E985" s="10" t="s">
        <v>313</v>
      </c>
    </row>
    <row r="986" spans="1:5" x14ac:dyDescent="0.35">
      <c r="A986" s="3">
        <v>44815</v>
      </c>
      <c r="B986" s="1">
        <f t="shared" si="20"/>
        <v>7</v>
      </c>
      <c r="C986" s="10" t="s">
        <v>313</v>
      </c>
      <c r="D986" s="10" t="s">
        <v>313</v>
      </c>
      <c r="E986" s="10" t="s">
        <v>313</v>
      </c>
    </row>
    <row r="987" spans="1:5" x14ac:dyDescent="0.35">
      <c r="A987" s="3">
        <v>44816</v>
      </c>
      <c r="B987" s="1">
        <f t="shared" si="20"/>
        <v>1</v>
      </c>
      <c r="C987" s="10" t="s">
        <v>315</v>
      </c>
      <c r="D987" s="10" t="s">
        <v>315</v>
      </c>
      <c r="E987" s="10" t="s">
        <v>315</v>
      </c>
    </row>
    <row r="988" spans="1:5" x14ac:dyDescent="0.35">
      <c r="A988" s="3">
        <v>44817</v>
      </c>
      <c r="B988" s="1">
        <f t="shared" si="20"/>
        <v>2</v>
      </c>
      <c r="C988" s="10" t="s">
        <v>315</v>
      </c>
      <c r="D988" s="10" t="s">
        <v>315</v>
      </c>
      <c r="E988" s="10" t="s">
        <v>315</v>
      </c>
    </row>
    <row r="989" spans="1:5" x14ac:dyDescent="0.35">
      <c r="A989" s="3">
        <v>44818</v>
      </c>
      <c r="B989" s="1">
        <f t="shared" si="20"/>
        <v>3</v>
      </c>
      <c r="C989" s="10" t="s">
        <v>315</v>
      </c>
      <c r="D989" s="10" t="s">
        <v>315</v>
      </c>
      <c r="E989" s="10" t="s">
        <v>315</v>
      </c>
    </row>
    <row r="990" spans="1:5" x14ac:dyDescent="0.35">
      <c r="A990" s="3">
        <v>44819</v>
      </c>
      <c r="B990" s="1">
        <f t="shared" si="20"/>
        <v>4</v>
      </c>
      <c r="C990" s="10" t="s">
        <v>315</v>
      </c>
      <c r="D990" s="10" t="s">
        <v>315</v>
      </c>
      <c r="E990" s="10" t="s">
        <v>315</v>
      </c>
    </row>
    <row r="991" spans="1:5" x14ac:dyDescent="0.35">
      <c r="A991" s="3">
        <v>44820</v>
      </c>
      <c r="B991" s="1">
        <f t="shared" si="20"/>
        <v>5</v>
      </c>
      <c r="C991" s="10" t="s">
        <v>315</v>
      </c>
      <c r="D991" s="10" t="s">
        <v>315</v>
      </c>
      <c r="E991" s="10" t="s">
        <v>315</v>
      </c>
    </row>
    <row r="992" spans="1:5" x14ac:dyDescent="0.35">
      <c r="A992" s="3">
        <v>44821</v>
      </c>
      <c r="B992" s="1">
        <f t="shared" ref="B992:B1055" si="21">IF(A992&gt;0,WEEKDAY(A992,2),"")</f>
        <v>6</v>
      </c>
      <c r="C992" s="10" t="s">
        <v>315</v>
      </c>
      <c r="D992" s="10" t="s">
        <v>313</v>
      </c>
      <c r="E992" s="10" t="s">
        <v>313</v>
      </c>
    </row>
    <row r="993" spans="1:5" x14ac:dyDescent="0.35">
      <c r="A993" s="3">
        <v>44822</v>
      </c>
      <c r="B993" s="1">
        <f t="shared" si="21"/>
        <v>7</v>
      </c>
      <c r="C993" s="10" t="s">
        <v>313</v>
      </c>
      <c r="D993" s="10" t="s">
        <v>313</v>
      </c>
      <c r="E993" s="10" t="s">
        <v>313</v>
      </c>
    </row>
    <row r="994" spans="1:5" x14ac:dyDescent="0.35">
      <c r="A994" s="3">
        <v>44823</v>
      </c>
      <c r="B994" s="1">
        <f t="shared" si="21"/>
        <v>1</v>
      </c>
      <c r="C994" s="10" t="s">
        <v>315</v>
      </c>
      <c r="D994" s="10" t="s">
        <v>315</v>
      </c>
      <c r="E994" s="10" t="s">
        <v>315</v>
      </c>
    </row>
    <row r="995" spans="1:5" x14ac:dyDescent="0.35">
      <c r="A995" s="3">
        <v>44824</v>
      </c>
      <c r="B995" s="1">
        <f t="shared" si="21"/>
        <v>2</v>
      </c>
      <c r="C995" s="10" t="s">
        <v>315</v>
      </c>
      <c r="D995" s="10" t="s">
        <v>315</v>
      </c>
      <c r="E995" s="10" t="s">
        <v>315</v>
      </c>
    </row>
    <row r="996" spans="1:5" x14ac:dyDescent="0.35">
      <c r="A996" s="3">
        <v>44825</v>
      </c>
      <c r="B996" s="1">
        <f t="shared" si="21"/>
        <v>3</v>
      </c>
      <c r="C996" s="10" t="s">
        <v>315</v>
      </c>
      <c r="D996" s="10" t="s">
        <v>315</v>
      </c>
      <c r="E996" s="10" t="s">
        <v>315</v>
      </c>
    </row>
    <row r="997" spans="1:5" x14ac:dyDescent="0.35">
      <c r="A997" s="3">
        <v>44826</v>
      </c>
      <c r="B997" s="1">
        <f t="shared" si="21"/>
        <v>4</v>
      </c>
      <c r="C997" s="10" t="s">
        <v>315</v>
      </c>
      <c r="D997" s="10" t="s">
        <v>315</v>
      </c>
      <c r="E997" s="10" t="s">
        <v>315</v>
      </c>
    </row>
    <row r="998" spans="1:5" x14ac:dyDescent="0.35">
      <c r="A998" s="3">
        <v>44827</v>
      </c>
      <c r="B998" s="1">
        <f t="shared" si="21"/>
        <v>5</v>
      </c>
      <c r="C998" s="10" t="s">
        <v>315</v>
      </c>
      <c r="D998" s="10" t="s">
        <v>315</v>
      </c>
      <c r="E998" s="10" t="s">
        <v>315</v>
      </c>
    </row>
    <row r="999" spans="1:5" x14ac:dyDescent="0.35">
      <c r="A999" s="3">
        <v>44828</v>
      </c>
      <c r="B999" s="1">
        <f t="shared" si="21"/>
        <v>6</v>
      </c>
      <c r="C999" s="10" t="s">
        <v>315</v>
      </c>
      <c r="D999" s="10" t="s">
        <v>313</v>
      </c>
      <c r="E999" s="10" t="s">
        <v>313</v>
      </c>
    </row>
    <row r="1000" spans="1:5" x14ac:dyDescent="0.35">
      <c r="A1000" s="3">
        <v>44829</v>
      </c>
      <c r="B1000" s="1">
        <f t="shared" si="21"/>
        <v>7</v>
      </c>
      <c r="C1000" s="10" t="s">
        <v>313</v>
      </c>
      <c r="D1000" s="10" t="s">
        <v>313</v>
      </c>
      <c r="E1000" s="10" t="s">
        <v>313</v>
      </c>
    </row>
    <row r="1001" spans="1:5" x14ac:dyDescent="0.35">
      <c r="A1001" s="3">
        <v>44830</v>
      </c>
      <c r="B1001" s="1">
        <f t="shared" si="21"/>
        <v>1</v>
      </c>
      <c r="C1001" s="10" t="s">
        <v>315</v>
      </c>
      <c r="D1001" s="10" t="s">
        <v>315</v>
      </c>
      <c r="E1001" s="10" t="s">
        <v>315</v>
      </c>
    </row>
    <row r="1002" spans="1:5" x14ac:dyDescent="0.35">
      <c r="A1002" s="3">
        <v>44831</v>
      </c>
      <c r="B1002" s="1">
        <f t="shared" si="21"/>
        <v>2</v>
      </c>
      <c r="C1002" s="10" t="s">
        <v>315</v>
      </c>
      <c r="D1002" s="10" t="s">
        <v>315</v>
      </c>
      <c r="E1002" s="10" t="s">
        <v>315</v>
      </c>
    </row>
    <row r="1003" spans="1:5" x14ac:dyDescent="0.35">
      <c r="A1003" s="3">
        <v>44832</v>
      </c>
      <c r="B1003" s="1">
        <f t="shared" si="21"/>
        <v>3</v>
      </c>
      <c r="C1003" s="10" t="s">
        <v>315</v>
      </c>
      <c r="D1003" s="10" t="s">
        <v>315</v>
      </c>
      <c r="E1003" s="10" t="s">
        <v>315</v>
      </c>
    </row>
    <row r="1004" spans="1:5" x14ac:dyDescent="0.35">
      <c r="A1004" s="3">
        <v>44833</v>
      </c>
      <c r="B1004" s="1">
        <f t="shared" si="21"/>
        <v>4</v>
      </c>
      <c r="C1004" s="10" t="s">
        <v>315</v>
      </c>
      <c r="D1004" s="10" t="s">
        <v>315</v>
      </c>
      <c r="E1004" s="10" t="s">
        <v>315</v>
      </c>
    </row>
    <row r="1005" spans="1:5" x14ac:dyDescent="0.35">
      <c r="A1005" s="3">
        <v>44834</v>
      </c>
      <c r="B1005" s="1">
        <f t="shared" si="21"/>
        <v>5</v>
      </c>
      <c r="C1005" s="10" t="s">
        <v>315</v>
      </c>
      <c r="D1005" s="10" t="s">
        <v>315</v>
      </c>
      <c r="E1005" s="10" t="s">
        <v>315</v>
      </c>
    </row>
    <row r="1006" spans="1:5" x14ac:dyDescent="0.35">
      <c r="A1006" s="3">
        <v>44835</v>
      </c>
      <c r="B1006" s="1">
        <f t="shared" si="21"/>
        <v>6</v>
      </c>
      <c r="C1006" s="10" t="s">
        <v>315</v>
      </c>
      <c r="D1006" s="10" t="s">
        <v>313</v>
      </c>
      <c r="E1006" s="10" t="s">
        <v>313</v>
      </c>
    </row>
    <row r="1007" spans="1:5" x14ac:dyDescent="0.35">
      <c r="A1007" s="3">
        <v>44836</v>
      </c>
      <c r="B1007" s="1">
        <f t="shared" si="21"/>
        <v>7</v>
      </c>
      <c r="C1007" s="10" t="s">
        <v>313</v>
      </c>
      <c r="D1007" s="10" t="s">
        <v>313</v>
      </c>
      <c r="E1007" s="10" t="s">
        <v>313</v>
      </c>
    </row>
    <row r="1008" spans="1:5" x14ac:dyDescent="0.35">
      <c r="A1008" s="3">
        <v>44837</v>
      </c>
      <c r="B1008" s="1">
        <f t="shared" si="21"/>
        <v>1</v>
      </c>
      <c r="C1008" s="10" t="s">
        <v>315</v>
      </c>
      <c r="D1008" s="10" t="s">
        <v>315</v>
      </c>
      <c r="E1008" s="10" t="s">
        <v>315</v>
      </c>
    </row>
    <row r="1009" spans="1:5" x14ac:dyDescent="0.35">
      <c r="A1009" s="3">
        <v>44838</v>
      </c>
      <c r="B1009" s="1">
        <f t="shared" si="21"/>
        <v>2</v>
      </c>
      <c r="C1009" s="10" t="s">
        <v>315</v>
      </c>
      <c r="D1009" s="10" t="s">
        <v>315</v>
      </c>
      <c r="E1009" s="10" t="s">
        <v>315</v>
      </c>
    </row>
    <row r="1010" spans="1:5" x14ac:dyDescent="0.35">
      <c r="A1010" s="3">
        <v>44839</v>
      </c>
      <c r="B1010" s="1">
        <f t="shared" si="21"/>
        <v>3</v>
      </c>
      <c r="C1010" s="10" t="s">
        <v>315</v>
      </c>
      <c r="D1010" s="10" t="s">
        <v>315</v>
      </c>
      <c r="E1010" s="10" t="s">
        <v>315</v>
      </c>
    </row>
    <row r="1011" spans="1:5" x14ac:dyDescent="0.35">
      <c r="A1011" s="3">
        <v>44840</v>
      </c>
      <c r="B1011" s="1">
        <f t="shared" si="21"/>
        <v>4</v>
      </c>
      <c r="C1011" s="10" t="s">
        <v>315</v>
      </c>
      <c r="D1011" s="10" t="s">
        <v>315</v>
      </c>
      <c r="E1011" s="10" t="s">
        <v>315</v>
      </c>
    </row>
    <row r="1012" spans="1:5" x14ac:dyDescent="0.35">
      <c r="A1012" s="3">
        <v>44841</v>
      </c>
      <c r="B1012" s="1">
        <f t="shared" si="21"/>
        <v>5</v>
      </c>
      <c r="C1012" s="10" t="s">
        <v>315</v>
      </c>
      <c r="D1012" s="10" t="s">
        <v>315</v>
      </c>
      <c r="E1012" s="10" t="s">
        <v>315</v>
      </c>
    </row>
    <row r="1013" spans="1:5" x14ac:dyDescent="0.35">
      <c r="A1013" s="3">
        <v>44842</v>
      </c>
      <c r="B1013" s="1">
        <f t="shared" si="21"/>
        <v>6</v>
      </c>
      <c r="C1013" s="10" t="s">
        <v>315</v>
      </c>
      <c r="D1013" s="10" t="s">
        <v>313</v>
      </c>
      <c r="E1013" s="10" t="s">
        <v>313</v>
      </c>
    </row>
    <row r="1014" spans="1:5" x14ac:dyDescent="0.35">
      <c r="A1014" s="3">
        <v>44843</v>
      </c>
      <c r="B1014" s="1">
        <f t="shared" si="21"/>
        <v>7</v>
      </c>
      <c r="C1014" s="10" t="s">
        <v>313</v>
      </c>
      <c r="D1014" s="10" t="s">
        <v>313</v>
      </c>
      <c r="E1014" s="10" t="s">
        <v>313</v>
      </c>
    </row>
    <row r="1015" spans="1:5" x14ac:dyDescent="0.35">
      <c r="A1015" s="3">
        <v>44844</v>
      </c>
      <c r="B1015" s="1">
        <f t="shared" si="21"/>
        <v>1</v>
      </c>
      <c r="C1015" s="10" t="s">
        <v>315</v>
      </c>
      <c r="D1015" s="10" t="s">
        <v>315</v>
      </c>
      <c r="E1015" s="10" t="s">
        <v>315</v>
      </c>
    </row>
    <row r="1016" spans="1:5" x14ac:dyDescent="0.35">
      <c r="A1016" s="3">
        <v>44845</v>
      </c>
      <c r="B1016" s="1">
        <f t="shared" si="21"/>
        <v>2</v>
      </c>
      <c r="C1016" s="10" t="s">
        <v>315</v>
      </c>
      <c r="D1016" s="10" t="s">
        <v>315</v>
      </c>
      <c r="E1016" s="10" t="s">
        <v>315</v>
      </c>
    </row>
    <row r="1017" spans="1:5" x14ac:dyDescent="0.35">
      <c r="A1017" s="3">
        <v>44846</v>
      </c>
      <c r="B1017" s="1">
        <f t="shared" si="21"/>
        <v>3</v>
      </c>
      <c r="C1017" s="10" t="s">
        <v>315</v>
      </c>
      <c r="D1017" s="10" t="s">
        <v>315</v>
      </c>
      <c r="E1017" s="10" t="s">
        <v>315</v>
      </c>
    </row>
    <row r="1018" spans="1:5" x14ac:dyDescent="0.35">
      <c r="A1018" s="3">
        <v>44847</v>
      </c>
      <c r="B1018" s="1">
        <f t="shared" si="21"/>
        <v>4</v>
      </c>
      <c r="C1018" s="10" t="s">
        <v>315</v>
      </c>
      <c r="D1018" s="10" t="s">
        <v>315</v>
      </c>
      <c r="E1018" s="10" t="s">
        <v>315</v>
      </c>
    </row>
    <row r="1019" spans="1:5" x14ac:dyDescent="0.35">
      <c r="A1019" s="3">
        <v>44848</v>
      </c>
      <c r="B1019" s="1">
        <f t="shared" si="21"/>
        <v>5</v>
      </c>
      <c r="C1019" s="10" t="s">
        <v>315</v>
      </c>
      <c r="D1019" s="10" t="s">
        <v>315</v>
      </c>
      <c r="E1019" s="10" t="s">
        <v>315</v>
      </c>
    </row>
    <row r="1020" spans="1:5" x14ac:dyDescent="0.35">
      <c r="A1020" s="3">
        <v>44849</v>
      </c>
      <c r="B1020" s="1">
        <f t="shared" si="21"/>
        <v>6</v>
      </c>
      <c r="C1020" s="10" t="s">
        <v>315</v>
      </c>
      <c r="D1020" s="10" t="s">
        <v>313</v>
      </c>
      <c r="E1020" s="10" t="s">
        <v>313</v>
      </c>
    </row>
    <row r="1021" spans="1:5" x14ac:dyDescent="0.35">
      <c r="A1021" s="3">
        <v>44850</v>
      </c>
      <c r="B1021" s="1">
        <f t="shared" si="21"/>
        <v>7</v>
      </c>
      <c r="C1021" s="10" t="s">
        <v>313</v>
      </c>
      <c r="D1021" s="10" t="s">
        <v>313</v>
      </c>
      <c r="E1021" s="10" t="s">
        <v>313</v>
      </c>
    </row>
    <row r="1022" spans="1:5" x14ac:dyDescent="0.35">
      <c r="A1022" s="3">
        <v>44851</v>
      </c>
      <c r="B1022" s="1">
        <f t="shared" si="21"/>
        <v>1</v>
      </c>
      <c r="C1022" s="10" t="s">
        <v>315</v>
      </c>
      <c r="D1022" s="10" t="s">
        <v>315</v>
      </c>
      <c r="E1022" s="10" t="s">
        <v>315</v>
      </c>
    </row>
    <row r="1023" spans="1:5" x14ac:dyDescent="0.35">
      <c r="A1023" s="3">
        <v>44852</v>
      </c>
      <c r="B1023" s="1">
        <f t="shared" si="21"/>
        <v>2</v>
      </c>
      <c r="C1023" s="10" t="s">
        <v>315</v>
      </c>
      <c r="D1023" s="10" t="s">
        <v>315</v>
      </c>
      <c r="E1023" s="10" t="s">
        <v>315</v>
      </c>
    </row>
    <row r="1024" spans="1:5" x14ac:dyDescent="0.35">
      <c r="A1024" s="3">
        <v>44853</v>
      </c>
      <c r="B1024" s="1">
        <f t="shared" si="21"/>
        <v>3</v>
      </c>
      <c r="C1024" s="10" t="s">
        <v>315</v>
      </c>
      <c r="D1024" s="10" t="s">
        <v>315</v>
      </c>
      <c r="E1024" s="10" t="s">
        <v>315</v>
      </c>
    </row>
    <row r="1025" spans="1:5" x14ac:dyDescent="0.35">
      <c r="A1025" s="3">
        <v>44854</v>
      </c>
      <c r="B1025" s="1">
        <f t="shared" si="21"/>
        <v>4</v>
      </c>
      <c r="C1025" s="10" t="s">
        <v>315</v>
      </c>
      <c r="D1025" s="10" t="s">
        <v>315</v>
      </c>
      <c r="E1025" s="10" t="s">
        <v>315</v>
      </c>
    </row>
    <row r="1026" spans="1:5" x14ac:dyDescent="0.35">
      <c r="A1026" s="3">
        <v>44855</v>
      </c>
      <c r="B1026" s="1">
        <f t="shared" si="21"/>
        <v>5</v>
      </c>
      <c r="C1026" s="10" t="s">
        <v>315</v>
      </c>
      <c r="D1026" s="10" t="s">
        <v>315</v>
      </c>
      <c r="E1026" s="10" t="s">
        <v>315</v>
      </c>
    </row>
    <row r="1027" spans="1:5" x14ac:dyDescent="0.35">
      <c r="A1027" s="3">
        <v>44856</v>
      </c>
      <c r="B1027" s="1">
        <f t="shared" si="21"/>
        <v>6</v>
      </c>
      <c r="C1027" s="10" t="s">
        <v>315</v>
      </c>
      <c r="D1027" s="10" t="s">
        <v>313</v>
      </c>
      <c r="E1027" s="10" t="s">
        <v>313</v>
      </c>
    </row>
    <row r="1028" spans="1:5" x14ac:dyDescent="0.35">
      <c r="A1028" s="3">
        <v>44857</v>
      </c>
      <c r="B1028" s="1">
        <f t="shared" si="21"/>
        <v>7</v>
      </c>
      <c r="C1028" s="10" t="s">
        <v>313</v>
      </c>
      <c r="D1028" s="10" t="s">
        <v>313</v>
      </c>
      <c r="E1028" s="10" t="s">
        <v>313</v>
      </c>
    </row>
    <row r="1029" spans="1:5" x14ac:dyDescent="0.35">
      <c r="A1029" s="3">
        <v>44858</v>
      </c>
      <c r="B1029" s="1">
        <f t="shared" si="21"/>
        <v>1</v>
      </c>
      <c r="C1029" s="10" t="s">
        <v>315</v>
      </c>
      <c r="D1029" s="10" t="s">
        <v>315</v>
      </c>
      <c r="E1029" s="10" t="s">
        <v>315</v>
      </c>
    </row>
    <row r="1030" spans="1:5" x14ac:dyDescent="0.35">
      <c r="A1030" s="3">
        <v>44859</v>
      </c>
      <c r="B1030" s="1">
        <f t="shared" si="21"/>
        <v>2</v>
      </c>
      <c r="C1030" s="10" t="s">
        <v>315</v>
      </c>
      <c r="D1030" s="10" t="s">
        <v>315</v>
      </c>
      <c r="E1030" s="10" t="s">
        <v>315</v>
      </c>
    </row>
    <row r="1031" spans="1:5" x14ac:dyDescent="0.35">
      <c r="A1031" s="3">
        <v>44860</v>
      </c>
      <c r="B1031" s="1">
        <f t="shared" si="21"/>
        <v>3</v>
      </c>
      <c r="C1031" s="10" t="s">
        <v>315</v>
      </c>
      <c r="D1031" s="10" t="s">
        <v>315</v>
      </c>
      <c r="E1031" s="10" t="s">
        <v>315</v>
      </c>
    </row>
    <row r="1032" spans="1:5" x14ac:dyDescent="0.35">
      <c r="A1032" s="3">
        <v>44861</v>
      </c>
      <c r="B1032" s="1">
        <f t="shared" si="21"/>
        <v>4</v>
      </c>
      <c r="C1032" s="10" t="s">
        <v>315</v>
      </c>
      <c r="D1032" s="10" t="s">
        <v>315</v>
      </c>
      <c r="E1032" s="10" t="s">
        <v>315</v>
      </c>
    </row>
    <row r="1033" spans="1:5" x14ac:dyDescent="0.35">
      <c r="A1033" s="3">
        <v>44862</v>
      </c>
      <c r="B1033" s="1">
        <f t="shared" si="21"/>
        <v>5</v>
      </c>
      <c r="C1033" s="10" t="s">
        <v>315</v>
      </c>
      <c r="D1033" s="10" t="s">
        <v>315</v>
      </c>
      <c r="E1033" s="10" t="s">
        <v>315</v>
      </c>
    </row>
    <row r="1034" spans="1:5" x14ac:dyDescent="0.35">
      <c r="A1034" s="3">
        <v>44863</v>
      </c>
      <c r="B1034" s="1">
        <f t="shared" si="21"/>
        <v>6</v>
      </c>
      <c r="C1034" s="10" t="s">
        <v>315</v>
      </c>
      <c r="D1034" s="10" t="s">
        <v>313</v>
      </c>
      <c r="E1034" s="10" t="s">
        <v>313</v>
      </c>
    </row>
    <row r="1035" spans="1:5" x14ac:dyDescent="0.35">
      <c r="A1035" s="3">
        <v>44864</v>
      </c>
      <c r="B1035" s="1">
        <f t="shared" si="21"/>
        <v>7</v>
      </c>
      <c r="C1035" s="10" t="s">
        <v>313</v>
      </c>
      <c r="D1035" s="10" t="s">
        <v>313</v>
      </c>
      <c r="E1035" s="10" t="s">
        <v>313</v>
      </c>
    </row>
    <row r="1036" spans="1:5" x14ac:dyDescent="0.35">
      <c r="A1036" s="3">
        <v>44865</v>
      </c>
      <c r="B1036" s="1">
        <f t="shared" si="21"/>
        <v>1</v>
      </c>
      <c r="C1036" s="10" t="s">
        <v>315</v>
      </c>
      <c r="D1036" s="10" t="s">
        <v>315</v>
      </c>
      <c r="E1036" s="10" t="s">
        <v>315</v>
      </c>
    </row>
    <row r="1037" spans="1:5" x14ac:dyDescent="0.35">
      <c r="A1037" s="3">
        <v>44866</v>
      </c>
      <c r="B1037" s="1">
        <f t="shared" si="21"/>
        <v>2</v>
      </c>
      <c r="C1037" s="10" t="s">
        <v>315</v>
      </c>
      <c r="D1037" s="10" t="s">
        <v>315</v>
      </c>
      <c r="E1037" s="10" t="s">
        <v>315</v>
      </c>
    </row>
    <row r="1038" spans="1:5" x14ac:dyDescent="0.35">
      <c r="A1038" s="3">
        <v>44867</v>
      </c>
      <c r="B1038" s="1">
        <f t="shared" si="21"/>
        <v>3</v>
      </c>
      <c r="C1038" s="10" t="s">
        <v>315</v>
      </c>
      <c r="D1038" s="10" t="s">
        <v>315</v>
      </c>
      <c r="E1038" s="10" t="s">
        <v>315</v>
      </c>
    </row>
    <row r="1039" spans="1:5" x14ac:dyDescent="0.35">
      <c r="A1039" s="3">
        <v>44868</v>
      </c>
      <c r="B1039" s="1">
        <f t="shared" si="21"/>
        <v>4</v>
      </c>
      <c r="C1039" s="10" t="s">
        <v>315</v>
      </c>
      <c r="D1039" s="10" t="s">
        <v>315</v>
      </c>
      <c r="E1039" s="10" t="s">
        <v>315</v>
      </c>
    </row>
    <row r="1040" spans="1:5" x14ac:dyDescent="0.35">
      <c r="A1040" s="3">
        <v>44869</v>
      </c>
      <c r="B1040" s="1">
        <f t="shared" si="21"/>
        <v>5</v>
      </c>
      <c r="C1040" s="10" t="s">
        <v>315</v>
      </c>
      <c r="D1040" s="10" t="s">
        <v>315</v>
      </c>
      <c r="E1040" s="10" t="s">
        <v>315</v>
      </c>
    </row>
    <row r="1041" spans="1:5" x14ac:dyDescent="0.35">
      <c r="A1041" s="3">
        <v>44870</v>
      </c>
      <c r="B1041" s="1">
        <f t="shared" si="21"/>
        <v>6</v>
      </c>
      <c r="C1041" s="10" t="s">
        <v>315</v>
      </c>
      <c r="D1041" s="10" t="s">
        <v>313</v>
      </c>
      <c r="E1041" s="10" t="s">
        <v>313</v>
      </c>
    </row>
    <row r="1042" spans="1:5" x14ac:dyDescent="0.35">
      <c r="A1042" s="3">
        <v>44871</v>
      </c>
      <c r="B1042" s="1">
        <f t="shared" si="21"/>
        <v>7</v>
      </c>
      <c r="C1042" s="10" t="s">
        <v>313</v>
      </c>
      <c r="D1042" s="10" t="s">
        <v>313</v>
      </c>
      <c r="E1042" s="10" t="s">
        <v>313</v>
      </c>
    </row>
    <row r="1043" spans="1:5" x14ac:dyDescent="0.35">
      <c r="A1043" s="3">
        <v>44872</v>
      </c>
      <c r="B1043" s="1">
        <f t="shared" si="21"/>
        <v>1</v>
      </c>
      <c r="C1043" s="10" t="s">
        <v>315</v>
      </c>
      <c r="D1043" s="10" t="s">
        <v>315</v>
      </c>
      <c r="E1043" s="10" t="s">
        <v>315</v>
      </c>
    </row>
    <row r="1044" spans="1:5" x14ac:dyDescent="0.35">
      <c r="A1044" s="3">
        <v>44873</v>
      </c>
      <c r="B1044" s="1">
        <f t="shared" si="21"/>
        <v>2</v>
      </c>
      <c r="C1044" s="10" t="s">
        <v>315</v>
      </c>
      <c r="D1044" s="10" t="s">
        <v>315</v>
      </c>
      <c r="E1044" s="10" t="s">
        <v>315</v>
      </c>
    </row>
    <row r="1045" spans="1:5" x14ac:dyDescent="0.35">
      <c r="A1045" s="3">
        <v>44874</v>
      </c>
      <c r="B1045" s="1">
        <f t="shared" si="21"/>
        <v>3</v>
      </c>
      <c r="C1045" s="10" t="s">
        <v>315</v>
      </c>
      <c r="D1045" s="10" t="s">
        <v>315</v>
      </c>
      <c r="E1045" s="10" t="s">
        <v>315</v>
      </c>
    </row>
    <row r="1046" spans="1:5" x14ac:dyDescent="0.35">
      <c r="A1046" s="3">
        <v>44875</v>
      </c>
      <c r="B1046" s="1">
        <f t="shared" si="21"/>
        <v>4</v>
      </c>
      <c r="C1046" s="10" t="s">
        <v>315</v>
      </c>
      <c r="D1046" s="10" t="s">
        <v>315</v>
      </c>
      <c r="E1046" s="10" t="s">
        <v>315</v>
      </c>
    </row>
    <row r="1047" spans="1:5" x14ac:dyDescent="0.35">
      <c r="A1047" s="3">
        <v>44876</v>
      </c>
      <c r="B1047" s="1">
        <f t="shared" si="21"/>
        <v>5</v>
      </c>
      <c r="C1047" s="10" t="s">
        <v>315</v>
      </c>
      <c r="D1047" s="10" t="s">
        <v>315</v>
      </c>
      <c r="E1047" s="10" t="s">
        <v>315</v>
      </c>
    </row>
    <row r="1048" spans="1:5" x14ac:dyDescent="0.35">
      <c r="A1048" s="3">
        <v>44877</v>
      </c>
      <c r="B1048" s="1">
        <f t="shared" si="21"/>
        <v>6</v>
      </c>
      <c r="C1048" s="10" t="s">
        <v>315</v>
      </c>
      <c r="D1048" s="10" t="s">
        <v>313</v>
      </c>
      <c r="E1048" s="10" t="s">
        <v>313</v>
      </c>
    </row>
    <row r="1049" spans="1:5" x14ac:dyDescent="0.35">
      <c r="A1049" s="3">
        <v>44878</v>
      </c>
      <c r="B1049" s="1">
        <f t="shared" si="21"/>
        <v>7</v>
      </c>
      <c r="C1049" s="10" t="s">
        <v>313</v>
      </c>
      <c r="D1049" s="10" t="s">
        <v>313</v>
      </c>
      <c r="E1049" s="10" t="s">
        <v>313</v>
      </c>
    </row>
    <row r="1050" spans="1:5" x14ac:dyDescent="0.35">
      <c r="A1050" s="3">
        <v>44879</v>
      </c>
      <c r="B1050" s="1">
        <f t="shared" si="21"/>
        <v>1</v>
      </c>
      <c r="C1050" s="10" t="s">
        <v>315</v>
      </c>
      <c r="D1050" s="10" t="s">
        <v>315</v>
      </c>
      <c r="E1050" s="10" t="s">
        <v>315</v>
      </c>
    </row>
    <row r="1051" spans="1:5" x14ac:dyDescent="0.35">
      <c r="A1051" s="3">
        <v>44880</v>
      </c>
      <c r="B1051" s="1">
        <f t="shared" si="21"/>
        <v>2</v>
      </c>
      <c r="C1051" s="10" t="s">
        <v>315</v>
      </c>
      <c r="D1051" s="10" t="s">
        <v>315</v>
      </c>
      <c r="E1051" s="10" t="s">
        <v>315</v>
      </c>
    </row>
    <row r="1052" spans="1:5" x14ac:dyDescent="0.35">
      <c r="A1052" s="3">
        <v>44881</v>
      </c>
      <c r="B1052" s="1">
        <f t="shared" si="21"/>
        <v>3</v>
      </c>
      <c r="C1052" s="10" t="s">
        <v>315</v>
      </c>
      <c r="D1052" s="10" t="s">
        <v>315</v>
      </c>
      <c r="E1052" s="10" t="s">
        <v>315</v>
      </c>
    </row>
    <row r="1053" spans="1:5" x14ac:dyDescent="0.35">
      <c r="A1053" s="3">
        <v>44882</v>
      </c>
      <c r="B1053" s="1">
        <f t="shared" si="21"/>
        <v>4</v>
      </c>
      <c r="C1053" s="10" t="s">
        <v>315</v>
      </c>
      <c r="D1053" s="10" t="s">
        <v>315</v>
      </c>
      <c r="E1053" s="10" t="s">
        <v>315</v>
      </c>
    </row>
    <row r="1054" spans="1:5" x14ac:dyDescent="0.35">
      <c r="A1054" s="3">
        <v>44883</v>
      </c>
      <c r="B1054" s="1">
        <f t="shared" si="21"/>
        <v>5</v>
      </c>
      <c r="C1054" s="10" t="s">
        <v>315</v>
      </c>
      <c r="D1054" s="10" t="s">
        <v>315</v>
      </c>
      <c r="E1054" s="10" t="s">
        <v>315</v>
      </c>
    </row>
    <row r="1055" spans="1:5" x14ac:dyDescent="0.35">
      <c r="A1055" s="3">
        <v>44884</v>
      </c>
      <c r="B1055" s="1">
        <f t="shared" si="21"/>
        <v>6</v>
      </c>
      <c r="C1055" s="10" t="s">
        <v>315</v>
      </c>
      <c r="D1055" s="10" t="s">
        <v>313</v>
      </c>
      <c r="E1055" s="10" t="s">
        <v>313</v>
      </c>
    </row>
    <row r="1056" spans="1:5" x14ac:dyDescent="0.35">
      <c r="A1056" s="3">
        <v>44885</v>
      </c>
      <c r="B1056" s="1">
        <f t="shared" ref="B1056:B1119" si="22">IF(A1056&gt;0,WEEKDAY(A1056,2),"")</f>
        <v>7</v>
      </c>
      <c r="C1056" s="10" t="s">
        <v>313</v>
      </c>
      <c r="D1056" s="10" t="s">
        <v>313</v>
      </c>
      <c r="E1056" s="10" t="s">
        <v>313</v>
      </c>
    </row>
    <row r="1057" spans="1:5" x14ac:dyDescent="0.35">
      <c r="A1057" s="3">
        <v>44886</v>
      </c>
      <c r="B1057" s="1">
        <f t="shared" si="22"/>
        <v>1</v>
      </c>
      <c r="C1057" s="10" t="s">
        <v>315</v>
      </c>
      <c r="D1057" s="10" t="s">
        <v>315</v>
      </c>
      <c r="E1057" s="10" t="s">
        <v>315</v>
      </c>
    </row>
    <row r="1058" spans="1:5" x14ac:dyDescent="0.35">
      <c r="A1058" s="3">
        <v>44887</v>
      </c>
      <c r="B1058" s="1">
        <f t="shared" si="22"/>
        <v>2</v>
      </c>
      <c r="C1058" s="10" t="s">
        <v>315</v>
      </c>
      <c r="D1058" s="10" t="s">
        <v>315</v>
      </c>
      <c r="E1058" s="10" t="s">
        <v>315</v>
      </c>
    </row>
    <row r="1059" spans="1:5" x14ac:dyDescent="0.35">
      <c r="A1059" s="3">
        <v>44888</v>
      </c>
      <c r="B1059" s="1">
        <f t="shared" si="22"/>
        <v>3</v>
      </c>
      <c r="C1059" s="10" t="s">
        <v>315</v>
      </c>
      <c r="D1059" s="10" t="s">
        <v>315</v>
      </c>
      <c r="E1059" s="10" t="s">
        <v>315</v>
      </c>
    </row>
    <row r="1060" spans="1:5" x14ac:dyDescent="0.35">
      <c r="A1060" s="3">
        <v>44889</v>
      </c>
      <c r="B1060" s="1">
        <f t="shared" si="22"/>
        <v>4</v>
      </c>
      <c r="C1060" s="10" t="s">
        <v>315</v>
      </c>
      <c r="D1060" s="10" t="s">
        <v>315</v>
      </c>
      <c r="E1060" s="10" t="s">
        <v>315</v>
      </c>
    </row>
    <row r="1061" spans="1:5" x14ac:dyDescent="0.35">
      <c r="A1061" s="3">
        <v>44890</v>
      </c>
      <c r="B1061" s="1">
        <f t="shared" si="22"/>
        <v>5</v>
      </c>
      <c r="C1061" s="10" t="s">
        <v>315</v>
      </c>
      <c r="D1061" s="10" t="s">
        <v>315</v>
      </c>
      <c r="E1061" s="10" t="s">
        <v>315</v>
      </c>
    </row>
    <row r="1062" spans="1:5" x14ac:dyDescent="0.35">
      <c r="A1062" s="3">
        <v>44891</v>
      </c>
      <c r="B1062" s="1">
        <f t="shared" si="22"/>
        <v>6</v>
      </c>
      <c r="C1062" s="10" t="s">
        <v>315</v>
      </c>
      <c r="D1062" s="10" t="s">
        <v>313</v>
      </c>
      <c r="E1062" s="10" t="s">
        <v>313</v>
      </c>
    </row>
    <row r="1063" spans="1:5" x14ac:dyDescent="0.35">
      <c r="A1063" s="3">
        <v>44892</v>
      </c>
      <c r="B1063" s="1">
        <f t="shared" si="22"/>
        <v>7</v>
      </c>
      <c r="C1063" s="10" t="s">
        <v>313</v>
      </c>
      <c r="D1063" s="10" t="s">
        <v>313</v>
      </c>
      <c r="E1063" s="10" t="s">
        <v>313</v>
      </c>
    </row>
    <row r="1064" spans="1:5" x14ac:dyDescent="0.35">
      <c r="A1064" s="3">
        <v>44893</v>
      </c>
      <c r="B1064" s="1">
        <f t="shared" si="22"/>
        <v>1</v>
      </c>
      <c r="C1064" s="10" t="s">
        <v>315</v>
      </c>
      <c r="D1064" s="10" t="s">
        <v>315</v>
      </c>
      <c r="E1064" s="10" t="s">
        <v>315</v>
      </c>
    </row>
    <row r="1065" spans="1:5" x14ac:dyDescent="0.35">
      <c r="A1065" s="3">
        <v>44894</v>
      </c>
      <c r="B1065" s="1">
        <f t="shared" si="22"/>
        <v>2</v>
      </c>
      <c r="C1065" s="10" t="s">
        <v>315</v>
      </c>
      <c r="D1065" s="10" t="s">
        <v>315</v>
      </c>
      <c r="E1065" s="10" t="s">
        <v>315</v>
      </c>
    </row>
    <row r="1066" spans="1:5" x14ac:dyDescent="0.35">
      <c r="A1066" s="3">
        <v>44895</v>
      </c>
      <c r="B1066" s="1">
        <f t="shared" si="22"/>
        <v>3</v>
      </c>
      <c r="C1066" s="10" t="s">
        <v>315</v>
      </c>
      <c r="D1066" s="10" t="s">
        <v>315</v>
      </c>
      <c r="E1066" s="10" t="s">
        <v>315</v>
      </c>
    </row>
    <row r="1067" spans="1:5" x14ac:dyDescent="0.35">
      <c r="A1067" s="3">
        <v>44896</v>
      </c>
      <c r="B1067" s="1">
        <f t="shared" si="22"/>
        <v>4</v>
      </c>
      <c r="C1067" s="10" t="s">
        <v>315</v>
      </c>
      <c r="D1067" s="10" t="s">
        <v>315</v>
      </c>
      <c r="E1067" s="10" t="s">
        <v>315</v>
      </c>
    </row>
    <row r="1068" spans="1:5" x14ac:dyDescent="0.35">
      <c r="A1068" s="3">
        <v>44897</v>
      </c>
      <c r="B1068" s="1">
        <f t="shared" si="22"/>
        <v>5</v>
      </c>
      <c r="C1068" s="10" t="s">
        <v>315</v>
      </c>
      <c r="D1068" s="10" t="s">
        <v>315</v>
      </c>
      <c r="E1068" s="10" t="s">
        <v>315</v>
      </c>
    </row>
    <row r="1069" spans="1:5" x14ac:dyDescent="0.35">
      <c r="A1069" s="3">
        <v>44898</v>
      </c>
      <c r="B1069" s="1">
        <f t="shared" si="22"/>
        <v>6</v>
      </c>
      <c r="C1069" s="10" t="s">
        <v>315</v>
      </c>
      <c r="D1069" s="10" t="s">
        <v>313</v>
      </c>
      <c r="E1069" s="10" t="s">
        <v>313</v>
      </c>
    </row>
    <row r="1070" spans="1:5" x14ac:dyDescent="0.35">
      <c r="A1070" s="3">
        <v>44899</v>
      </c>
      <c r="B1070" s="1">
        <f t="shared" si="22"/>
        <v>7</v>
      </c>
      <c r="C1070" s="10" t="s">
        <v>313</v>
      </c>
      <c r="D1070" s="10" t="s">
        <v>313</v>
      </c>
      <c r="E1070" s="10" t="s">
        <v>313</v>
      </c>
    </row>
    <row r="1071" spans="1:5" x14ac:dyDescent="0.35">
      <c r="A1071" s="3">
        <v>44900</v>
      </c>
      <c r="B1071" s="1">
        <f t="shared" si="22"/>
        <v>1</v>
      </c>
      <c r="C1071" s="10" t="s">
        <v>315</v>
      </c>
      <c r="D1071" s="10" t="s">
        <v>315</v>
      </c>
      <c r="E1071" s="10" t="s">
        <v>315</v>
      </c>
    </row>
    <row r="1072" spans="1:5" x14ac:dyDescent="0.35">
      <c r="A1072" s="3">
        <v>44901</v>
      </c>
      <c r="B1072" s="1">
        <f t="shared" si="22"/>
        <v>2</v>
      </c>
      <c r="C1072" s="10" t="s">
        <v>315</v>
      </c>
      <c r="D1072" s="10" t="s">
        <v>315</v>
      </c>
      <c r="E1072" s="10" t="s">
        <v>315</v>
      </c>
    </row>
    <row r="1073" spans="1:5" x14ac:dyDescent="0.35">
      <c r="A1073" s="3">
        <v>44902</v>
      </c>
      <c r="B1073" s="1">
        <f t="shared" si="22"/>
        <v>3</v>
      </c>
      <c r="C1073" s="10" t="s">
        <v>315</v>
      </c>
      <c r="D1073" s="10" t="s">
        <v>315</v>
      </c>
      <c r="E1073" s="10" t="s">
        <v>315</v>
      </c>
    </row>
    <row r="1074" spans="1:5" x14ac:dyDescent="0.35">
      <c r="A1074" s="3">
        <v>44903</v>
      </c>
      <c r="B1074" s="1">
        <f t="shared" si="22"/>
        <v>4</v>
      </c>
      <c r="C1074" s="10" t="s">
        <v>315</v>
      </c>
      <c r="D1074" s="10" t="s">
        <v>315</v>
      </c>
      <c r="E1074" s="10" t="s">
        <v>315</v>
      </c>
    </row>
    <row r="1075" spans="1:5" x14ac:dyDescent="0.35">
      <c r="A1075" s="3">
        <v>44904</v>
      </c>
      <c r="B1075" s="1">
        <f t="shared" si="22"/>
        <v>5</v>
      </c>
      <c r="C1075" s="10" t="s">
        <v>315</v>
      </c>
      <c r="D1075" s="10" t="s">
        <v>315</v>
      </c>
      <c r="E1075" s="10" t="s">
        <v>315</v>
      </c>
    </row>
    <row r="1076" spans="1:5" x14ac:dyDescent="0.35">
      <c r="A1076" s="3">
        <v>44905</v>
      </c>
      <c r="B1076" s="1">
        <f t="shared" si="22"/>
        <v>6</v>
      </c>
      <c r="C1076" s="10" t="s">
        <v>315</v>
      </c>
      <c r="D1076" s="10" t="s">
        <v>313</v>
      </c>
      <c r="E1076" s="10" t="s">
        <v>313</v>
      </c>
    </row>
    <row r="1077" spans="1:5" x14ac:dyDescent="0.35">
      <c r="A1077" s="3">
        <v>44906</v>
      </c>
      <c r="B1077" s="1">
        <f t="shared" si="22"/>
        <v>7</v>
      </c>
      <c r="C1077" s="10" t="s">
        <v>313</v>
      </c>
      <c r="D1077" s="10" t="s">
        <v>313</v>
      </c>
      <c r="E1077" s="10" t="s">
        <v>313</v>
      </c>
    </row>
    <row r="1078" spans="1:5" x14ac:dyDescent="0.35">
      <c r="A1078" s="3">
        <v>44907</v>
      </c>
      <c r="B1078" s="1">
        <f t="shared" si="22"/>
        <v>1</v>
      </c>
      <c r="C1078" s="10" t="s">
        <v>315</v>
      </c>
      <c r="D1078" s="10" t="s">
        <v>315</v>
      </c>
      <c r="E1078" s="10" t="s">
        <v>315</v>
      </c>
    </row>
    <row r="1079" spans="1:5" x14ac:dyDescent="0.35">
      <c r="A1079" s="3">
        <v>44908</v>
      </c>
      <c r="B1079" s="1">
        <f t="shared" si="22"/>
        <v>2</v>
      </c>
      <c r="C1079" s="10" t="s">
        <v>315</v>
      </c>
      <c r="D1079" s="10" t="s">
        <v>315</v>
      </c>
      <c r="E1079" s="10" t="s">
        <v>315</v>
      </c>
    </row>
    <row r="1080" spans="1:5" x14ac:dyDescent="0.35">
      <c r="A1080" s="3">
        <v>44909</v>
      </c>
      <c r="B1080" s="1">
        <f t="shared" si="22"/>
        <v>3</v>
      </c>
      <c r="C1080" s="10" t="s">
        <v>315</v>
      </c>
      <c r="D1080" s="10" t="s">
        <v>315</v>
      </c>
      <c r="E1080" s="10" t="s">
        <v>315</v>
      </c>
    </row>
    <row r="1081" spans="1:5" x14ac:dyDescent="0.35">
      <c r="A1081" s="3">
        <v>44910</v>
      </c>
      <c r="B1081" s="1">
        <f t="shared" si="22"/>
        <v>4</v>
      </c>
      <c r="C1081" s="10" t="s">
        <v>315</v>
      </c>
      <c r="D1081" s="10" t="s">
        <v>315</v>
      </c>
      <c r="E1081" s="10" t="s">
        <v>315</v>
      </c>
    </row>
    <row r="1082" spans="1:5" x14ac:dyDescent="0.35">
      <c r="A1082" s="3">
        <v>44911</v>
      </c>
      <c r="B1082" s="1">
        <f t="shared" si="22"/>
        <v>5</v>
      </c>
      <c r="C1082" s="10" t="s">
        <v>315</v>
      </c>
      <c r="D1082" s="10" t="s">
        <v>315</v>
      </c>
      <c r="E1082" s="10" t="s">
        <v>315</v>
      </c>
    </row>
    <row r="1083" spans="1:5" x14ac:dyDescent="0.35">
      <c r="A1083" s="3">
        <v>44912</v>
      </c>
      <c r="B1083" s="1">
        <f t="shared" si="22"/>
        <v>6</v>
      </c>
      <c r="C1083" s="10" t="s">
        <v>315</v>
      </c>
      <c r="D1083" s="10" t="s">
        <v>313</v>
      </c>
      <c r="E1083" s="10" t="s">
        <v>313</v>
      </c>
    </row>
    <row r="1084" spans="1:5" x14ac:dyDescent="0.35">
      <c r="A1084" s="3">
        <v>44913</v>
      </c>
      <c r="B1084" s="1">
        <f t="shared" si="22"/>
        <v>7</v>
      </c>
      <c r="C1084" s="10" t="s">
        <v>313</v>
      </c>
      <c r="D1084" s="10" t="s">
        <v>313</v>
      </c>
      <c r="E1084" s="10" t="s">
        <v>313</v>
      </c>
    </row>
    <row r="1085" spans="1:5" x14ac:dyDescent="0.35">
      <c r="A1085" s="3">
        <v>44914</v>
      </c>
      <c r="B1085" s="1">
        <f t="shared" si="22"/>
        <v>1</v>
      </c>
      <c r="C1085" s="10" t="s">
        <v>315</v>
      </c>
      <c r="D1085" s="10" t="s">
        <v>315</v>
      </c>
      <c r="E1085" s="10" t="s">
        <v>315</v>
      </c>
    </row>
    <row r="1086" spans="1:5" x14ac:dyDescent="0.35">
      <c r="A1086" s="3">
        <v>44915</v>
      </c>
      <c r="B1086" s="1">
        <f t="shared" si="22"/>
        <v>2</v>
      </c>
      <c r="C1086" s="10" t="s">
        <v>315</v>
      </c>
      <c r="D1086" s="10" t="s">
        <v>315</v>
      </c>
      <c r="E1086" s="10" t="s">
        <v>315</v>
      </c>
    </row>
    <row r="1087" spans="1:5" x14ac:dyDescent="0.35">
      <c r="A1087" s="3">
        <v>44916</v>
      </c>
      <c r="B1087" s="1">
        <f t="shared" si="22"/>
        <v>3</v>
      </c>
      <c r="C1087" s="10" t="s">
        <v>315</v>
      </c>
      <c r="D1087" s="10" t="s">
        <v>315</v>
      </c>
      <c r="E1087" s="10" t="s">
        <v>315</v>
      </c>
    </row>
    <row r="1088" spans="1:5" x14ac:dyDescent="0.35">
      <c r="A1088" s="3">
        <v>44917</v>
      </c>
      <c r="B1088" s="1">
        <f t="shared" si="22"/>
        <v>4</v>
      </c>
      <c r="C1088" s="10" t="s">
        <v>315</v>
      </c>
      <c r="D1088" s="10" t="s">
        <v>315</v>
      </c>
      <c r="E1088" s="10" t="s">
        <v>315</v>
      </c>
    </row>
    <row r="1089" spans="1:5" x14ac:dyDescent="0.35">
      <c r="A1089" s="3">
        <v>44918</v>
      </c>
      <c r="B1089" s="1">
        <f t="shared" si="22"/>
        <v>5</v>
      </c>
      <c r="C1089" s="10" t="s">
        <v>315</v>
      </c>
      <c r="D1089" s="10" t="s">
        <v>315</v>
      </c>
      <c r="E1089" s="10" t="s">
        <v>315</v>
      </c>
    </row>
    <row r="1090" spans="1:5" x14ac:dyDescent="0.35">
      <c r="A1090" s="3">
        <v>44919</v>
      </c>
      <c r="B1090" s="1">
        <f t="shared" si="22"/>
        <v>6</v>
      </c>
      <c r="C1090" s="10" t="s">
        <v>315</v>
      </c>
      <c r="D1090" s="10" t="s">
        <v>313</v>
      </c>
      <c r="E1090" s="10" t="s">
        <v>313</v>
      </c>
    </row>
    <row r="1091" spans="1:5" x14ac:dyDescent="0.35">
      <c r="A1091" s="3">
        <v>44920</v>
      </c>
      <c r="B1091" s="1">
        <f t="shared" si="22"/>
        <v>7</v>
      </c>
      <c r="C1091" s="10" t="s">
        <v>313</v>
      </c>
      <c r="D1091" s="10" t="s">
        <v>313</v>
      </c>
      <c r="E1091" s="10" t="s">
        <v>313</v>
      </c>
    </row>
    <row r="1092" spans="1:5" x14ac:dyDescent="0.35">
      <c r="A1092" s="3">
        <v>44921</v>
      </c>
      <c r="B1092" s="1">
        <f t="shared" si="22"/>
        <v>1</v>
      </c>
      <c r="C1092" s="10" t="s">
        <v>315</v>
      </c>
      <c r="D1092" s="10" t="s">
        <v>315</v>
      </c>
      <c r="E1092" s="10" t="s">
        <v>315</v>
      </c>
    </row>
    <row r="1093" spans="1:5" x14ac:dyDescent="0.35">
      <c r="A1093" s="3">
        <v>44922</v>
      </c>
      <c r="B1093" s="1">
        <f t="shared" si="22"/>
        <v>2</v>
      </c>
      <c r="C1093" s="10" t="s">
        <v>315</v>
      </c>
      <c r="D1093" s="10" t="s">
        <v>315</v>
      </c>
      <c r="E1093" s="10" t="s">
        <v>315</v>
      </c>
    </row>
    <row r="1094" spans="1:5" x14ac:dyDescent="0.35">
      <c r="A1094" s="3">
        <v>44923</v>
      </c>
      <c r="B1094" s="1">
        <f t="shared" si="22"/>
        <v>3</v>
      </c>
      <c r="C1094" s="10" t="s">
        <v>315</v>
      </c>
      <c r="D1094" s="10" t="s">
        <v>315</v>
      </c>
      <c r="E1094" s="10" t="s">
        <v>315</v>
      </c>
    </row>
    <row r="1095" spans="1:5" x14ac:dyDescent="0.35">
      <c r="A1095" s="3">
        <v>44924</v>
      </c>
      <c r="B1095" s="1">
        <f t="shared" si="22"/>
        <v>4</v>
      </c>
      <c r="C1095" s="10" t="s">
        <v>315</v>
      </c>
      <c r="D1095" s="10" t="s">
        <v>315</v>
      </c>
      <c r="E1095" s="10" t="s">
        <v>315</v>
      </c>
    </row>
    <row r="1096" spans="1:5" x14ac:dyDescent="0.35">
      <c r="A1096" s="3">
        <v>44925</v>
      </c>
      <c r="B1096" s="1">
        <f t="shared" si="22"/>
        <v>5</v>
      </c>
      <c r="C1096" s="10" t="s">
        <v>315</v>
      </c>
      <c r="D1096" s="10" t="s">
        <v>315</v>
      </c>
      <c r="E1096" s="10" t="s">
        <v>315</v>
      </c>
    </row>
    <row r="1097" spans="1:5" x14ac:dyDescent="0.35">
      <c r="A1097" s="3">
        <v>44926</v>
      </c>
      <c r="B1097" s="1">
        <f t="shared" si="22"/>
        <v>6</v>
      </c>
      <c r="C1097" s="10" t="s">
        <v>315</v>
      </c>
      <c r="D1097" s="10" t="s">
        <v>315</v>
      </c>
      <c r="E1097" s="10" t="s">
        <v>315</v>
      </c>
    </row>
    <row r="1098" spans="1:5" x14ac:dyDescent="0.35">
      <c r="A1098" s="3">
        <v>44927</v>
      </c>
      <c r="B1098" s="1">
        <f t="shared" si="22"/>
        <v>7</v>
      </c>
      <c r="C1098" s="10" t="s">
        <v>315</v>
      </c>
      <c r="D1098" s="10" t="s">
        <v>315</v>
      </c>
      <c r="E1098" s="10" t="s">
        <v>315</v>
      </c>
    </row>
    <row r="1099" spans="1:5" x14ac:dyDescent="0.35">
      <c r="A1099" s="3">
        <v>44928</v>
      </c>
      <c r="B1099" s="1">
        <f t="shared" si="22"/>
        <v>1</v>
      </c>
      <c r="C1099" s="10" t="s">
        <v>315</v>
      </c>
      <c r="D1099" s="10" t="s">
        <v>315</v>
      </c>
      <c r="E1099" s="10" t="s">
        <v>315</v>
      </c>
    </row>
    <row r="1100" spans="1:5" x14ac:dyDescent="0.35">
      <c r="A1100" s="3">
        <v>44929</v>
      </c>
      <c r="B1100" s="1">
        <f t="shared" si="22"/>
        <v>2</v>
      </c>
      <c r="C1100" s="10" t="s">
        <v>315</v>
      </c>
      <c r="D1100" s="10" t="s">
        <v>315</v>
      </c>
      <c r="E1100" s="10" t="s">
        <v>315</v>
      </c>
    </row>
    <row r="1101" spans="1:5" x14ac:dyDescent="0.35">
      <c r="A1101" s="3">
        <v>44930</v>
      </c>
      <c r="B1101" s="1">
        <f t="shared" si="22"/>
        <v>3</v>
      </c>
      <c r="C1101" s="10" t="s">
        <v>315</v>
      </c>
      <c r="D1101" s="10" t="s">
        <v>315</v>
      </c>
      <c r="E1101" s="10" t="s">
        <v>315</v>
      </c>
    </row>
    <row r="1102" spans="1:5" x14ac:dyDescent="0.35">
      <c r="A1102" s="3">
        <v>44931</v>
      </c>
      <c r="B1102" s="1">
        <f t="shared" si="22"/>
        <v>4</v>
      </c>
      <c r="C1102" s="10" t="s">
        <v>315</v>
      </c>
      <c r="D1102" s="10" t="s">
        <v>315</v>
      </c>
      <c r="E1102" s="10" t="s">
        <v>315</v>
      </c>
    </row>
    <row r="1103" spans="1:5" x14ac:dyDescent="0.35">
      <c r="A1103" s="3">
        <v>44932</v>
      </c>
      <c r="B1103" s="1">
        <f t="shared" si="22"/>
        <v>5</v>
      </c>
      <c r="C1103" s="10" t="s">
        <v>315</v>
      </c>
      <c r="D1103" s="10" t="s">
        <v>315</v>
      </c>
      <c r="E1103" s="10" t="s">
        <v>315</v>
      </c>
    </row>
    <row r="1104" spans="1:5" x14ac:dyDescent="0.35">
      <c r="A1104" s="3">
        <v>44933</v>
      </c>
      <c r="B1104" s="1">
        <f t="shared" si="22"/>
        <v>6</v>
      </c>
      <c r="C1104" s="10" t="s">
        <v>315</v>
      </c>
      <c r="D1104" s="10" t="s">
        <v>315</v>
      </c>
      <c r="E1104" s="10" t="s">
        <v>315</v>
      </c>
    </row>
    <row r="1105" spans="1:5" x14ac:dyDescent="0.35">
      <c r="A1105" s="3">
        <v>44934</v>
      </c>
      <c r="B1105" s="1">
        <f t="shared" si="22"/>
        <v>7</v>
      </c>
      <c r="C1105" s="10" t="s">
        <v>315</v>
      </c>
      <c r="D1105" s="10" t="s">
        <v>315</v>
      </c>
      <c r="E1105" s="10" t="s">
        <v>315</v>
      </c>
    </row>
    <row r="1106" spans="1:5" x14ac:dyDescent="0.35">
      <c r="A1106" s="3">
        <v>44935</v>
      </c>
      <c r="B1106" s="1">
        <f t="shared" si="22"/>
        <v>1</v>
      </c>
      <c r="C1106" s="10" t="s">
        <v>315</v>
      </c>
      <c r="D1106" s="10" t="s">
        <v>315</v>
      </c>
      <c r="E1106" s="10" t="s">
        <v>315</v>
      </c>
    </row>
    <row r="1107" spans="1:5" x14ac:dyDescent="0.35">
      <c r="A1107" s="3">
        <v>44936</v>
      </c>
      <c r="B1107" s="1">
        <f t="shared" si="22"/>
        <v>2</v>
      </c>
      <c r="C1107" s="10" t="s">
        <v>315</v>
      </c>
      <c r="D1107" s="10" t="s">
        <v>315</v>
      </c>
      <c r="E1107" s="10" t="s">
        <v>315</v>
      </c>
    </row>
    <row r="1108" spans="1:5" x14ac:dyDescent="0.35">
      <c r="A1108" s="3">
        <v>44937</v>
      </c>
      <c r="B1108" s="1">
        <f t="shared" si="22"/>
        <v>3</v>
      </c>
      <c r="C1108" s="10" t="s">
        <v>315</v>
      </c>
      <c r="D1108" s="10" t="s">
        <v>315</v>
      </c>
      <c r="E1108" s="10" t="s">
        <v>315</v>
      </c>
    </row>
    <row r="1109" spans="1:5" x14ac:dyDescent="0.35">
      <c r="A1109" s="3">
        <v>44938</v>
      </c>
      <c r="B1109" s="1">
        <f t="shared" si="22"/>
        <v>4</v>
      </c>
      <c r="C1109" s="10" t="s">
        <v>315</v>
      </c>
      <c r="D1109" s="10" t="s">
        <v>315</v>
      </c>
      <c r="E1109" s="10" t="s">
        <v>315</v>
      </c>
    </row>
    <row r="1110" spans="1:5" x14ac:dyDescent="0.35">
      <c r="A1110" s="3">
        <v>44939</v>
      </c>
      <c r="B1110" s="1">
        <f t="shared" si="22"/>
        <v>5</v>
      </c>
      <c r="C1110" s="10" t="s">
        <v>315</v>
      </c>
      <c r="D1110" s="10" t="s">
        <v>315</v>
      </c>
      <c r="E1110" s="10" t="s">
        <v>315</v>
      </c>
    </row>
    <row r="1111" spans="1:5" x14ac:dyDescent="0.35">
      <c r="A1111" s="3">
        <v>44940</v>
      </c>
      <c r="B1111" s="1">
        <f t="shared" si="22"/>
        <v>6</v>
      </c>
      <c r="C1111" s="10" t="s">
        <v>315</v>
      </c>
      <c r="D1111" s="10" t="s">
        <v>315</v>
      </c>
      <c r="E1111" s="10" t="s">
        <v>315</v>
      </c>
    </row>
    <row r="1112" spans="1:5" x14ac:dyDescent="0.35">
      <c r="A1112" s="3">
        <v>44941</v>
      </c>
      <c r="B1112" s="1">
        <f t="shared" si="22"/>
        <v>7</v>
      </c>
      <c r="C1112" s="10" t="s">
        <v>315</v>
      </c>
      <c r="D1112" s="10" t="s">
        <v>315</v>
      </c>
      <c r="E1112" s="10" t="s">
        <v>315</v>
      </c>
    </row>
    <row r="1113" spans="1:5" x14ac:dyDescent="0.35">
      <c r="A1113" s="3">
        <v>44942</v>
      </c>
      <c r="B1113" s="1">
        <f t="shared" si="22"/>
        <v>1</v>
      </c>
      <c r="C1113" s="10" t="s">
        <v>315</v>
      </c>
      <c r="D1113" s="10" t="s">
        <v>315</v>
      </c>
      <c r="E1113" s="10" t="s">
        <v>315</v>
      </c>
    </row>
    <row r="1114" spans="1:5" x14ac:dyDescent="0.35">
      <c r="A1114" s="3">
        <v>44943</v>
      </c>
      <c r="B1114" s="1">
        <f t="shared" si="22"/>
        <v>2</v>
      </c>
      <c r="C1114" s="10" t="s">
        <v>315</v>
      </c>
      <c r="D1114" s="10" t="s">
        <v>315</v>
      </c>
      <c r="E1114" s="10" t="s">
        <v>315</v>
      </c>
    </row>
    <row r="1115" spans="1:5" x14ac:dyDescent="0.35">
      <c r="A1115" s="3">
        <v>44944</v>
      </c>
      <c r="B1115" s="1">
        <f t="shared" si="22"/>
        <v>3</v>
      </c>
      <c r="C1115" s="10" t="s">
        <v>315</v>
      </c>
      <c r="D1115" s="10" t="s">
        <v>315</v>
      </c>
      <c r="E1115" s="10" t="s">
        <v>315</v>
      </c>
    </row>
    <row r="1116" spans="1:5" x14ac:dyDescent="0.35">
      <c r="A1116" s="3">
        <v>44945</v>
      </c>
      <c r="B1116" s="1">
        <f t="shared" si="22"/>
        <v>4</v>
      </c>
      <c r="C1116" s="10" t="s">
        <v>315</v>
      </c>
      <c r="D1116" s="10" t="s">
        <v>315</v>
      </c>
      <c r="E1116" s="10" t="s">
        <v>315</v>
      </c>
    </row>
    <row r="1117" spans="1:5" x14ac:dyDescent="0.35">
      <c r="A1117" s="3">
        <v>44946</v>
      </c>
      <c r="B1117" s="1">
        <f t="shared" si="22"/>
        <v>5</v>
      </c>
      <c r="C1117" s="10" t="s">
        <v>315</v>
      </c>
      <c r="D1117" s="10" t="s">
        <v>315</v>
      </c>
      <c r="E1117" s="10" t="s">
        <v>315</v>
      </c>
    </row>
    <row r="1118" spans="1:5" x14ac:dyDescent="0.35">
      <c r="A1118" s="3">
        <v>44947</v>
      </c>
      <c r="B1118" s="1">
        <f t="shared" si="22"/>
        <v>6</v>
      </c>
      <c r="C1118" s="10" t="s">
        <v>315</v>
      </c>
      <c r="D1118" s="10" t="s">
        <v>315</v>
      </c>
      <c r="E1118" s="10" t="s">
        <v>315</v>
      </c>
    </row>
    <row r="1119" spans="1:5" x14ac:dyDescent="0.35">
      <c r="A1119" s="3">
        <v>44948</v>
      </c>
      <c r="B1119" s="1">
        <f t="shared" si="22"/>
        <v>7</v>
      </c>
      <c r="C1119" s="10" t="s">
        <v>315</v>
      </c>
      <c r="D1119" s="10" t="s">
        <v>315</v>
      </c>
      <c r="E1119" s="10" t="s">
        <v>315</v>
      </c>
    </row>
    <row r="1120" spans="1:5" x14ac:dyDescent="0.35">
      <c r="A1120" s="3">
        <v>44949</v>
      </c>
      <c r="B1120" s="1">
        <f t="shared" ref="B1120:B1183" si="23">IF(A1120&gt;0,WEEKDAY(A1120,2),"")</f>
        <v>1</v>
      </c>
      <c r="C1120" s="10" t="s">
        <v>315</v>
      </c>
      <c r="D1120" s="10" t="s">
        <v>315</v>
      </c>
      <c r="E1120" s="10" t="s">
        <v>315</v>
      </c>
    </row>
    <row r="1121" spans="1:5" x14ac:dyDescent="0.35">
      <c r="A1121" s="3">
        <v>44950</v>
      </c>
      <c r="B1121" s="1">
        <f t="shared" si="23"/>
        <v>2</v>
      </c>
      <c r="C1121" s="10" t="s">
        <v>315</v>
      </c>
      <c r="D1121" s="10" t="s">
        <v>315</v>
      </c>
      <c r="E1121" s="10" t="s">
        <v>315</v>
      </c>
    </row>
    <row r="1122" spans="1:5" x14ac:dyDescent="0.35">
      <c r="A1122" s="3">
        <v>44951</v>
      </c>
      <c r="B1122" s="1">
        <f t="shared" si="23"/>
        <v>3</v>
      </c>
      <c r="C1122" s="10" t="s">
        <v>315</v>
      </c>
      <c r="D1122" s="10" t="s">
        <v>315</v>
      </c>
      <c r="E1122" s="10" t="s">
        <v>315</v>
      </c>
    </row>
    <row r="1123" spans="1:5" x14ac:dyDescent="0.35">
      <c r="A1123" s="3">
        <v>44952</v>
      </c>
      <c r="B1123" s="1">
        <f t="shared" si="23"/>
        <v>4</v>
      </c>
      <c r="C1123" s="10" t="s">
        <v>315</v>
      </c>
      <c r="D1123" s="10" t="s">
        <v>315</v>
      </c>
      <c r="E1123" s="10" t="s">
        <v>315</v>
      </c>
    </row>
    <row r="1124" spans="1:5" x14ac:dyDescent="0.35">
      <c r="A1124" s="3">
        <v>44953</v>
      </c>
      <c r="B1124" s="1">
        <f t="shared" si="23"/>
        <v>5</v>
      </c>
      <c r="C1124" s="10" t="s">
        <v>315</v>
      </c>
      <c r="D1124" s="10" t="s">
        <v>315</v>
      </c>
      <c r="E1124" s="10" t="s">
        <v>315</v>
      </c>
    </row>
    <row r="1125" spans="1:5" x14ac:dyDescent="0.35">
      <c r="A1125" s="3">
        <v>44954</v>
      </c>
      <c r="B1125" s="1">
        <f t="shared" si="23"/>
        <v>6</v>
      </c>
      <c r="C1125" s="10" t="s">
        <v>315</v>
      </c>
      <c r="D1125" s="10" t="s">
        <v>315</v>
      </c>
      <c r="E1125" s="10" t="s">
        <v>315</v>
      </c>
    </row>
    <row r="1126" spans="1:5" x14ac:dyDescent="0.35">
      <c r="A1126" s="3">
        <v>44955</v>
      </c>
      <c r="B1126" s="1">
        <f t="shared" si="23"/>
        <v>7</v>
      </c>
      <c r="C1126" s="10" t="s">
        <v>315</v>
      </c>
      <c r="D1126" s="10" t="s">
        <v>315</v>
      </c>
      <c r="E1126" s="10" t="s">
        <v>315</v>
      </c>
    </row>
    <row r="1127" spans="1:5" x14ac:dyDescent="0.35">
      <c r="A1127" s="3">
        <v>44956</v>
      </c>
      <c r="B1127" s="1">
        <f t="shared" si="23"/>
        <v>1</v>
      </c>
      <c r="C1127" s="10" t="s">
        <v>315</v>
      </c>
      <c r="D1127" s="10" t="s">
        <v>315</v>
      </c>
      <c r="E1127" s="10" t="s">
        <v>315</v>
      </c>
    </row>
    <row r="1128" spans="1:5" x14ac:dyDescent="0.35">
      <c r="A1128" s="3">
        <v>44957</v>
      </c>
      <c r="B1128" s="1">
        <f t="shared" si="23"/>
        <v>2</v>
      </c>
      <c r="C1128" s="10" t="s">
        <v>315</v>
      </c>
      <c r="D1128" s="10" t="s">
        <v>315</v>
      </c>
      <c r="E1128" s="10" t="s">
        <v>315</v>
      </c>
    </row>
    <row r="1129" spans="1:5" x14ac:dyDescent="0.35">
      <c r="A1129" s="3">
        <v>44958</v>
      </c>
      <c r="B1129" s="1">
        <f t="shared" si="23"/>
        <v>3</v>
      </c>
      <c r="C1129" s="10" t="s">
        <v>315</v>
      </c>
      <c r="D1129" s="10" t="s">
        <v>315</v>
      </c>
      <c r="E1129" s="10" t="s">
        <v>315</v>
      </c>
    </row>
    <row r="1130" spans="1:5" x14ac:dyDescent="0.35">
      <c r="A1130" s="3">
        <v>44959</v>
      </c>
      <c r="B1130" s="1">
        <f t="shared" si="23"/>
        <v>4</v>
      </c>
      <c r="C1130" s="10" t="s">
        <v>315</v>
      </c>
      <c r="D1130" s="10" t="s">
        <v>315</v>
      </c>
      <c r="E1130" s="10" t="s">
        <v>315</v>
      </c>
    </row>
    <row r="1131" spans="1:5" x14ac:dyDescent="0.35">
      <c r="A1131" s="3">
        <v>44960</v>
      </c>
      <c r="B1131" s="1">
        <f t="shared" si="23"/>
        <v>5</v>
      </c>
      <c r="C1131" s="10" t="s">
        <v>315</v>
      </c>
      <c r="D1131" s="10" t="s">
        <v>315</v>
      </c>
      <c r="E1131" s="10" t="s">
        <v>315</v>
      </c>
    </row>
    <row r="1132" spans="1:5" x14ac:dyDescent="0.35">
      <c r="A1132" s="3">
        <v>44961</v>
      </c>
      <c r="B1132" s="1">
        <f t="shared" si="23"/>
        <v>6</v>
      </c>
      <c r="C1132" s="10" t="s">
        <v>315</v>
      </c>
      <c r="D1132" s="10" t="s">
        <v>315</v>
      </c>
      <c r="E1132" s="10" t="s">
        <v>315</v>
      </c>
    </row>
    <row r="1133" spans="1:5" x14ac:dyDescent="0.35">
      <c r="A1133" s="3">
        <v>44962</v>
      </c>
      <c r="B1133" s="1">
        <f t="shared" si="23"/>
        <v>7</v>
      </c>
      <c r="C1133" s="10" t="s">
        <v>315</v>
      </c>
      <c r="D1133" s="10" t="s">
        <v>315</v>
      </c>
      <c r="E1133" s="10" t="s">
        <v>315</v>
      </c>
    </row>
    <row r="1134" spans="1:5" x14ac:dyDescent="0.35">
      <c r="A1134" s="3">
        <v>44963</v>
      </c>
      <c r="B1134" s="1">
        <f t="shared" si="23"/>
        <v>1</v>
      </c>
      <c r="C1134" s="10" t="s">
        <v>315</v>
      </c>
      <c r="D1134" s="10" t="s">
        <v>315</v>
      </c>
      <c r="E1134" s="10" t="s">
        <v>315</v>
      </c>
    </row>
    <row r="1135" spans="1:5" x14ac:dyDescent="0.35">
      <c r="A1135" s="3">
        <v>44964</v>
      </c>
      <c r="B1135" s="1">
        <f t="shared" si="23"/>
        <v>2</v>
      </c>
      <c r="C1135" s="10" t="s">
        <v>315</v>
      </c>
      <c r="D1135" s="10" t="s">
        <v>315</v>
      </c>
      <c r="E1135" s="10" t="s">
        <v>315</v>
      </c>
    </row>
    <row r="1136" spans="1:5" x14ac:dyDescent="0.35">
      <c r="A1136" s="3">
        <v>44965</v>
      </c>
      <c r="B1136" s="1">
        <f t="shared" si="23"/>
        <v>3</v>
      </c>
      <c r="C1136" s="10" t="s">
        <v>315</v>
      </c>
      <c r="D1136" s="10" t="s">
        <v>315</v>
      </c>
      <c r="E1136" s="10" t="s">
        <v>315</v>
      </c>
    </row>
    <row r="1137" spans="1:5" x14ac:dyDescent="0.35">
      <c r="A1137" s="3">
        <v>44966</v>
      </c>
      <c r="B1137" s="1">
        <f t="shared" si="23"/>
        <v>4</v>
      </c>
      <c r="C1137" s="10" t="s">
        <v>315</v>
      </c>
      <c r="D1137" s="10" t="s">
        <v>315</v>
      </c>
      <c r="E1137" s="10" t="s">
        <v>315</v>
      </c>
    </row>
    <row r="1138" spans="1:5" x14ac:dyDescent="0.35">
      <c r="A1138" s="3">
        <v>44967</v>
      </c>
      <c r="B1138" s="1">
        <f t="shared" si="23"/>
        <v>5</v>
      </c>
      <c r="C1138" s="10" t="s">
        <v>315</v>
      </c>
      <c r="D1138" s="10" t="s">
        <v>315</v>
      </c>
      <c r="E1138" s="10" t="s">
        <v>315</v>
      </c>
    </row>
    <row r="1139" spans="1:5" x14ac:dyDescent="0.35">
      <c r="A1139" s="3">
        <v>44968</v>
      </c>
      <c r="B1139" s="1">
        <f t="shared" si="23"/>
        <v>6</v>
      </c>
      <c r="C1139" s="10" t="s">
        <v>315</v>
      </c>
      <c r="D1139" s="10" t="s">
        <v>315</v>
      </c>
      <c r="E1139" s="10" t="s">
        <v>315</v>
      </c>
    </row>
    <row r="1140" spans="1:5" x14ac:dyDescent="0.35">
      <c r="A1140" s="3">
        <v>44969</v>
      </c>
      <c r="B1140" s="1">
        <f t="shared" si="23"/>
        <v>7</v>
      </c>
      <c r="C1140" s="10" t="s">
        <v>315</v>
      </c>
      <c r="D1140" s="10" t="s">
        <v>315</v>
      </c>
      <c r="E1140" s="10" t="s">
        <v>315</v>
      </c>
    </row>
    <row r="1141" spans="1:5" x14ac:dyDescent="0.35">
      <c r="A1141" s="3">
        <v>44970</v>
      </c>
      <c r="B1141" s="1">
        <f t="shared" si="23"/>
        <v>1</v>
      </c>
      <c r="C1141" s="10" t="s">
        <v>315</v>
      </c>
      <c r="D1141" s="10" t="s">
        <v>315</v>
      </c>
      <c r="E1141" s="10" t="s">
        <v>315</v>
      </c>
    </row>
    <row r="1142" spans="1:5" x14ac:dyDescent="0.35">
      <c r="A1142" s="3">
        <v>44971</v>
      </c>
      <c r="B1142" s="1">
        <f t="shared" si="23"/>
        <v>2</v>
      </c>
      <c r="C1142" s="10" t="s">
        <v>315</v>
      </c>
      <c r="D1142" s="10" t="s">
        <v>315</v>
      </c>
      <c r="E1142" s="10" t="s">
        <v>315</v>
      </c>
    </row>
    <row r="1143" spans="1:5" x14ac:dyDescent="0.35">
      <c r="A1143" s="3">
        <v>44972</v>
      </c>
      <c r="B1143" s="1">
        <f t="shared" si="23"/>
        <v>3</v>
      </c>
      <c r="C1143" s="10" t="s">
        <v>315</v>
      </c>
      <c r="D1143" s="10" t="s">
        <v>315</v>
      </c>
      <c r="E1143" s="10" t="s">
        <v>315</v>
      </c>
    </row>
    <row r="1144" spans="1:5" x14ac:dyDescent="0.35">
      <c r="A1144" s="3">
        <v>44973</v>
      </c>
      <c r="B1144" s="1">
        <f t="shared" si="23"/>
        <v>4</v>
      </c>
      <c r="C1144" s="10" t="s">
        <v>315</v>
      </c>
      <c r="D1144" s="10" t="s">
        <v>315</v>
      </c>
      <c r="E1144" s="10" t="s">
        <v>315</v>
      </c>
    </row>
    <row r="1145" spans="1:5" x14ac:dyDescent="0.35">
      <c r="A1145" s="3">
        <v>44974</v>
      </c>
      <c r="B1145" s="1">
        <f t="shared" si="23"/>
        <v>5</v>
      </c>
      <c r="C1145" s="10" t="s">
        <v>315</v>
      </c>
      <c r="D1145" s="10" t="s">
        <v>315</v>
      </c>
      <c r="E1145" s="10" t="s">
        <v>315</v>
      </c>
    </row>
    <row r="1146" spans="1:5" x14ac:dyDescent="0.35">
      <c r="A1146" s="3">
        <v>44975</v>
      </c>
      <c r="B1146" s="1">
        <f t="shared" si="23"/>
        <v>6</v>
      </c>
      <c r="C1146" s="10" t="s">
        <v>315</v>
      </c>
      <c r="D1146" s="10" t="s">
        <v>315</v>
      </c>
      <c r="E1146" s="10" t="s">
        <v>315</v>
      </c>
    </row>
    <row r="1147" spans="1:5" x14ac:dyDescent="0.35">
      <c r="A1147" s="3">
        <v>44976</v>
      </c>
      <c r="B1147" s="1">
        <f t="shared" si="23"/>
        <v>7</v>
      </c>
      <c r="C1147" s="10" t="s">
        <v>315</v>
      </c>
      <c r="D1147" s="10" t="s">
        <v>315</v>
      </c>
      <c r="E1147" s="10" t="s">
        <v>315</v>
      </c>
    </row>
    <row r="1148" spans="1:5" x14ac:dyDescent="0.35">
      <c r="A1148" s="3">
        <v>44977</v>
      </c>
      <c r="B1148" s="1">
        <f t="shared" si="23"/>
        <v>1</v>
      </c>
      <c r="C1148" s="10" t="s">
        <v>315</v>
      </c>
      <c r="D1148" s="10" t="s">
        <v>315</v>
      </c>
      <c r="E1148" s="10" t="s">
        <v>315</v>
      </c>
    </row>
    <row r="1149" spans="1:5" x14ac:dyDescent="0.35">
      <c r="A1149" s="3">
        <v>44978</v>
      </c>
      <c r="B1149" s="1">
        <f t="shared" si="23"/>
        <v>2</v>
      </c>
      <c r="C1149" s="10" t="s">
        <v>315</v>
      </c>
      <c r="D1149" s="10" t="s">
        <v>315</v>
      </c>
      <c r="E1149" s="10" t="s">
        <v>315</v>
      </c>
    </row>
    <row r="1150" spans="1:5" x14ac:dyDescent="0.35">
      <c r="A1150" s="3">
        <v>44979</v>
      </c>
      <c r="B1150" s="1">
        <f t="shared" si="23"/>
        <v>3</v>
      </c>
      <c r="C1150" s="10" t="s">
        <v>315</v>
      </c>
      <c r="D1150" s="10" t="s">
        <v>315</v>
      </c>
      <c r="E1150" s="10" t="s">
        <v>315</v>
      </c>
    </row>
    <row r="1151" spans="1:5" x14ac:dyDescent="0.35">
      <c r="A1151" s="3">
        <v>44980</v>
      </c>
      <c r="B1151" s="1">
        <f t="shared" si="23"/>
        <v>4</v>
      </c>
      <c r="C1151" s="10" t="s">
        <v>315</v>
      </c>
      <c r="D1151" s="10" t="s">
        <v>315</v>
      </c>
      <c r="E1151" s="10" t="s">
        <v>315</v>
      </c>
    </row>
    <row r="1152" spans="1:5" x14ac:dyDescent="0.35">
      <c r="A1152" s="3">
        <v>44981</v>
      </c>
      <c r="B1152" s="1">
        <f t="shared" si="23"/>
        <v>5</v>
      </c>
      <c r="C1152" s="10" t="s">
        <v>315</v>
      </c>
      <c r="D1152" s="10" t="s">
        <v>315</v>
      </c>
      <c r="E1152" s="10" t="s">
        <v>315</v>
      </c>
    </row>
    <row r="1153" spans="1:5" x14ac:dyDescent="0.35">
      <c r="A1153" s="3">
        <v>44982</v>
      </c>
      <c r="B1153" s="1">
        <f t="shared" si="23"/>
        <v>6</v>
      </c>
      <c r="C1153" s="10" t="s">
        <v>315</v>
      </c>
      <c r="D1153" s="10" t="s">
        <v>315</v>
      </c>
      <c r="E1153" s="10" t="s">
        <v>315</v>
      </c>
    </row>
    <row r="1154" spans="1:5" x14ac:dyDescent="0.35">
      <c r="A1154" s="3">
        <v>44983</v>
      </c>
      <c r="B1154" s="1">
        <f t="shared" si="23"/>
        <v>7</v>
      </c>
      <c r="C1154" s="10" t="s">
        <v>315</v>
      </c>
      <c r="D1154" s="10" t="s">
        <v>315</v>
      </c>
      <c r="E1154" s="10" t="s">
        <v>315</v>
      </c>
    </row>
    <row r="1155" spans="1:5" x14ac:dyDescent="0.35">
      <c r="A1155" s="3">
        <v>44984</v>
      </c>
      <c r="B1155" s="1">
        <f t="shared" si="23"/>
        <v>1</v>
      </c>
      <c r="C1155" s="10" t="s">
        <v>315</v>
      </c>
      <c r="D1155" s="10" t="s">
        <v>315</v>
      </c>
      <c r="E1155" s="10" t="s">
        <v>315</v>
      </c>
    </row>
    <row r="1156" spans="1:5" x14ac:dyDescent="0.35">
      <c r="A1156" s="3">
        <v>44985</v>
      </c>
      <c r="B1156" s="1">
        <f t="shared" si="23"/>
        <v>2</v>
      </c>
      <c r="C1156" s="10" t="s">
        <v>315</v>
      </c>
      <c r="D1156" s="10" t="s">
        <v>315</v>
      </c>
      <c r="E1156" s="10" t="s">
        <v>315</v>
      </c>
    </row>
    <row r="1157" spans="1:5" x14ac:dyDescent="0.35">
      <c r="A1157" s="3">
        <v>44986</v>
      </c>
      <c r="B1157" s="1">
        <f t="shared" si="23"/>
        <v>3</v>
      </c>
      <c r="C1157" s="10" t="s">
        <v>315</v>
      </c>
      <c r="D1157" s="10" t="s">
        <v>315</v>
      </c>
      <c r="E1157" s="10" t="s">
        <v>315</v>
      </c>
    </row>
    <row r="1158" spans="1:5" x14ac:dyDescent="0.35">
      <c r="A1158" s="3">
        <v>44987</v>
      </c>
      <c r="B1158" s="1">
        <f t="shared" si="23"/>
        <v>4</v>
      </c>
      <c r="C1158" s="10" t="s">
        <v>315</v>
      </c>
      <c r="D1158" s="10" t="s">
        <v>315</v>
      </c>
      <c r="E1158" s="10" t="s">
        <v>315</v>
      </c>
    </row>
    <row r="1159" spans="1:5" x14ac:dyDescent="0.35">
      <c r="A1159" s="3">
        <v>44988</v>
      </c>
      <c r="B1159" s="1">
        <f t="shared" si="23"/>
        <v>5</v>
      </c>
      <c r="C1159" s="10" t="s">
        <v>315</v>
      </c>
      <c r="D1159" s="10" t="s">
        <v>315</v>
      </c>
      <c r="E1159" s="10" t="s">
        <v>315</v>
      </c>
    </row>
    <row r="1160" spans="1:5" x14ac:dyDescent="0.35">
      <c r="A1160" s="3">
        <v>44989</v>
      </c>
      <c r="B1160" s="1">
        <f t="shared" si="23"/>
        <v>6</v>
      </c>
      <c r="C1160" s="10" t="s">
        <v>315</v>
      </c>
      <c r="D1160" s="10" t="s">
        <v>315</v>
      </c>
      <c r="E1160" s="10" t="s">
        <v>315</v>
      </c>
    </row>
    <row r="1161" spans="1:5" x14ac:dyDescent="0.35">
      <c r="A1161" s="3">
        <v>44990</v>
      </c>
      <c r="B1161" s="1">
        <f t="shared" si="23"/>
        <v>7</v>
      </c>
      <c r="C1161" s="10" t="s">
        <v>315</v>
      </c>
      <c r="D1161" s="10" t="s">
        <v>315</v>
      </c>
      <c r="E1161" s="10" t="s">
        <v>315</v>
      </c>
    </row>
    <row r="1162" spans="1:5" x14ac:dyDescent="0.35">
      <c r="A1162" s="3">
        <v>44991</v>
      </c>
      <c r="B1162" s="1">
        <f t="shared" si="23"/>
        <v>1</v>
      </c>
      <c r="C1162" s="10" t="s">
        <v>315</v>
      </c>
      <c r="D1162" s="10" t="s">
        <v>315</v>
      </c>
      <c r="E1162" s="10" t="s">
        <v>315</v>
      </c>
    </row>
    <row r="1163" spans="1:5" x14ac:dyDescent="0.35">
      <c r="A1163" s="3">
        <v>44992</v>
      </c>
      <c r="B1163" s="1">
        <f t="shared" si="23"/>
        <v>2</v>
      </c>
      <c r="C1163" s="10" t="s">
        <v>315</v>
      </c>
      <c r="D1163" s="10" t="s">
        <v>315</v>
      </c>
      <c r="E1163" s="10" t="s">
        <v>315</v>
      </c>
    </row>
    <row r="1164" spans="1:5" x14ac:dyDescent="0.35">
      <c r="A1164" s="3">
        <v>44993</v>
      </c>
      <c r="B1164" s="1">
        <f t="shared" si="23"/>
        <v>3</v>
      </c>
      <c r="C1164" s="10" t="s">
        <v>315</v>
      </c>
      <c r="D1164" s="10" t="s">
        <v>315</v>
      </c>
      <c r="E1164" s="10" t="s">
        <v>315</v>
      </c>
    </row>
    <row r="1165" spans="1:5" x14ac:dyDescent="0.35">
      <c r="A1165" s="3">
        <v>44994</v>
      </c>
      <c r="B1165" s="1">
        <f t="shared" si="23"/>
        <v>4</v>
      </c>
      <c r="C1165" s="10" t="s">
        <v>315</v>
      </c>
      <c r="D1165" s="10" t="s">
        <v>315</v>
      </c>
      <c r="E1165" s="10" t="s">
        <v>315</v>
      </c>
    </row>
    <row r="1166" spans="1:5" x14ac:dyDescent="0.35">
      <c r="A1166" s="3">
        <v>44995</v>
      </c>
      <c r="B1166" s="1">
        <f t="shared" si="23"/>
        <v>5</v>
      </c>
      <c r="C1166" s="10" t="s">
        <v>315</v>
      </c>
      <c r="D1166" s="10" t="s">
        <v>315</v>
      </c>
      <c r="E1166" s="10" t="s">
        <v>315</v>
      </c>
    </row>
    <row r="1167" spans="1:5" x14ac:dyDescent="0.35">
      <c r="A1167" s="3">
        <v>44996</v>
      </c>
      <c r="B1167" s="1">
        <f t="shared" si="23"/>
        <v>6</v>
      </c>
      <c r="C1167" s="10" t="s">
        <v>315</v>
      </c>
      <c r="D1167" s="10" t="s">
        <v>315</v>
      </c>
      <c r="E1167" s="10" t="s">
        <v>315</v>
      </c>
    </row>
    <row r="1168" spans="1:5" x14ac:dyDescent="0.35">
      <c r="A1168" s="3">
        <v>44997</v>
      </c>
      <c r="B1168" s="1">
        <f t="shared" si="23"/>
        <v>7</v>
      </c>
      <c r="C1168" s="10" t="s">
        <v>315</v>
      </c>
      <c r="D1168" s="10" t="s">
        <v>315</v>
      </c>
      <c r="E1168" s="10" t="s">
        <v>315</v>
      </c>
    </row>
    <row r="1169" spans="1:5" x14ac:dyDescent="0.35">
      <c r="A1169" s="3">
        <v>44998</v>
      </c>
      <c r="B1169" s="1">
        <f t="shared" si="23"/>
        <v>1</v>
      </c>
      <c r="C1169" s="10" t="s">
        <v>315</v>
      </c>
      <c r="D1169" s="10" t="s">
        <v>315</v>
      </c>
      <c r="E1169" s="10" t="s">
        <v>315</v>
      </c>
    </row>
    <row r="1170" spans="1:5" x14ac:dyDescent="0.35">
      <c r="A1170" s="3">
        <v>44999</v>
      </c>
      <c r="B1170" s="1">
        <f t="shared" si="23"/>
        <v>2</v>
      </c>
      <c r="C1170" s="10" t="s">
        <v>315</v>
      </c>
      <c r="D1170" s="10" t="s">
        <v>315</v>
      </c>
      <c r="E1170" s="10" t="s">
        <v>315</v>
      </c>
    </row>
    <row r="1171" spans="1:5" x14ac:dyDescent="0.35">
      <c r="A1171" s="3">
        <v>45000</v>
      </c>
      <c r="B1171" s="1">
        <f t="shared" si="23"/>
        <v>3</v>
      </c>
      <c r="C1171" s="10" t="s">
        <v>315</v>
      </c>
      <c r="D1171" s="10" t="s">
        <v>315</v>
      </c>
      <c r="E1171" s="10" t="s">
        <v>315</v>
      </c>
    </row>
    <row r="1172" spans="1:5" x14ac:dyDescent="0.35">
      <c r="A1172" s="3">
        <v>45001</v>
      </c>
      <c r="B1172" s="1">
        <f t="shared" si="23"/>
        <v>4</v>
      </c>
      <c r="C1172" s="10" t="s">
        <v>315</v>
      </c>
      <c r="D1172" s="10" t="s">
        <v>315</v>
      </c>
      <c r="E1172" s="10" t="s">
        <v>315</v>
      </c>
    </row>
    <row r="1173" spans="1:5" x14ac:dyDescent="0.35">
      <c r="A1173" s="3">
        <v>45002</v>
      </c>
      <c r="B1173" s="1">
        <f t="shared" si="23"/>
        <v>5</v>
      </c>
      <c r="C1173" s="10" t="s">
        <v>315</v>
      </c>
      <c r="D1173" s="10" t="s">
        <v>315</v>
      </c>
      <c r="E1173" s="10" t="s">
        <v>315</v>
      </c>
    </row>
    <row r="1174" spans="1:5" x14ac:dyDescent="0.35">
      <c r="A1174" s="3">
        <v>45003</v>
      </c>
      <c r="B1174" s="1">
        <f t="shared" si="23"/>
        <v>6</v>
      </c>
      <c r="C1174" s="10" t="s">
        <v>315</v>
      </c>
      <c r="D1174" s="10" t="s">
        <v>315</v>
      </c>
      <c r="E1174" s="10" t="s">
        <v>315</v>
      </c>
    </row>
    <row r="1175" spans="1:5" x14ac:dyDescent="0.35">
      <c r="A1175" s="3">
        <v>45004</v>
      </c>
      <c r="B1175" s="1">
        <f t="shared" si="23"/>
        <v>7</v>
      </c>
      <c r="C1175" s="10" t="s">
        <v>315</v>
      </c>
      <c r="D1175" s="10" t="s">
        <v>315</v>
      </c>
      <c r="E1175" s="10" t="s">
        <v>315</v>
      </c>
    </row>
    <row r="1176" spans="1:5" x14ac:dyDescent="0.35">
      <c r="A1176" s="3">
        <v>45005</v>
      </c>
      <c r="B1176" s="1">
        <f t="shared" si="23"/>
        <v>1</v>
      </c>
      <c r="C1176" s="10" t="s">
        <v>315</v>
      </c>
      <c r="D1176" s="10" t="s">
        <v>315</v>
      </c>
      <c r="E1176" s="10" t="s">
        <v>315</v>
      </c>
    </row>
    <row r="1177" spans="1:5" x14ac:dyDescent="0.35">
      <c r="A1177" s="3">
        <v>45006</v>
      </c>
      <c r="B1177" s="1">
        <f t="shared" si="23"/>
        <v>2</v>
      </c>
      <c r="C1177" s="10" t="s">
        <v>315</v>
      </c>
      <c r="D1177" s="10" t="s">
        <v>315</v>
      </c>
      <c r="E1177" s="10" t="s">
        <v>315</v>
      </c>
    </row>
    <row r="1178" spans="1:5" x14ac:dyDescent="0.35">
      <c r="A1178" s="3">
        <v>45007</v>
      </c>
      <c r="B1178" s="1">
        <f t="shared" si="23"/>
        <v>3</v>
      </c>
      <c r="C1178" s="10" t="s">
        <v>315</v>
      </c>
      <c r="D1178" s="10" t="s">
        <v>315</v>
      </c>
      <c r="E1178" s="10" t="s">
        <v>315</v>
      </c>
    </row>
    <row r="1179" spans="1:5" x14ac:dyDescent="0.35">
      <c r="A1179" s="3">
        <v>45008</v>
      </c>
      <c r="B1179" s="1">
        <f t="shared" si="23"/>
        <v>4</v>
      </c>
      <c r="C1179" s="10" t="s">
        <v>315</v>
      </c>
      <c r="D1179" s="10" t="s">
        <v>315</v>
      </c>
      <c r="E1179" s="10" t="s">
        <v>315</v>
      </c>
    </row>
    <row r="1180" spans="1:5" x14ac:dyDescent="0.35">
      <c r="A1180" s="3">
        <v>45009</v>
      </c>
      <c r="B1180" s="1">
        <f t="shared" si="23"/>
        <v>5</v>
      </c>
      <c r="C1180" s="10" t="s">
        <v>315</v>
      </c>
      <c r="D1180" s="10" t="s">
        <v>315</v>
      </c>
      <c r="E1180" s="10" t="s">
        <v>315</v>
      </c>
    </row>
    <row r="1181" spans="1:5" x14ac:dyDescent="0.35">
      <c r="A1181" s="3">
        <v>45010</v>
      </c>
      <c r="B1181" s="1">
        <f t="shared" si="23"/>
        <v>6</v>
      </c>
      <c r="C1181" s="10" t="s">
        <v>315</v>
      </c>
      <c r="D1181" s="10" t="s">
        <v>315</v>
      </c>
      <c r="E1181" s="10" t="s">
        <v>315</v>
      </c>
    </row>
    <row r="1182" spans="1:5" x14ac:dyDescent="0.35">
      <c r="A1182" s="3">
        <v>45011</v>
      </c>
      <c r="B1182" s="1">
        <f t="shared" si="23"/>
        <v>7</v>
      </c>
      <c r="C1182" s="10" t="s">
        <v>315</v>
      </c>
      <c r="D1182" s="10" t="s">
        <v>315</v>
      </c>
      <c r="E1182" s="10" t="s">
        <v>315</v>
      </c>
    </row>
    <row r="1183" spans="1:5" x14ac:dyDescent="0.35">
      <c r="A1183" s="3">
        <v>45012</v>
      </c>
      <c r="B1183" s="1">
        <f t="shared" si="23"/>
        <v>1</v>
      </c>
      <c r="C1183" s="10" t="s">
        <v>315</v>
      </c>
      <c r="D1183" s="10" t="s">
        <v>315</v>
      </c>
      <c r="E1183" s="10" t="s">
        <v>315</v>
      </c>
    </row>
    <row r="1184" spans="1:5" x14ac:dyDescent="0.35">
      <c r="A1184" s="3">
        <v>45013</v>
      </c>
      <c r="B1184" s="1">
        <f t="shared" ref="B1184:B1247" si="24">IF(A1184&gt;0,WEEKDAY(A1184,2),"")</f>
        <v>2</v>
      </c>
      <c r="C1184" s="10" t="s">
        <v>315</v>
      </c>
      <c r="D1184" s="10" t="s">
        <v>315</v>
      </c>
      <c r="E1184" s="10" t="s">
        <v>315</v>
      </c>
    </row>
    <row r="1185" spans="1:5" x14ac:dyDescent="0.35">
      <c r="A1185" s="3">
        <v>45014</v>
      </c>
      <c r="B1185" s="1">
        <f t="shared" si="24"/>
        <v>3</v>
      </c>
      <c r="C1185" s="10" t="s">
        <v>315</v>
      </c>
      <c r="D1185" s="10" t="s">
        <v>315</v>
      </c>
      <c r="E1185" s="10" t="s">
        <v>315</v>
      </c>
    </row>
    <row r="1186" spans="1:5" x14ac:dyDescent="0.35">
      <c r="A1186" s="3">
        <v>45015</v>
      </c>
      <c r="B1186" s="1">
        <f t="shared" si="24"/>
        <v>4</v>
      </c>
      <c r="C1186" s="10" t="s">
        <v>315</v>
      </c>
      <c r="D1186" s="10" t="s">
        <v>315</v>
      </c>
      <c r="E1186" s="10" t="s">
        <v>315</v>
      </c>
    </row>
    <row r="1187" spans="1:5" x14ac:dyDescent="0.35">
      <c r="A1187" s="3">
        <v>45016</v>
      </c>
      <c r="B1187" s="1">
        <f t="shared" si="24"/>
        <v>5</v>
      </c>
      <c r="C1187" s="10" t="s">
        <v>315</v>
      </c>
      <c r="D1187" s="10" t="s">
        <v>315</v>
      </c>
      <c r="E1187" s="10" t="s">
        <v>315</v>
      </c>
    </row>
    <row r="1188" spans="1:5" x14ac:dyDescent="0.35">
      <c r="A1188" s="3">
        <v>45017</v>
      </c>
      <c r="B1188" s="1">
        <f t="shared" si="24"/>
        <v>6</v>
      </c>
      <c r="C1188" s="10" t="s">
        <v>315</v>
      </c>
      <c r="D1188" s="10" t="s">
        <v>315</v>
      </c>
      <c r="E1188" s="10" t="s">
        <v>315</v>
      </c>
    </row>
    <row r="1189" spans="1:5" x14ac:dyDescent="0.35">
      <c r="A1189" s="3">
        <v>45018</v>
      </c>
      <c r="B1189" s="1">
        <f t="shared" si="24"/>
        <v>7</v>
      </c>
      <c r="C1189" s="10" t="s">
        <v>315</v>
      </c>
      <c r="D1189" s="10" t="s">
        <v>315</v>
      </c>
      <c r="E1189" s="10" t="s">
        <v>315</v>
      </c>
    </row>
    <row r="1190" spans="1:5" x14ac:dyDescent="0.35">
      <c r="A1190" s="3">
        <v>45019</v>
      </c>
      <c r="B1190" s="1">
        <f t="shared" si="24"/>
        <v>1</v>
      </c>
      <c r="C1190" s="10" t="s">
        <v>315</v>
      </c>
      <c r="D1190" s="10" t="s">
        <v>315</v>
      </c>
      <c r="E1190" s="10" t="s">
        <v>315</v>
      </c>
    </row>
    <row r="1191" spans="1:5" x14ac:dyDescent="0.35">
      <c r="A1191" s="3">
        <v>45020</v>
      </c>
      <c r="B1191" s="1">
        <f t="shared" si="24"/>
        <v>2</v>
      </c>
      <c r="C1191" s="10" t="s">
        <v>315</v>
      </c>
      <c r="D1191" s="10" t="s">
        <v>315</v>
      </c>
      <c r="E1191" s="10" t="s">
        <v>315</v>
      </c>
    </row>
    <row r="1192" spans="1:5" x14ac:dyDescent="0.35">
      <c r="A1192" s="3">
        <v>45021</v>
      </c>
      <c r="B1192" s="1">
        <f t="shared" si="24"/>
        <v>3</v>
      </c>
      <c r="C1192" s="10" t="s">
        <v>315</v>
      </c>
      <c r="D1192" s="10" t="s">
        <v>315</v>
      </c>
      <c r="E1192" s="10" t="s">
        <v>315</v>
      </c>
    </row>
    <row r="1193" spans="1:5" x14ac:dyDescent="0.35">
      <c r="A1193" s="3">
        <v>45022</v>
      </c>
      <c r="B1193" s="1">
        <f t="shared" si="24"/>
        <v>4</v>
      </c>
      <c r="C1193" s="10" t="s">
        <v>315</v>
      </c>
      <c r="D1193" s="10" t="s">
        <v>315</v>
      </c>
      <c r="E1193" s="10" t="s">
        <v>315</v>
      </c>
    </row>
    <row r="1194" spans="1:5" x14ac:dyDescent="0.35">
      <c r="A1194" s="3">
        <v>45023</v>
      </c>
      <c r="B1194" s="1">
        <f t="shared" si="24"/>
        <v>5</v>
      </c>
      <c r="C1194" s="10" t="s">
        <v>315</v>
      </c>
      <c r="D1194" s="10" t="s">
        <v>315</v>
      </c>
      <c r="E1194" s="10" t="s">
        <v>315</v>
      </c>
    </row>
    <row r="1195" spans="1:5" x14ac:dyDescent="0.35">
      <c r="A1195" s="3">
        <v>45024</v>
      </c>
      <c r="B1195" s="1">
        <f t="shared" si="24"/>
        <v>6</v>
      </c>
      <c r="C1195" s="10" t="s">
        <v>315</v>
      </c>
      <c r="D1195" s="10" t="s">
        <v>315</v>
      </c>
      <c r="E1195" s="10" t="s">
        <v>315</v>
      </c>
    </row>
    <row r="1196" spans="1:5" x14ac:dyDescent="0.35">
      <c r="A1196" s="3">
        <v>45025</v>
      </c>
      <c r="B1196" s="1">
        <f t="shared" si="24"/>
        <v>7</v>
      </c>
      <c r="C1196" s="10" t="s">
        <v>315</v>
      </c>
      <c r="D1196" s="10" t="s">
        <v>315</v>
      </c>
      <c r="E1196" s="10" t="s">
        <v>315</v>
      </c>
    </row>
    <row r="1197" spans="1:5" x14ac:dyDescent="0.35">
      <c r="A1197" s="3">
        <v>45026</v>
      </c>
      <c r="B1197" s="1">
        <f t="shared" si="24"/>
        <v>1</v>
      </c>
      <c r="C1197" s="10" t="s">
        <v>315</v>
      </c>
      <c r="D1197" s="10" t="s">
        <v>315</v>
      </c>
      <c r="E1197" s="10" t="s">
        <v>315</v>
      </c>
    </row>
    <row r="1198" spans="1:5" x14ac:dyDescent="0.35">
      <c r="A1198" s="3">
        <v>45027</v>
      </c>
      <c r="B1198" s="1">
        <f t="shared" si="24"/>
        <v>2</v>
      </c>
      <c r="C1198" s="10" t="s">
        <v>315</v>
      </c>
      <c r="D1198" s="10" t="s">
        <v>315</v>
      </c>
      <c r="E1198" s="10" t="s">
        <v>315</v>
      </c>
    </row>
    <row r="1199" spans="1:5" x14ac:dyDescent="0.35">
      <c r="A1199" s="3">
        <v>45028</v>
      </c>
      <c r="B1199" s="1">
        <f t="shared" si="24"/>
        <v>3</v>
      </c>
      <c r="C1199" s="10" t="s">
        <v>315</v>
      </c>
      <c r="D1199" s="10" t="s">
        <v>315</v>
      </c>
      <c r="E1199" s="10" t="s">
        <v>315</v>
      </c>
    </row>
    <row r="1200" spans="1:5" x14ac:dyDescent="0.35">
      <c r="A1200" s="3">
        <v>45029</v>
      </c>
      <c r="B1200" s="1">
        <f t="shared" si="24"/>
        <v>4</v>
      </c>
      <c r="C1200" s="10" t="s">
        <v>315</v>
      </c>
      <c r="D1200" s="10" t="s">
        <v>315</v>
      </c>
      <c r="E1200" s="10" t="s">
        <v>315</v>
      </c>
    </row>
    <row r="1201" spans="1:5" x14ac:dyDescent="0.35">
      <c r="A1201" s="3">
        <v>45030</v>
      </c>
      <c r="B1201" s="1">
        <f t="shared" si="24"/>
        <v>5</v>
      </c>
      <c r="C1201" s="10" t="s">
        <v>315</v>
      </c>
      <c r="D1201" s="10" t="s">
        <v>315</v>
      </c>
      <c r="E1201" s="10" t="s">
        <v>315</v>
      </c>
    </row>
    <row r="1202" spans="1:5" x14ac:dyDescent="0.35">
      <c r="A1202" s="3">
        <v>45031</v>
      </c>
      <c r="B1202" s="1">
        <f t="shared" si="24"/>
        <v>6</v>
      </c>
      <c r="C1202" s="10" t="s">
        <v>315</v>
      </c>
      <c r="D1202" s="10" t="s">
        <v>315</v>
      </c>
      <c r="E1202" s="10" t="s">
        <v>315</v>
      </c>
    </row>
    <row r="1203" spans="1:5" x14ac:dyDescent="0.35">
      <c r="A1203" s="3">
        <v>45032</v>
      </c>
      <c r="B1203" s="1">
        <f t="shared" si="24"/>
        <v>7</v>
      </c>
      <c r="C1203" s="10" t="s">
        <v>315</v>
      </c>
      <c r="D1203" s="10" t="s">
        <v>315</v>
      </c>
      <c r="E1203" s="10" t="s">
        <v>315</v>
      </c>
    </row>
    <row r="1204" spans="1:5" x14ac:dyDescent="0.35">
      <c r="A1204" s="3">
        <v>45033</v>
      </c>
      <c r="B1204" s="1">
        <f t="shared" si="24"/>
        <v>1</v>
      </c>
      <c r="C1204" s="10" t="s">
        <v>315</v>
      </c>
      <c r="D1204" s="10" t="s">
        <v>315</v>
      </c>
      <c r="E1204" s="10" t="s">
        <v>315</v>
      </c>
    </row>
    <row r="1205" spans="1:5" x14ac:dyDescent="0.35">
      <c r="A1205" s="3">
        <v>45034</v>
      </c>
      <c r="B1205" s="1">
        <f t="shared" si="24"/>
        <v>2</v>
      </c>
      <c r="C1205" s="10" t="s">
        <v>315</v>
      </c>
      <c r="D1205" s="10" t="s">
        <v>315</v>
      </c>
      <c r="E1205" s="10" t="s">
        <v>315</v>
      </c>
    </row>
    <row r="1206" spans="1:5" x14ac:dyDescent="0.35">
      <c r="A1206" s="3">
        <v>45035</v>
      </c>
      <c r="B1206" s="1">
        <f t="shared" si="24"/>
        <v>3</v>
      </c>
      <c r="C1206" s="10" t="s">
        <v>315</v>
      </c>
      <c r="D1206" s="10" t="s">
        <v>315</v>
      </c>
      <c r="E1206" s="10" t="s">
        <v>315</v>
      </c>
    </row>
    <row r="1207" spans="1:5" x14ac:dyDescent="0.35">
      <c r="A1207" s="3">
        <v>45036</v>
      </c>
      <c r="B1207" s="1">
        <f t="shared" si="24"/>
        <v>4</v>
      </c>
      <c r="C1207" s="10" t="s">
        <v>315</v>
      </c>
      <c r="D1207" s="10" t="s">
        <v>315</v>
      </c>
      <c r="E1207" s="10" t="s">
        <v>315</v>
      </c>
    </row>
    <row r="1208" spans="1:5" x14ac:dyDescent="0.35">
      <c r="A1208" s="3">
        <v>45037</v>
      </c>
      <c r="B1208" s="1">
        <f t="shared" si="24"/>
        <v>5</v>
      </c>
      <c r="C1208" s="10" t="s">
        <v>315</v>
      </c>
      <c r="D1208" s="10" t="s">
        <v>315</v>
      </c>
      <c r="E1208" s="10" t="s">
        <v>315</v>
      </c>
    </row>
    <row r="1209" spans="1:5" x14ac:dyDescent="0.35">
      <c r="A1209" s="3">
        <v>45038</v>
      </c>
      <c r="B1209" s="1">
        <f t="shared" si="24"/>
        <v>6</v>
      </c>
      <c r="C1209" s="10" t="s">
        <v>315</v>
      </c>
      <c r="D1209" s="10" t="s">
        <v>315</v>
      </c>
      <c r="E1209" s="10" t="s">
        <v>315</v>
      </c>
    </row>
    <row r="1210" spans="1:5" x14ac:dyDescent="0.35">
      <c r="A1210" s="3">
        <v>45039</v>
      </c>
      <c r="B1210" s="1">
        <f t="shared" si="24"/>
        <v>7</v>
      </c>
      <c r="C1210" s="10" t="s">
        <v>315</v>
      </c>
      <c r="D1210" s="10" t="s">
        <v>315</v>
      </c>
      <c r="E1210" s="10" t="s">
        <v>315</v>
      </c>
    </row>
    <row r="1211" spans="1:5" x14ac:dyDescent="0.35">
      <c r="A1211" s="3">
        <v>45040</v>
      </c>
      <c r="B1211" s="1">
        <f t="shared" si="24"/>
        <v>1</v>
      </c>
      <c r="C1211" s="10" t="s">
        <v>315</v>
      </c>
      <c r="D1211" s="10" t="s">
        <v>315</v>
      </c>
      <c r="E1211" s="10" t="s">
        <v>315</v>
      </c>
    </row>
    <row r="1212" spans="1:5" x14ac:dyDescent="0.35">
      <c r="A1212" s="3">
        <v>45041</v>
      </c>
      <c r="B1212" s="1">
        <f t="shared" si="24"/>
        <v>2</v>
      </c>
      <c r="C1212" s="10" t="s">
        <v>315</v>
      </c>
      <c r="D1212" s="10" t="s">
        <v>315</v>
      </c>
      <c r="E1212" s="10" t="s">
        <v>315</v>
      </c>
    </row>
    <row r="1213" spans="1:5" x14ac:dyDescent="0.35">
      <c r="A1213" s="3">
        <v>45042</v>
      </c>
      <c r="B1213" s="1">
        <f t="shared" si="24"/>
        <v>3</v>
      </c>
      <c r="C1213" s="10" t="s">
        <v>315</v>
      </c>
      <c r="D1213" s="10" t="s">
        <v>315</v>
      </c>
      <c r="E1213" s="10" t="s">
        <v>315</v>
      </c>
    </row>
    <row r="1214" spans="1:5" x14ac:dyDescent="0.35">
      <c r="A1214" s="3">
        <v>45043</v>
      </c>
      <c r="B1214" s="1">
        <f t="shared" si="24"/>
        <v>4</v>
      </c>
      <c r="C1214" s="10" t="s">
        <v>315</v>
      </c>
      <c r="D1214" s="10" t="s">
        <v>315</v>
      </c>
      <c r="E1214" s="10" t="s">
        <v>315</v>
      </c>
    </row>
    <row r="1215" spans="1:5" x14ac:dyDescent="0.35">
      <c r="A1215" s="3">
        <v>45044</v>
      </c>
      <c r="B1215" s="1">
        <f t="shared" si="24"/>
        <v>5</v>
      </c>
      <c r="C1215" s="10" t="s">
        <v>315</v>
      </c>
      <c r="D1215" s="10" t="s">
        <v>315</v>
      </c>
      <c r="E1215" s="10" t="s">
        <v>315</v>
      </c>
    </row>
    <row r="1216" spans="1:5" x14ac:dyDescent="0.35">
      <c r="A1216" s="3">
        <v>45045</v>
      </c>
      <c r="B1216" s="1">
        <f t="shared" si="24"/>
        <v>6</v>
      </c>
      <c r="C1216" s="10" t="s">
        <v>315</v>
      </c>
      <c r="D1216" s="10" t="s">
        <v>315</v>
      </c>
      <c r="E1216" s="10" t="s">
        <v>315</v>
      </c>
    </row>
    <row r="1217" spans="1:5" x14ac:dyDescent="0.35">
      <c r="A1217" s="3">
        <v>45046</v>
      </c>
      <c r="B1217" s="1">
        <f t="shared" si="24"/>
        <v>7</v>
      </c>
      <c r="C1217" s="10" t="s">
        <v>315</v>
      </c>
      <c r="D1217" s="10" t="s">
        <v>315</v>
      </c>
      <c r="E1217" s="10" t="s">
        <v>315</v>
      </c>
    </row>
    <row r="1218" spans="1:5" x14ac:dyDescent="0.35">
      <c r="A1218" s="3">
        <v>45047</v>
      </c>
      <c r="B1218" s="1">
        <f t="shared" si="24"/>
        <v>1</v>
      </c>
      <c r="C1218" s="10" t="s">
        <v>315</v>
      </c>
      <c r="D1218" s="10" t="s">
        <v>315</v>
      </c>
      <c r="E1218" s="10" t="s">
        <v>315</v>
      </c>
    </row>
    <row r="1219" spans="1:5" x14ac:dyDescent="0.35">
      <c r="A1219" s="3">
        <v>45048</v>
      </c>
      <c r="B1219" s="1">
        <f t="shared" si="24"/>
        <v>2</v>
      </c>
      <c r="C1219" s="10" t="s">
        <v>315</v>
      </c>
      <c r="D1219" s="10" t="s">
        <v>315</v>
      </c>
      <c r="E1219" s="10" t="s">
        <v>315</v>
      </c>
    </row>
    <row r="1220" spans="1:5" x14ac:dyDescent="0.35">
      <c r="A1220" s="3">
        <v>45049</v>
      </c>
      <c r="B1220" s="1">
        <f t="shared" si="24"/>
        <v>3</v>
      </c>
      <c r="C1220" s="10" t="s">
        <v>315</v>
      </c>
      <c r="D1220" s="10" t="s">
        <v>315</v>
      </c>
      <c r="E1220" s="10" t="s">
        <v>315</v>
      </c>
    </row>
    <row r="1221" spans="1:5" x14ac:dyDescent="0.35">
      <c r="A1221" s="3">
        <v>45050</v>
      </c>
      <c r="B1221" s="1">
        <f t="shared" si="24"/>
        <v>4</v>
      </c>
      <c r="C1221" s="10" t="s">
        <v>315</v>
      </c>
      <c r="D1221" s="10" t="s">
        <v>315</v>
      </c>
      <c r="E1221" s="10" t="s">
        <v>315</v>
      </c>
    </row>
    <row r="1222" spans="1:5" x14ac:dyDescent="0.35">
      <c r="A1222" s="3">
        <v>45051</v>
      </c>
      <c r="B1222" s="1">
        <f t="shared" si="24"/>
        <v>5</v>
      </c>
      <c r="C1222" s="10" t="s">
        <v>315</v>
      </c>
      <c r="D1222" s="10" t="s">
        <v>315</v>
      </c>
      <c r="E1222" s="10" t="s">
        <v>315</v>
      </c>
    </row>
    <row r="1223" spans="1:5" x14ac:dyDescent="0.35">
      <c r="A1223" s="3">
        <v>45052</v>
      </c>
      <c r="B1223" s="1">
        <f t="shared" si="24"/>
        <v>6</v>
      </c>
      <c r="C1223" s="10" t="s">
        <v>315</v>
      </c>
      <c r="D1223" s="10" t="s">
        <v>315</v>
      </c>
      <c r="E1223" s="10" t="s">
        <v>315</v>
      </c>
    </row>
    <row r="1224" spans="1:5" x14ac:dyDescent="0.35">
      <c r="A1224" s="3">
        <v>45053</v>
      </c>
      <c r="B1224" s="1">
        <f t="shared" si="24"/>
        <v>7</v>
      </c>
      <c r="C1224" s="10" t="s">
        <v>315</v>
      </c>
      <c r="D1224" s="10" t="s">
        <v>315</v>
      </c>
      <c r="E1224" s="10" t="s">
        <v>315</v>
      </c>
    </row>
    <row r="1225" spans="1:5" x14ac:dyDescent="0.35">
      <c r="A1225" s="3">
        <v>45054</v>
      </c>
      <c r="B1225" s="1">
        <f t="shared" si="24"/>
        <v>1</v>
      </c>
      <c r="C1225" s="10" t="s">
        <v>315</v>
      </c>
      <c r="D1225" s="10" t="s">
        <v>315</v>
      </c>
      <c r="E1225" s="10" t="s">
        <v>315</v>
      </c>
    </row>
    <row r="1226" spans="1:5" x14ac:dyDescent="0.35">
      <c r="A1226" s="3">
        <v>45055</v>
      </c>
      <c r="B1226" s="1">
        <f t="shared" si="24"/>
        <v>2</v>
      </c>
      <c r="C1226" s="10" t="s">
        <v>315</v>
      </c>
      <c r="D1226" s="10" t="s">
        <v>315</v>
      </c>
      <c r="E1226" s="10" t="s">
        <v>315</v>
      </c>
    </row>
    <row r="1227" spans="1:5" x14ac:dyDescent="0.35">
      <c r="A1227" s="3">
        <v>45056</v>
      </c>
      <c r="B1227" s="1">
        <f t="shared" si="24"/>
        <v>3</v>
      </c>
      <c r="C1227" s="10" t="s">
        <v>315</v>
      </c>
      <c r="D1227" s="10" t="s">
        <v>315</v>
      </c>
      <c r="E1227" s="10" t="s">
        <v>315</v>
      </c>
    </row>
    <row r="1228" spans="1:5" x14ac:dyDescent="0.35">
      <c r="A1228" s="3">
        <v>45057</v>
      </c>
      <c r="B1228" s="1">
        <f t="shared" si="24"/>
        <v>4</v>
      </c>
      <c r="C1228" s="10" t="s">
        <v>315</v>
      </c>
      <c r="D1228" s="10" t="s">
        <v>315</v>
      </c>
      <c r="E1228" s="10" t="s">
        <v>315</v>
      </c>
    </row>
    <row r="1229" spans="1:5" x14ac:dyDescent="0.35">
      <c r="A1229" s="3">
        <v>45058</v>
      </c>
      <c r="B1229" s="1">
        <f t="shared" si="24"/>
        <v>5</v>
      </c>
      <c r="C1229" s="10" t="s">
        <v>315</v>
      </c>
      <c r="D1229" s="10" t="s">
        <v>315</v>
      </c>
      <c r="E1229" s="10" t="s">
        <v>315</v>
      </c>
    </row>
    <row r="1230" spans="1:5" x14ac:dyDescent="0.35">
      <c r="A1230" s="3">
        <v>45059</v>
      </c>
      <c r="B1230" s="1">
        <f t="shared" si="24"/>
        <v>6</v>
      </c>
      <c r="C1230" s="10" t="s">
        <v>315</v>
      </c>
      <c r="D1230" s="10" t="s">
        <v>315</v>
      </c>
      <c r="E1230" s="10" t="s">
        <v>315</v>
      </c>
    </row>
    <row r="1231" spans="1:5" x14ac:dyDescent="0.35">
      <c r="A1231" s="3">
        <v>45060</v>
      </c>
      <c r="B1231" s="1">
        <f t="shared" si="24"/>
        <v>7</v>
      </c>
      <c r="C1231" s="10" t="s">
        <v>315</v>
      </c>
      <c r="D1231" s="10" t="s">
        <v>315</v>
      </c>
      <c r="E1231" s="10" t="s">
        <v>315</v>
      </c>
    </row>
    <row r="1232" spans="1:5" x14ac:dyDescent="0.35">
      <c r="A1232" s="3">
        <v>45061</v>
      </c>
      <c r="B1232" s="1">
        <f t="shared" si="24"/>
        <v>1</v>
      </c>
      <c r="C1232" s="10" t="s">
        <v>315</v>
      </c>
      <c r="D1232" s="10" t="s">
        <v>315</v>
      </c>
      <c r="E1232" s="10" t="s">
        <v>315</v>
      </c>
    </row>
    <row r="1233" spans="1:5" x14ac:dyDescent="0.35">
      <c r="A1233" s="3">
        <v>45062</v>
      </c>
      <c r="B1233" s="1">
        <f t="shared" si="24"/>
        <v>2</v>
      </c>
      <c r="C1233" s="10" t="s">
        <v>315</v>
      </c>
      <c r="D1233" s="10" t="s">
        <v>315</v>
      </c>
      <c r="E1233" s="10" t="s">
        <v>315</v>
      </c>
    </row>
    <row r="1234" spans="1:5" x14ac:dyDescent="0.35">
      <c r="A1234" s="3">
        <v>45063</v>
      </c>
      <c r="B1234" s="1">
        <f t="shared" si="24"/>
        <v>3</v>
      </c>
      <c r="C1234" s="10" t="s">
        <v>315</v>
      </c>
      <c r="D1234" s="10" t="s">
        <v>315</v>
      </c>
      <c r="E1234" s="10" t="s">
        <v>315</v>
      </c>
    </row>
    <row r="1235" spans="1:5" x14ac:dyDescent="0.35">
      <c r="A1235" s="3">
        <v>45064</v>
      </c>
      <c r="B1235" s="1">
        <f t="shared" si="24"/>
        <v>4</v>
      </c>
      <c r="C1235" s="10" t="s">
        <v>315</v>
      </c>
      <c r="D1235" s="10" t="s">
        <v>315</v>
      </c>
      <c r="E1235" s="10" t="s">
        <v>315</v>
      </c>
    </row>
    <row r="1236" spans="1:5" x14ac:dyDescent="0.35">
      <c r="A1236" s="3">
        <v>45065</v>
      </c>
      <c r="B1236" s="1">
        <f t="shared" si="24"/>
        <v>5</v>
      </c>
      <c r="C1236" s="10" t="s">
        <v>315</v>
      </c>
      <c r="D1236" s="10" t="s">
        <v>315</v>
      </c>
      <c r="E1236" s="10" t="s">
        <v>315</v>
      </c>
    </row>
    <row r="1237" spans="1:5" x14ac:dyDescent="0.35">
      <c r="A1237" s="3">
        <v>45066</v>
      </c>
      <c r="B1237" s="1">
        <f t="shared" si="24"/>
        <v>6</v>
      </c>
      <c r="C1237" s="10" t="s">
        <v>315</v>
      </c>
      <c r="D1237" s="10" t="s">
        <v>315</v>
      </c>
      <c r="E1237" s="10" t="s">
        <v>315</v>
      </c>
    </row>
    <row r="1238" spans="1:5" x14ac:dyDescent="0.35">
      <c r="A1238" s="3">
        <v>45067</v>
      </c>
      <c r="B1238" s="1">
        <f t="shared" si="24"/>
        <v>7</v>
      </c>
      <c r="C1238" s="10" t="s">
        <v>315</v>
      </c>
      <c r="D1238" s="10" t="s">
        <v>315</v>
      </c>
      <c r="E1238" s="10" t="s">
        <v>315</v>
      </c>
    </row>
    <row r="1239" spans="1:5" x14ac:dyDescent="0.35">
      <c r="A1239" s="3">
        <v>45068</v>
      </c>
      <c r="B1239" s="1">
        <f t="shared" si="24"/>
        <v>1</v>
      </c>
      <c r="C1239" s="10" t="s">
        <v>315</v>
      </c>
      <c r="D1239" s="10" t="s">
        <v>315</v>
      </c>
      <c r="E1239" s="10" t="s">
        <v>315</v>
      </c>
    </row>
    <row r="1240" spans="1:5" x14ac:dyDescent="0.35">
      <c r="A1240" s="3">
        <v>45069</v>
      </c>
      <c r="B1240" s="1">
        <f t="shared" si="24"/>
        <v>2</v>
      </c>
      <c r="C1240" s="10" t="s">
        <v>315</v>
      </c>
      <c r="D1240" s="10" t="s">
        <v>315</v>
      </c>
      <c r="E1240" s="10" t="s">
        <v>315</v>
      </c>
    </row>
    <row r="1241" spans="1:5" x14ac:dyDescent="0.35">
      <c r="A1241" s="3">
        <v>45070</v>
      </c>
      <c r="B1241" s="1">
        <f t="shared" si="24"/>
        <v>3</v>
      </c>
      <c r="C1241" s="10" t="s">
        <v>315</v>
      </c>
      <c r="D1241" s="10" t="s">
        <v>315</v>
      </c>
      <c r="E1241" s="10" t="s">
        <v>315</v>
      </c>
    </row>
    <row r="1242" spans="1:5" x14ac:dyDescent="0.35">
      <c r="A1242" s="3">
        <v>45071</v>
      </c>
      <c r="B1242" s="1">
        <f t="shared" si="24"/>
        <v>4</v>
      </c>
      <c r="C1242" s="10" t="s">
        <v>315</v>
      </c>
      <c r="D1242" s="10" t="s">
        <v>315</v>
      </c>
      <c r="E1242" s="10" t="s">
        <v>315</v>
      </c>
    </row>
    <row r="1243" spans="1:5" x14ac:dyDescent="0.35">
      <c r="A1243" s="3">
        <v>45072</v>
      </c>
      <c r="B1243" s="1">
        <f t="shared" si="24"/>
        <v>5</v>
      </c>
      <c r="C1243" s="10" t="s">
        <v>315</v>
      </c>
      <c r="D1243" s="10" t="s">
        <v>315</v>
      </c>
      <c r="E1243" s="10" t="s">
        <v>315</v>
      </c>
    </row>
    <row r="1244" spans="1:5" x14ac:dyDescent="0.35">
      <c r="A1244" s="3">
        <v>45073</v>
      </c>
      <c r="B1244" s="1">
        <f t="shared" si="24"/>
        <v>6</v>
      </c>
      <c r="C1244" s="10" t="s">
        <v>315</v>
      </c>
      <c r="D1244" s="10" t="s">
        <v>315</v>
      </c>
      <c r="E1244" s="10" t="s">
        <v>315</v>
      </c>
    </row>
    <row r="1245" spans="1:5" x14ac:dyDescent="0.35">
      <c r="A1245" s="3">
        <v>45074</v>
      </c>
      <c r="B1245" s="1">
        <f t="shared" si="24"/>
        <v>7</v>
      </c>
      <c r="C1245" s="10" t="s">
        <v>315</v>
      </c>
      <c r="D1245" s="10" t="s">
        <v>315</v>
      </c>
      <c r="E1245" s="10" t="s">
        <v>315</v>
      </c>
    </row>
    <row r="1246" spans="1:5" x14ac:dyDescent="0.35">
      <c r="A1246" s="3">
        <v>45075</v>
      </c>
      <c r="B1246" s="1">
        <f t="shared" si="24"/>
        <v>1</v>
      </c>
      <c r="C1246" s="10" t="s">
        <v>315</v>
      </c>
      <c r="D1246" s="10" t="s">
        <v>315</v>
      </c>
      <c r="E1246" s="10" t="s">
        <v>315</v>
      </c>
    </row>
    <row r="1247" spans="1:5" x14ac:dyDescent="0.35">
      <c r="A1247" s="3">
        <v>45076</v>
      </c>
      <c r="B1247" s="1">
        <f t="shared" si="24"/>
        <v>2</v>
      </c>
      <c r="C1247" s="10" t="s">
        <v>315</v>
      </c>
      <c r="D1247" s="10" t="s">
        <v>315</v>
      </c>
      <c r="E1247" s="10" t="s">
        <v>315</v>
      </c>
    </row>
    <row r="1248" spans="1:5" x14ac:dyDescent="0.35">
      <c r="A1248" s="3">
        <v>45077</v>
      </c>
      <c r="B1248" s="1">
        <f t="shared" ref="B1248:B1311" si="25">IF(A1248&gt;0,WEEKDAY(A1248,2),"")</f>
        <v>3</v>
      </c>
      <c r="C1248" s="10" t="s">
        <v>315</v>
      </c>
      <c r="D1248" s="10" t="s">
        <v>315</v>
      </c>
      <c r="E1248" s="10" t="s">
        <v>315</v>
      </c>
    </row>
    <row r="1249" spans="1:5" x14ac:dyDescent="0.35">
      <c r="A1249" s="3">
        <v>45078</v>
      </c>
      <c r="B1249" s="1">
        <f t="shared" si="25"/>
        <v>4</v>
      </c>
      <c r="C1249" s="10" t="s">
        <v>315</v>
      </c>
      <c r="D1249" s="10" t="s">
        <v>315</v>
      </c>
      <c r="E1249" s="10" t="s">
        <v>315</v>
      </c>
    </row>
    <row r="1250" spans="1:5" x14ac:dyDescent="0.35">
      <c r="A1250" s="3">
        <v>45079</v>
      </c>
      <c r="B1250" s="1">
        <f t="shared" si="25"/>
        <v>5</v>
      </c>
      <c r="C1250" s="10" t="s">
        <v>315</v>
      </c>
      <c r="D1250" s="10" t="s">
        <v>315</v>
      </c>
      <c r="E1250" s="10" t="s">
        <v>315</v>
      </c>
    </row>
    <row r="1251" spans="1:5" x14ac:dyDescent="0.35">
      <c r="A1251" s="3">
        <v>45080</v>
      </c>
      <c r="B1251" s="1">
        <f t="shared" si="25"/>
        <v>6</v>
      </c>
      <c r="C1251" s="10" t="s">
        <v>315</v>
      </c>
      <c r="D1251" s="10" t="s">
        <v>315</v>
      </c>
      <c r="E1251" s="10" t="s">
        <v>315</v>
      </c>
    </row>
    <row r="1252" spans="1:5" x14ac:dyDescent="0.35">
      <c r="A1252" s="3">
        <v>45081</v>
      </c>
      <c r="B1252" s="1">
        <f t="shared" si="25"/>
        <v>7</v>
      </c>
      <c r="C1252" s="10" t="s">
        <v>315</v>
      </c>
      <c r="D1252" s="10" t="s">
        <v>315</v>
      </c>
      <c r="E1252" s="10" t="s">
        <v>315</v>
      </c>
    </row>
    <row r="1253" spans="1:5" x14ac:dyDescent="0.35">
      <c r="A1253" s="3">
        <v>45082</v>
      </c>
      <c r="B1253" s="1">
        <f t="shared" si="25"/>
        <v>1</v>
      </c>
      <c r="C1253" s="10" t="s">
        <v>315</v>
      </c>
      <c r="D1253" s="10" t="s">
        <v>315</v>
      </c>
      <c r="E1253" s="10" t="s">
        <v>315</v>
      </c>
    </row>
    <row r="1254" spans="1:5" x14ac:dyDescent="0.35">
      <c r="A1254" s="3">
        <v>45083</v>
      </c>
      <c r="B1254" s="1">
        <f t="shared" si="25"/>
        <v>2</v>
      </c>
      <c r="C1254" s="10" t="s">
        <v>315</v>
      </c>
      <c r="D1254" s="10" t="s">
        <v>315</v>
      </c>
      <c r="E1254" s="10" t="s">
        <v>315</v>
      </c>
    </row>
    <row r="1255" spans="1:5" x14ac:dyDescent="0.35">
      <c r="A1255" s="3">
        <v>45084</v>
      </c>
      <c r="B1255" s="1">
        <f t="shared" si="25"/>
        <v>3</v>
      </c>
      <c r="C1255" s="10" t="s">
        <v>315</v>
      </c>
      <c r="D1255" s="10" t="s">
        <v>315</v>
      </c>
      <c r="E1255" s="10" t="s">
        <v>315</v>
      </c>
    </row>
    <row r="1256" spans="1:5" x14ac:dyDescent="0.35">
      <c r="A1256" s="3">
        <v>45085</v>
      </c>
      <c r="B1256" s="1">
        <f t="shared" si="25"/>
        <v>4</v>
      </c>
      <c r="C1256" s="10" t="s">
        <v>315</v>
      </c>
      <c r="D1256" s="10" t="s">
        <v>315</v>
      </c>
      <c r="E1256" s="10" t="s">
        <v>315</v>
      </c>
    </row>
    <row r="1257" spans="1:5" x14ac:dyDescent="0.35">
      <c r="A1257" s="3">
        <v>45086</v>
      </c>
      <c r="B1257" s="1">
        <f t="shared" si="25"/>
        <v>5</v>
      </c>
      <c r="C1257" s="10" t="s">
        <v>315</v>
      </c>
      <c r="D1257" s="10" t="s">
        <v>315</v>
      </c>
      <c r="E1257" s="10" t="s">
        <v>315</v>
      </c>
    </row>
    <row r="1258" spans="1:5" x14ac:dyDescent="0.35">
      <c r="A1258" s="3">
        <v>45087</v>
      </c>
      <c r="B1258" s="1">
        <f t="shared" si="25"/>
        <v>6</v>
      </c>
      <c r="C1258" s="10" t="s">
        <v>315</v>
      </c>
      <c r="D1258" s="10" t="s">
        <v>315</v>
      </c>
      <c r="E1258" s="10" t="s">
        <v>315</v>
      </c>
    </row>
    <row r="1259" spans="1:5" x14ac:dyDescent="0.35">
      <c r="A1259" s="3">
        <v>45088</v>
      </c>
      <c r="B1259" s="1">
        <f t="shared" si="25"/>
        <v>7</v>
      </c>
      <c r="C1259" s="10" t="s">
        <v>315</v>
      </c>
      <c r="D1259" s="10" t="s">
        <v>315</v>
      </c>
      <c r="E1259" s="10" t="s">
        <v>315</v>
      </c>
    </row>
    <row r="1260" spans="1:5" x14ac:dyDescent="0.35">
      <c r="A1260" s="3">
        <v>45089</v>
      </c>
      <c r="B1260" s="1">
        <f t="shared" si="25"/>
        <v>1</v>
      </c>
      <c r="C1260" s="10" t="s">
        <v>315</v>
      </c>
      <c r="D1260" s="10" t="s">
        <v>315</v>
      </c>
      <c r="E1260" s="10" t="s">
        <v>315</v>
      </c>
    </row>
    <row r="1261" spans="1:5" x14ac:dyDescent="0.35">
      <c r="A1261" s="3">
        <v>45090</v>
      </c>
      <c r="B1261" s="1">
        <f t="shared" si="25"/>
        <v>2</v>
      </c>
      <c r="C1261" s="10" t="s">
        <v>315</v>
      </c>
      <c r="D1261" s="10" t="s">
        <v>315</v>
      </c>
      <c r="E1261" s="10" t="s">
        <v>315</v>
      </c>
    </row>
    <row r="1262" spans="1:5" x14ac:dyDescent="0.35">
      <c r="A1262" s="3">
        <v>45091</v>
      </c>
      <c r="B1262" s="1">
        <f t="shared" si="25"/>
        <v>3</v>
      </c>
      <c r="C1262" s="10" t="s">
        <v>315</v>
      </c>
      <c r="D1262" s="10" t="s">
        <v>315</v>
      </c>
      <c r="E1262" s="10" t="s">
        <v>315</v>
      </c>
    </row>
    <row r="1263" spans="1:5" x14ac:dyDescent="0.35">
      <c r="A1263" s="3">
        <v>45092</v>
      </c>
      <c r="B1263" s="1">
        <f t="shared" si="25"/>
        <v>4</v>
      </c>
      <c r="C1263" s="10" t="s">
        <v>315</v>
      </c>
      <c r="D1263" s="10" t="s">
        <v>315</v>
      </c>
      <c r="E1263" s="10" t="s">
        <v>315</v>
      </c>
    </row>
    <row r="1264" spans="1:5" x14ac:dyDescent="0.35">
      <c r="A1264" s="3">
        <v>45093</v>
      </c>
      <c r="B1264" s="1">
        <f t="shared" si="25"/>
        <v>5</v>
      </c>
      <c r="C1264" s="10" t="s">
        <v>315</v>
      </c>
      <c r="D1264" s="10" t="s">
        <v>315</v>
      </c>
      <c r="E1264" s="10" t="s">
        <v>315</v>
      </c>
    </row>
    <row r="1265" spans="1:5" x14ac:dyDescent="0.35">
      <c r="A1265" s="3">
        <v>45094</v>
      </c>
      <c r="B1265" s="1">
        <f t="shared" si="25"/>
        <v>6</v>
      </c>
      <c r="C1265" s="10" t="s">
        <v>315</v>
      </c>
      <c r="D1265" s="10" t="s">
        <v>315</v>
      </c>
      <c r="E1265" s="10" t="s">
        <v>315</v>
      </c>
    </row>
    <row r="1266" spans="1:5" x14ac:dyDescent="0.35">
      <c r="A1266" s="3">
        <v>45095</v>
      </c>
      <c r="B1266" s="1">
        <f t="shared" si="25"/>
        <v>7</v>
      </c>
      <c r="C1266" s="10" t="s">
        <v>313</v>
      </c>
      <c r="D1266" s="10" t="s">
        <v>313</v>
      </c>
      <c r="E1266" s="10" t="s">
        <v>313</v>
      </c>
    </row>
    <row r="1267" spans="1:5" x14ac:dyDescent="0.35">
      <c r="A1267" s="3">
        <v>45096</v>
      </c>
      <c r="B1267" s="1">
        <f t="shared" si="25"/>
        <v>1</v>
      </c>
      <c r="C1267" s="10" t="s">
        <v>315</v>
      </c>
      <c r="D1267" s="10" t="s">
        <v>315</v>
      </c>
      <c r="E1267" s="10" t="s">
        <v>315</v>
      </c>
    </row>
    <row r="1268" spans="1:5" x14ac:dyDescent="0.35">
      <c r="A1268" s="3">
        <v>45097</v>
      </c>
      <c r="B1268" s="1">
        <f t="shared" si="25"/>
        <v>2</v>
      </c>
      <c r="C1268" s="10" t="s">
        <v>315</v>
      </c>
      <c r="D1268" s="10" t="s">
        <v>315</v>
      </c>
      <c r="E1268" s="10" t="s">
        <v>315</v>
      </c>
    </row>
    <row r="1269" spans="1:5" x14ac:dyDescent="0.35">
      <c r="A1269" s="3">
        <v>45098</v>
      </c>
      <c r="B1269" s="1">
        <f t="shared" si="25"/>
        <v>3</v>
      </c>
      <c r="C1269" s="10" t="s">
        <v>315</v>
      </c>
      <c r="D1269" s="10" t="s">
        <v>315</v>
      </c>
      <c r="E1269" s="10" t="s">
        <v>315</v>
      </c>
    </row>
    <row r="1270" spans="1:5" x14ac:dyDescent="0.35">
      <c r="A1270" s="3">
        <v>45099</v>
      </c>
      <c r="B1270" s="1">
        <f t="shared" si="25"/>
        <v>4</v>
      </c>
      <c r="C1270" s="10" t="s">
        <v>315</v>
      </c>
      <c r="D1270" s="10" t="s">
        <v>315</v>
      </c>
      <c r="E1270" s="10" t="s">
        <v>315</v>
      </c>
    </row>
    <row r="1271" spans="1:5" x14ac:dyDescent="0.35">
      <c r="A1271" s="3">
        <v>45100</v>
      </c>
      <c r="B1271" s="1">
        <f t="shared" si="25"/>
        <v>5</v>
      </c>
      <c r="C1271" s="10" t="s">
        <v>315</v>
      </c>
      <c r="D1271" s="10" t="s">
        <v>315</v>
      </c>
      <c r="E1271" s="10" t="s">
        <v>315</v>
      </c>
    </row>
    <row r="1272" spans="1:5" x14ac:dyDescent="0.35">
      <c r="A1272" s="3">
        <v>45101</v>
      </c>
      <c r="B1272" s="1">
        <f t="shared" si="25"/>
        <v>6</v>
      </c>
      <c r="C1272" s="10" t="s">
        <v>315</v>
      </c>
      <c r="D1272" s="10" t="s">
        <v>315</v>
      </c>
      <c r="E1272" s="10" t="s">
        <v>315</v>
      </c>
    </row>
    <row r="1273" spans="1:5" x14ac:dyDescent="0.35">
      <c r="A1273" s="3">
        <v>45102</v>
      </c>
      <c r="B1273" s="1">
        <f t="shared" si="25"/>
        <v>7</v>
      </c>
      <c r="C1273" s="10" t="s">
        <v>315</v>
      </c>
      <c r="D1273" s="10" t="s">
        <v>315</v>
      </c>
      <c r="E1273" s="10" t="s">
        <v>315</v>
      </c>
    </row>
    <row r="1274" spans="1:5" x14ac:dyDescent="0.35">
      <c r="A1274" s="3">
        <v>45103</v>
      </c>
      <c r="B1274" s="1">
        <f t="shared" si="25"/>
        <v>1</v>
      </c>
      <c r="C1274" s="10" t="s">
        <v>315</v>
      </c>
      <c r="D1274" s="10" t="s">
        <v>315</v>
      </c>
      <c r="E1274" s="10" t="s">
        <v>315</v>
      </c>
    </row>
    <row r="1275" spans="1:5" x14ac:dyDescent="0.35">
      <c r="A1275" s="3">
        <v>45104</v>
      </c>
      <c r="B1275" s="1">
        <f t="shared" si="25"/>
        <v>2</v>
      </c>
      <c r="C1275" s="10" t="s">
        <v>315</v>
      </c>
      <c r="D1275" s="10" t="s">
        <v>315</v>
      </c>
      <c r="E1275" s="10" t="s">
        <v>313</v>
      </c>
    </row>
    <row r="1276" spans="1:5" x14ac:dyDescent="0.35">
      <c r="A1276" s="3">
        <v>45105</v>
      </c>
      <c r="B1276" s="1">
        <f t="shared" si="25"/>
        <v>3</v>
      </c>
      <c r="C1276" s="10" t="s">
        <v>313</v>
      </c>
      <c r="D1276" s="10" t="s">
        <v>313</v>
      </c>
      <c r="E1276" s="10" t="s">
        <v>313</v>
      </c>
    </row>
    <row r="1277" spans="1:5" x14ac:dyDescent="0.35">
      <c r="A1277" s="3">
        <v>45106</v>
      </c>
      <c r="B1277" s="1">
        <f t="shared" si="25"/>
        <v>4</v>
      </c>
      <c r="C1277" s="10" t="s">
        <v>315</v>
      </c>
      <c r="D1277" s="10" t="s">
        <v>315</v>
      </c>
      <c r="E1277" s="10" t="s">
        <v>315</v>
      </c>
    </row>
    <row r="1278" spans="1:5" x14ac:dyDescent="0.35">
      <c r="A1278" s="3">
        <v>45107</v>
      </c>
      <c r="B1278" s="1">
        <f t="shared" si="25"/>
        <v>5</v>
      </c>
      <c r="C1278" s="10" t="s">
        <v>315</v>
      </c>
      <c r="D1278" s="10" t="s">
        <v>315</v>
      </c>
      <c r="E1278" s="10" t="s">
        <v>315</v>
      </c>
    </row>
    <row r="1279" spans="1:5" x14ac:dyDescent="0.35">
      <c r="A1279" s="3">
        <v>45108</v>
      </c>
      <c r="B1279" s="1">
        <f t="shared" si="25"/>
        <v>6</v>
      </c>
      <c r="C1279" s="10" t="s">
        <v>315</v>
      </c>
      <c r="D1279" s="10" t="s">
        <v>315</v>
      </c>
      <c r="E1279" s="10" t="s">
        <v>313</v>
      </c>
    </row>
    <row r="1280" spans="1:5" x14ac:dyDescent="0.35">
      <c r="A1280" s="3">
        <v>45109</v>
      </c>
      <c r="B1280" s="1">
        <f t="shared" si="25"/>
        <v>7</v>
      </c>
      <c r="C1280" s="10" t="s">
        <v>313</v>
      </c>
      <c r="D1280" s="10" t="s">
        <v>313</v>
      </c>
      <c r="E1280" s="10" t="s">
        <v>313</v>
      </c>
    </row>
    <row r="1281" spans="1:5" x14ac:dyDescent="0.35">
      <c r="A1281" s="3">
        <v>45110</v>
      </c>
      <c r="B1281" s="1">
        <f t="shared" si="25"/>
        <v>1</v>
      </c>
      <c r="C1281" s="10" t="s">
        <v>315</v>
      </c>
      <c r="D1281" s="10" t="s">
        <v>315</v>
      </c>
      <c r="E1281" s="10" t="s">
        <v>315</v>
      </c>
    </row>
    <row r="1282" spans="1:5" x14ac:dyDescent="0.35">
      <c r="A1282" s="3">
        <v>45111</v>
      </c>
      <c r="B1282" s="1">
        <f t="shared" si="25"/>
        <v>2</v>
      </c>
      <c r="C1282" s="10" t="s">
        <v>315</v>
      </c>
      <c r="D1282" s="10" t="s">
        <v>315</v>
      </c>
      <c r="E1282" s="10" t="s">
        <v>315</v>
      </c>
    </row>
    <row r="1283" spans="1:5" x14ac:dyDescent="0.35">
      <c r="A1283" s="3">
        <v>45112</v>
      </c>
      <c r="B1283" s="1">
        <f t="shared" si="25"/>
        <v>3</v>
      </c>
      <c r="C1283" s="10" t="s">
        <v>315</v>
      </c>
      <c r="D1283" s="10" t="s">
        <v>315</v>
      </c>
      <c r="E1283" s="10" t="s">
        <v>315</v>
      </c>
    </row>
    <row r="1284" spans="1:5" x14ac:dyDescent="0.35">
      <c r="A1284" s="3">
        <v>45113</v>
      </c>
      <c r="B1284" s="1">
        <f t="shared" si="25"/>
        <v>4</v>
      </c>
      <c r="C1284" s="10" t="s">
        <v>315</v>
      </c>
      <c r="D1284" s="10" t="s">
        <v>315</v>
      </c>
      <c r="E1284" s="10" t="s">
        <v>315</v>
      </c>
    </row>
    <row r="1285" spans="1:5" x14ac:dyDescent="0.35">
      <c r="A1285" s="3">
        <v>45114</v>
      </c>
      <c r="B1285" s="1">
        <f t="shared" si="25"/>
        <v>5</v>
      </c>
      <c r="C1285" s="10" t="s">
        <v>315</v>
      </c>
      <c r="D1285" s="10" t="s">
        <v>315</v>
      </c>
      <c r="E1285" s="10" t="s">
        <v>315</v>
      </c>
    </row>
    <row r="1286" spans="1:5" x14ac:dyDescent="0.35">
      <c r="A1286" s="3">
        <v>45115</v>
      </c>
      <c r="B1286" s="1">
        <f t="shared" si="25"/>
        <v>6</v>
      </c>
      <c r="C1286" s="10" t="s">
        <v>315</v>
      </c>
      <c r="D1286" s="10" t="s">
        <v>313</v>
      </c>
      <c r="E1286" s="10" t="s">
        <v>313</v>
      </c>
    </row>
    <row r="1287" spans="1:5" x14ac:dyDescent="0.35">
      <c r="A1287" s="3">
        <v>45116</v>
      </c>
      <c r="B1287" s="1">
        <f t="shared" si="25"/>
        <v>7</v>
      </c>
      <c r="C1287" s="10" t="s">
        <v>313</v>
      </c>
      <c r="D1287" s="10" t="s">
        <v>313</v>
      </c>
      <c r="E1287" s="10" t="s">
        <v>313</v>
      </c>
    </row>
    <row r="1288" spans="1:5" x14ac:dyDescent="0.35">
      <c r="A1288" s="3">
        <v>45117</v>
      </c>
      <c r="B1288" s="1">
        <f t="shared" si="25"/>
        <v>1</v>
      </c>
      <c r="C1288" s="10" t="s">
        <v>315</v>
      </c>
      <c r="D1288" s="10" t="s">
        <v>315</v>
      </c>
      <c r="E1288" s="10" t="s">
        <v>315</v>
      </c>
    </row>
    <row r="1289" spans="1:5" x14ac:dyDescent="0.35">
      <c r="A1289" s="3">
        <v>45118</v>
      </c>
      <c r="B1289" s="1">
        <f t="shared" si="25"/>
        <v>2</v>
      </c>
      <c r="C1289" s="10" t="s">
        <v>315</v>
      </c>
      <c r="D1289" s="10" t="s">
        <v>315</v>
      </c>
      <c r="E1289" s="10" t="s">
        <v>315</v>
      </c>
    </row>
    <row r="1290" spans="1:5" x14ac:dyDescent="0.35">
      <c r="A1290" s="3">
        <v>45119</v>
      </c>
      <c r="B1290" s="1">
        <f t="shared" si="25"/>
        <v>3</v>
      </c>
      <c r="C1290" s="10" t="s">
        <v>315</v>
      </c>
      <c r="D1290" s="10" t="s">
        <v>315</v>
      </c>
      <c r="E1290" s="10" t="s">
        <v>315</v>
      </c>
    </row>
    <row r="1291" spans="1:5" x14ac:dyDescent="0.35">
      <c r="A1291" s="3">
        <v>45120</v>
      </c>
      <c r="B1291" s="1">
        <f t="shared" si="25"/>
        <v>4</v>
      </c>
      <c r="C1291" s="10" t="s">
        <v>315</v>
      </c>
      <c r="D1291" s="10" t="s">
        <v>315</v>
      </c>
      <c r="E1291" s="10" t="s">
        <v>315</v>
      </c>
    </row>
    <row r="1292" spans="1:5" x14ac:dyDescent="0.35">
      <c r="A1292" s="3">
        <v>45121</v>
      </c>
      <c r="B1292" s="1">
        <f t="shared" si="25"/>
        <v>5</v>
      </c>
      <c r="C1292" s="10" t="s">
        <v>315</v>
      </c>
      <c r="D1292" s="10" t="s">
        <v>315</v>
      </c>
      <c r="E1292" s="10" t="s">
        <v>315</v>
      </c>
    </row>
    <row r="1293" spans="1:5" x14ac:dyDescent="0.35">
      <c r="A1293" s="3">
        <v>45122</v>
      </c>
      <c r="B1293" s="1">
        <f t="shared" si="25"/>
        <v>6</v>
      </c>
      <c r="C1293" s="10" t="s">
        <v>315</v>
      </c>
      <c r="D1293" s="10" t="s">
        <v>315</v>
      </c>
      <c r="E1293" s="10" t="s">
        <v>313</v>
      </c>
    </row>
    <row r="1294" spans="1:5" x14ac:dyDescent="0.35">
      <c r="A1294" s="3">
        <v>45123</v>
      </c>
      <c r="B1294" s="1">
        <f t="shared" si="25"/>
        <v>7</v>
      </c>
      <c r="C1294" s="10" t="s">
        <v>313</v>
      </c>
      <c r="D1294" s="10" t="s">
        <v>313</v>
      </c>
      <c r="E1294" s="10" t="s">
        <v>313</v>
      </c>
    </row>
    <row r="1295" spans="1:5" x14ac:dyDescent="0.35">
      <c r="A1295" s="3">
        <v>45124</v>
      </c>
      <c r="B1295" s="1">
        <f t="shared" si="25"/>
        <v>1</v>
      </c>
      <c r="C1295" s="10" t="s">
        <v>315</v>
      </c>
      <c r="D1295" s="10" t="s">
        <v>315</v>
      </c>
      <c r="E1295" s="10" t="s">
        <v>315</v>
      </c>
    </row>
    <row r="1296" spans="1:5" x14ac:dyDescent="0.35">
      <c r="A1296" s="3">
        <v>45125</v>
      </c>
      <c r="B1296" s="1">
        <f t="shared" si="25"/>
        <v>2</v>
      </c>
      <c r="C1296" s="10" t="s">
        <v>315</v>
      </c>
      <c r="D1296" s="10" t="s">
        <v>313</v>
      </c>
      <c r="E1296" s="10" t="s">
        <v>313</v>
      </c>
    </row>
    <row r="1297" spans="1:5" x14ac:dyDescent="0.35">
      <c r="A1297" s="3">
        <v>45126</v>
      </c>
      <c r="B1297" s="1">
        <f t="shared" si="25"/>
        <v>3</v>
      </c>
      <c r="C1297" s="10" t="s">
        <v>315</v>
      </c>
      <c r="D1297" s="10" t="s">
        <v>313</v>
      </c>
      <c r="E1297" s="10" t="s">
        <v>313</v>
      </c>
    </row>
    <row r="1298" spans="1:5" x14ac:dyDescent="0.35">
      <c r="A1298" s="3">
        <v>45127</v>
      </c>
      <c r="B1298" s="1">
        <f t="shared" si="25"/>
        <v>4</v>
      </c>
      <c r="C1298" s="10" t="s">
        <v>315</v>
      </c>
      <c r="D1298" s="10" t="s">
        <v>315</v>
      </c>
      <c r="E1298" s="10" t="s">
        <v>315</v>
      </c>
    </row>
    <row r="1299" spans="1:5" x14ac:dyDescent="0.35">
      <c r="A1299" s="3">
        <v>45128</v>
      </c>
      <c r="B1299" s="1">
        <f t="shared" si="25"/>
        <v>5</v>
      </c>
      <c r="C1299" s="10" t="s">
        <v>315</v>
      </c>
      <c r="D1299" s="10" t="s">
        <v>315</v>
      </c>
      <c r="E1299" s="10" t="s">
        <v>315</v>
      </c>
    </row>
    <row r="1300" spans="1:5" x14ac:dyDescent="0.35">
      <c r="A1300" s="3">
        <v>45129</v>
      </c>
      <c r="B1300" s="1">
        <f t="shared" si="25"/>
        <v>6</v>
      </c>
      <c r="C1300" s="10" t="s">
        <v>315</v>
      </c>
      <c r="D1300" s="10" t="s">
        <v>315</v>
      </c>
      <c r="E1300" s="10" t="s">
        <v>315</v>
      </c>
    </row>
    <row r="1301" spans="1:5" x14ac:dyDescent="0.35">
      <c r="A1301" s="3">
        <v>45130</v>
      </c>
      <c r="B1301" s="1">
        <f t="shared" si="25"/>
        <v>7</v>
      </c>
      <c r="C1301" s="10" t="s">
        <v>315</v>
      </c>
      <c r="D1301" s="10" t="s">
        <v>315</v>
      </c>
      <c r="E1301" s="10" t="s">
        <v>315</v>
      </c>
    </row>
    <row r="1302" spans="1:5" x14ac:dyDescent="0.35">
      <c r="A1302" s="3">
        <v>45131</v>
      </c>
      <c r="B1302" s="1">
        <f t="shared" si="25"/>
        <v>1</v>
      </c>
      <c r="C1302" s="10" t="s">
        <v>315</v>
      </c>
      <c r="D1302" s="10" t="s">
        <v>315</v>
      </c>
      <c r="E1302" s="10" t="s">
        <v>315</v>
      </c>
    </row>
    <row r="1303" spans="1:5" x14ac:dyDescent="0.35">
      <c r="A1303" s="3">
        <v>45132</v>
      </c>
      <c r="B1303" s="1">
        <f t="shared" si="25"/>
        <v>2</v>
      </c>
      <c r="C1303" s="10" t="s">
        <v>315</v>
      </c>
      <c r="D1303" s="10" t="s">
        <v>315</v>
      </c>
      <c r="E1303" s="10" t="s">
        <v>315</v>
      </c>
    </row>
    <row r="1304" spans="1:5" x14ac:dyDescent="0.35">
      <c r="A1304" s="3">
        <v>45133</v>
      </c>
      <c r="B1304" s="1">
        <f t="shared" si="25"/>
        <v>3</v>
      </c>
      <c r="C1304" s="10" t="s">
        <v>315</v>
      </c>
      <c r="D1304" s="10" t="s">
        <v>315</v>
      </c>
      <c r="E1304" s="10" t="s">
        <v>313</v>
      </c>
    </row>
    <row r="1305" spans="1:5" x14ac:dyDescent="0.35">
      <c r="A1305" s="3">
        <v>45134</v>
      </c>
      <c r="B1305" s="1">
        <f t="shared" si="25"/>
        <v>4</v>
      </c>
      <c r="C1305" s="10" t="s">
        <v>315</v>
      </c>
      <c r="D1305" s="10" t="s">
        <v>315</v>
      </c>
      <c r="E1305" s="10" t="s">
        <v>315</v>
      </c>
    </row>
    <row r="1306" spans="1:5" x14ac:dyDescent="0.35">
      <c r="A1306" s="3">
        <v>45135</v>
      </c>
      <c r="B1306" s="1">
        <f t="shared" si="25"/>
        <v>5</v>
      </c>
      <c r="C1306" s="10" t="s">
        <v>315</v>
      </c>
      <c r="D1306" s="10" t="s">
        <v>315</v>
      </c>
      <c r="E1306" s="10" t="s">
        <v>315</v>
      </c>
    </row>
    <row r="1307" spans="1:5" x14ac:dyDescent="0.35">
      <c r="A1307" s="3">
        <v>45136</v>
      </c>
      <c r="B1307" s="1">
        <f t="shared" si="25"/>
        <v>6</v>
      </c>
      <c r="C1307" s="10" t="s">
        <v>315</v>
      </c>
      <c r="D1307" s="10" t="s">
        <v>313</v>
      </c>
      <c r="E1307" s="10" t="s">
        <v>313</v>
      </c>
    </row>
    <row r="1308" spans="1:5" x14ac:dyDescent="0.35">
      <c r="A1308" s="3">
        <v>45137</v>
      </c>
      <c r="B1308" s="1">
        <f t="shared" si="25"/>
        <v>7</v>
      </c>
      <c r="C1308" s="10" t="s">
        <v>313</v>
      </c>
      <c r="D1308" s="10" t="s">
        <v>313</v>
      </c>
      <c r="E1308" s="10" t="s">
        <v>313</v>
      </c>
    </row>
    <row r="1309" spans="1:5" x14ac:dyDescent="0.35">
      <c r="A1309" s="3">
        <v>45138</v>
      </c>
      <c r="B1309" s="1">
        <f t="shared" si="25"/>
        <v>1</v>
      </c>
      <c r="C1309" s="10" t="s">
        <v>315</v>
      </c>
      <c r="D1309" s="10" t="s">
        <v>315</v>
      </c>
      <c r="E1309" s="10" t="s">
        <v>315</v>
      </c>
    </row>
    <row r="1310" spans="1:5" x14ac:dyDescent="0.35">
      <c r="A1310" s="3">
        <v>45139</v>
      </c>
      <c r="B1310" s="1">
        <f t="shared" si="25"/>
        <v>2</v>
      </c>
      <c r="C1310" s="10" t="s">
        <v>315</v>
      </c>
      <c r="D1310" s="10" t="s">
        <v>315</v>
      </c>
      <c r="E1310" s="10" t="s">
        <v>315</v>
      </c>
    </row>
    <row r="1311" spans="1:5" x14ac:dyDescent="0.35">
      <c r="A1311" s="3">
        <v>45140</v>
      </c>
      <c r="B1311" s="1">
        <f t="shared" si="25"/>
        <v>3</v>
      </c>
      <c r="C1311" s="10" t="s">
        <v>315</v>
      </c>
      <c r="D1311" s="10" t="s">
        <v>315</v>
      </c>
      <c r="E1311" s="10" t="s">
        <v>315</v>
      </c>
    </row>
    <row r="1312" spans="1:5" x14ac:dyDescent="0.35">
      <c r="A1312" s="3">
        <v>45141</v>
      </c>
      <c r="B1312" s="1">
        <f t="shared" ref="B1312:B1375" si="26">IF(A1312&gt;0,WEEKDAY(A1312,2),"")</f>
        <v>4</v>
      </c>
      <c r="C1312" s="10" t="s">
        <v>315</v>
      </c>
      <c r="D1312" s="10" t="s">
        <v>315</v>
      </c>
      <c r="E1312" s="10" t="s">
        <v>315</v>
      </c>
    </row>
    <row r="1313" spans="1:5" x14ac:dyDescent="0.35">
      <c r="A1313" s="3">
        <v>45142</v>
      </c>
      <c r="B1313" s="1">
        <f t="shared" si="26"/>
        <v>5</v>
      </c>
      <c r="C1313" s="10" t="s">
        <v>315</v>
      </c>
      <c r="D1313" s="10" t="s">
        <v>315</v>
      </c>
      <c r="E1313" s="10" t="s">
        <v>315</v>
      </c>
    </row>
    <row r="1314" spans="1:5" x14ac:dyDescent="0.35">
      <c r="A1314" s="3">
        <v>45143</v>
      </c>
      <c r="B1314" s="1">
        <f t="shared" si="26"/>
        <v>6</v>
      </c>
      <c r="C1314" s="10" t="s">
        <v>315</v>
      </c>
      <c r="D1314" s="10" t="s">
        <v>313</v>
      </c>
      <c r="E1314" s="10" t="s">
        <v>313</v>
      </c>
    </row>
    <row r="1315" spans="1:5" x14ac:dyDescent="0.35">
      <c r="A1315" s="3">
        <v>45144</v>
      </c>
      <c r="B1315" s="1">
        <f t="shared" si="26"/>
        <v>7</v>
      </c>
      <c r="C1315" s="10" t="s">
        <v>313</v>
      </c>
      <c r="D1315" s="10" t="s">
        <v>313</v>
      </c>
      <c r="E1315" s="10" t="s">
        <v>313</v>
      </c>
    </row>
    <row r="1316" spans="1:5" x14ac:dyDescent="0.35">
      <c r="A1316" s="3">
        <v>45145</v>
      </c>
      <c r="B1316" s="1">
        <f t="shared" si="26"/>
        <v>1</v>
      </c>
      <c r="C1316" s="10" t="s">
        <v>315</v>
      </c>
      <c r="D1316" s="10" t="s">
        <v>315</v>
      </c>
      <c r="E1316" s="10" t="s">
        <v>315</v>
      </c>
    </row>
    <row r="1317" spans="1:5" x14ac:dyDescent="0.35">
      <c r="A1317" s="3">
        <v>45146</v>
      </c>
      <c r="B1317" s="1">
        <f t="shared" si="26"/>
        <v>2</v>
      </c>
      <c r="C1317" s="10" t="s">
        <v>315</v>
      </c>
      <c r="D1317" s="10" t="s">
        <v>315</v>
      </c>
      <c r="E1317" s="10" t="s">
        <v>315</v>
      </c>
    </row>
    <row r="1318" spans="1:5" x14ac:dyDescent="0.35">
      <c r="A1318" s="3">
        <v>45147</v>
      </c>
      <c r="B1318" s="1">
        <f t="shared" si="26"/>
        <v>3</v>
      </c>
      <c r="C1318" s="10" t="s">
        <v>315</v>
      </c>
      <c r="D1318" s="10" t="s">
        <v>315</v>
      </c>
      <c r="E1318" s="10" t="s">
        <v>315</v>
      </c>
    </row>
    <row r="1319" spans="1:5" x14ac:dyDescent="0.35">
      <c r="A1319" s="3">
        <v>45148</v>
      </c>
      <c r="B1319" s="1">
        <f t="shared" si="26"/>
        <v>4</v>
      </c>
      <c r="C1319" s="10" t="s">
        <v>315</v>
      </c>
      <c r="D1319" s="10" t="s">
        <v>315</v>
      </c>
      <c r="E1319" s="10" t="s">
        <v>315</v>
      </c>
    </row>
    <row r="1320" spans="1:5" x14ac:dyDescent="0.35">
      <c r="A1320" s="3">
        <v>45149</v>
      </c>
      <c r="B1320" s="1">
        <f t="shared" si="26"/>
        <v>5</v>
      </c>
      <c r="C1320" s="10" t="s">
        <v>315</v>
      </c>
      <c r="D1320" s="10" t="s">
        <v>315</v>
      </c>
      <c r="E1320" s="10" t="s">
        <v>315</v>
      </c>
    </row>
    <row r="1321" spans="1:5" x14ac:dyDescent="0.35">
      <c r="A1321" s="3">
        <v>45150</v>
      </c>
      <c r="B1321" s="1">
        <f t="shared" si="26"/>
        <v>6</v>
      </c>
      <c r="C1321" s="10" t="s">
        <v>315</v>
      </c>
      <c r="D1321" s="10" t="s">
        <v>315</v>
      </c>
      <c r="E1321" s="10" t="s">
        <v>313</v>
      </c>
    </row>
    <row r="1322" spans="1:5" x14ac:dyDescent="0.35">
      <c r="A1322" s="3">
        <v>45151</v>
      </c>
      <c r="B1322" s="1">
        <f t="shared" si="26"/>
        <v>7</v>
      </c>
      <c r="C1322" s="10" t="s">
        <v>313</v>
      </c>
      <c r="D1322" s="10" t="s">
        <v>313</v>
      </c>
      <c r="E1322" s="10" t="s">
        <v>313</v>
      </c>
    </row>
    <row r="1323" spans="1:5" x14ac:dyDescent="0.35">
      <c r="A1323" s="3">
        <v>45152</v>
      </c>
      <c r="B1323" s="1">
        <f t="shared" si="26"/>
        <v>1</v>
      </c>
      <c r="C1323" s="10" t="s">
        <v>315</v>
      </c>
      <c r="D1323" s="10" t="s">
        <v>315</v>
      </c>
      <c r="E1323" s="10" t="s">
        <v>315</v>
      </c>
    </row>
    <row r="1324" spans="1:5" x14ac:dyDescent="0.35">
      <c r="A1324" s="3">
        <v>45153</v>
      </c>
      <c r="B1324" s="1">
        <f t="shared" si="26"/>
        <v>2</v>
      </c>
      <c r="C1324" s="10" t="s">
        <v>315</v>
      </c>
      <c r="D1324" s="10" t="s">
        <v>315</v>
      </c>
      <c r="E1324" s="10" t="s">
        <v>315</v>
      </c>
    </row>
    <row r="1325" spans="1:5" x14ac:dyDescent="0.35">
      <c r="A1325" s="3">
        <v>45154</v>
      </c>
      <c r="B1325" s="1">
        <f t="shared" si="26"/>
        <v>3</v>
      </c>
      <c r="C1325" s="10" t="s">
        <v>315</v>
      </c>
      <c r="D1325" s="10" t="s">
        <v>315</v>
      </c>
      <c r="E1325" s="10" t="s">
        <v>315</v>
      </c>
    </row>
    <row r="1326" spans="1:5" x14ac:dyDescent="0.35">
      <c r="A1326" s="3">
        <v>45155</v>
      </c>
      <c r="B1326" s="1">
        <f t="shared" si="26"/>
        <v>4</v>
      </c>
      <c r="C1326" s="10" t="s">
        <v>315</v>
      </c>
      <c r="D1326" s="10" t="s">
        <v>315</v>
      </c>
      <c r="E1326" s="10" t="s">
        <v>315</v>
      </c>
    </row>
    <row r="1327" spans="1:5" x14ac:dyDescent="0.35">
      <c r="A1327" s="3">
        <v>45156</v>
      </c>
      <c r="B1327" s="1">
        <f t="shared" si="26"/>
        <v>5</v>
      </c>
      <c r="C1327" s="10" t="s">
        <v>315</v>
      </c>
      <c r="D1327" s="10" t="s">
        <v>315</v>
      </c>
      <c r="E1327" s="10" t="s">
        <v>315</v>
      </c>
    </row>
    <row r="1328" spans="1:5" x14ac:dyDescent="0.35">
      <c r="A1328" s="3">
        <v>45157</v>
      </c>
      <c r="B1328" s="1">
        <f t="shared" si="26"/>
        <v>6</v>
      </c>
      <c r="C1328" s="10" t="s">
        <v>315</v>
      </c>
      <c r="D1328" s="10" t="s">
        <v>315</v>
      </c>
      <c r="E1328" s="10" t="s">
        <v>313</v>
      </c>
    </row>
    <row r="1329" spans="1:5" x14ac:dyDescent="0.35">
      <c r="A1329" s="3">
        <v>45158</v>
      </c>
      <c r="B1329" s="1">
        <f t="shared" si="26"/>
        <v>7</v>
      </c>
      <c r="C1329" s="10" t="s">
        <v>313</v>
      </c>
      <c r="D1329" s="10" t="s">
        <v>313</v>
      </c>
      <c r="E1329" s="10" t="s">
        <v>313</v>
      </c>
    </row>
    <row r="1330" spans="1:5" x14ac:dyDescent="0.35">
      <c r="A1330" s="3">
        <v>45159</v>
      </c>
      <c r="B1330" s="1">
        <f t="shared" si="26"/>
        <v>1</v>
      </c>
      <c r="C1330" s="10" t="s">
        <v>315</v>
      </c>
      <c r="D1330" s="10" t="s">
        <v>315</v>
      </c>
      <c r="E1330" s="10" t="s">
        <v>315</v>
      </c>
    </row>
    <row r="1331" spans="1:5" x14ac:dyDescent="0.35">
      <c r="A1331" s="3">
        <v>45160</v>
      </c>
      <c r="B1331" s="1">
        <f t="shared" si="26"/>
        <v>2</v>
      </c>
      <c r="C1331" s="10" t="s">
        <v>315</v>
      </c>
      <c r="D1331" s="10" t="s">
        <v>315</v>
      </c>
      <c r="E1331" s="10" t="s">
        <v>315</v>
      </c>
    </row>
    <row r="1332" spans="1:5" x14ac:dyDescent="0.35">
      <c r="A1332" s="3">
        <v>45161</v>
      </c>
      <c r="B1332" s="1">
        <f t="shared" si="26"/>
        <v>3</v>
      </c>
      <c r="C1332" s="10" t="s">
        <v>315</v>
      </c>
      <c r="D1332" s="10" t="s">
        <v>315</v>
      </c>
      <c r="E1332" s="10" t="s">
        <v>315</v>
      </c>
    </row>
    <row r="1333" spans="1:5" x14ac:dyDescent="0.35">
      <c r="A1333" s="3">
        <v>45162</v>
      </c>
      <c r="B1333" s="1">
        <f t="shared" si="26"/>
        <v>4</v>
      </c>
      <c r="C1333" s="10" t="s">
        <v>315</v>
      </c>
      <c r="D1333" s="10" t="s">
        <v>315</v>
      </c>
      <c r="E1333" s="10" t="s">
        <v>315</v>
      </c>
    </row>
    <row r="1334" spans="1:5" x14ac:dyDescent="0.35">
      <c r="A1334" s="3">
        <v>45163</v>
      </c>
      <c r="B1334" s="1">
        <f t="shared" si="26"/>
        <v>5</v>
      </c>
      <c r="C1334" s="10" t="s">
        <v>315</v>
      </c>
      <c r="D1334" s="10" t="s">
        <v>315</v>
      </c>
      <c r="E1334" s="10" t="s">
        <v>315</v>
      </c>
    </row>
    <row r="1335" spans="1:5" x14ac:dyDescent="0.35">
      <c r="A1335" s="3">
        <v>45164</v>
      </c>
      <c r="B1335" s="1">
        <f t="shared" si="26"/>
        <v>6</v>
      </c>
      <c r="C1335" s="10" t="s">
        <v>315</v>
      </c>
      <c r="D1335" s="10" t="s">
        <v>315</v>
      </c>
      <c r="E1335" s="10" t="s">
        <v>315</v>
      </c>
    </row>
    <row r="1336" spans="1:5" x14ac:dyDescent="0.35">
      <c r="A1336" s="3">
        <v>45165</v>
      </c>
      <c r="B1336" s="1">
        <f t="shared" si="26"/>
        <v>7</v>
      </c>
      <c r="C1336" s="10" t="s">
        <v>315</v>
      </c>
      <c r="D1336" s="10" t="s">
        <v>315</v>
      </c>
      <c r="E1336" s="10" t="s">
        <v>315</v>
      </c>
    </row>
    <row r="1337" spans="1:5" x14ac:dyDescent="0.35">
      <c r="A1337" s="3">
        <v>45166</v>
      </c>
      <c r="B1337" s="1">
        <f t="shared" si="26"/>
        <v>1</v>
      </c>
      <c r="C1337" s="10" t="s">
        <v>315</v>
      </c>
      <c r="D1337" s="10" t="s">
        <v>315</v>
      </c>
      <c r="E1337" s="10" t="s">
        <v>315</v>
      </c>
    </row>
    <row r="1338" spans="1:5" x14ac:dyDescent="0.35">
      <c r="A1338" s="3">
        <v>45167</v>
      </c>
      <c r="B1338" s="1">
        <f t="shared" si="26"/>
        <v>2</v>
      </c>
      <c r="C1338" s="10" t="s">
        <v>315</v>
      </c>
      <c r="D1338" s="10" t="s">
        <v>315</v>
      </c>
      <c r="E1338" s="10" t="s">
        <v>315</v>
      </c>
    </row>
    <row r="1339" spans="1:5" x14ac:dyDescent="0.35">
      <c r="A1339" s="3">
        <v>45168</v>
      </c>
      <c r="B1339" s="1">
        <f t="shared" si="26"/>
        <v>3</v>
      </c>
      <c r="C1339" s="10" t="s">
        <v>315</v>
      </c>
      <c r="D1339" s="10" t="s">
        <v>315</v>
      </c>
      <c r="E1339" s="10" t="s">
        <v>315</v>
      </c>
    </row>
    <row r="1340" spans="1:5" x14ac:dyDescent="0.35">
      <c r="A1340" s="3">
        <v>45169</v>
      </c>
      <c r="B1340" s="1">
        <f t="shared" si="26"/>
        <v>4</v>
      </c>
      <c r="C1340" s="10" t="s">
        <v>315</v>
      </c>
      <c r="D1340" s="10" t="s">
        <v>315</v>
      </c>
      <c r="E1340" s="10" t="s">
        <v>315</v>
      </c>
    </row>
    <row r="1341" spans="1:5" x14ac:dyDescent="0.35">
      <c r="A1341" s="3">
        <v>45170</v>
      </c>
      <c r="B1341" s="1">
        <f t="shared" si="26"/>
        <v>5</v>
      </c>
      <c r="C1341" s="10" t="s">
        <v>315</v>
      </c>
      <c r="D1341" s="10" t="s">
        <v>315</v>
      </c>
      <c r="E1341" s="10" t="s">
        <v>315</v>
      </c>
    </row>
    <row r="1342" spans="1:5" x14ac:dyDescent="0.35">
      <c r="A1342" s="3">
        <v>45171</v>
      </c>
      <c r="B1342" s="1">
        <f t="shared" si="26"/>
        <v>6</v>
      </c>
      <c r="C1342" s="10" t="s">
        <v>315</v>
      </c>
      <c r="D1342" s="10" t="s">
        <v>315</v>
      </c>
      <c r="E1342" s="10" t="s">
        <v>315</v>
      </c>
    </row>
    <row r="1343" spans="1:5" x14ac:dyDescent="0.35">
      <c r="A1343" s="3">
        <v>45172</v>
      </c>
      <c r="B1343" s="1">
        <f t="shared" si="26"/>
        <v>7</v>
      </c>
      <c r="C1343" s="10" t="s">
        <v>315</v>
      </c>
      <c r="D1343" s="10" t="s">
        <v>315</v>
      </c>
      <c r="E1343" s="10" t="s">
        <v>315</v>
      </c>
    </row>
    <row r="1344" spans="1:5" x14ac:dyDescent="0.35">
      <c r="A1344" s="3">
        <v>45173</v>
      </c>
      <c r="B1344" s="1">
        <f t="shared" si="26"/>
        <v>1</v>
      </c>
      <c r="C1344" s="10" t="s">
        <v>315</v>
      </c>
      <c r="D1344" s="10" t="s">
        <v>315</v>
      </c>
      <c r="E1344" s="10" t="s">
        <v>315</v>
      </c>
    </row>
    <row r="1345" spans="1:5" x14ac:dyDescent="0.35">
      <c r="A1345" s="3">
        <v>45174</v>
      </c>
      <c r="B1345" s="1">
        <f t="shared" si="26"/>
        <v>2</v>
      </c>
      <c r="C1345" s="10" t="s">
        <v>315</v>
      </c>
      <c r="D1345" s="10" t="s">
        <v>315</v>
      </c>
      <c r="E1345" s="10" t="s">
        <v>315</v>
      </c>
    </row>
    <row r="1346" spans="1:5" x14ac:dyDescent="0.35">
      <c r="A1346" s="3">
        <v>45175</v>
      </c>
      <c r="B1346" s="1">
        <f t="shared" si="26"/>
        <v>3</v>
      </c>
      <c r="C1346" s="10" t="s">
        <v>315</v>
      </c>
      <c r="D1346" s="10" t="s">
        <v>315</v>
      </c>
      <c r="E1346" s="10" t="s">
        <v>315</v>
      </c>
    </row>
    <row r="1347" spans="1:5" x14ac:dyDescent="0.35">
      <c r="A1347" s="3">
        <v>45176</v>
      </c>
      <c r="B1347" s="1">
        <f t="shared" si="26"/>
        <v>4</v>
      </c>
      <c r="C1347" s="10" t="s">
        <v>315</v>
      </c>
      <c r="D1347" s="10" t="s">
        <v>315</v>
      </c>
      <c r="E1347" s="10" t="s">
        <v>315</v>
      </c>
    </row>
    <row r="1348" spans="1:5" x14ac:dyDescent="0.35">
      <c r="A1348" s="3">
        <v>45177</v>
      </c>
      <c r="B1348" s="1">
        <f t="shared" si="26"/>
        <v>5</v>
      </c>
      <c r="C1348" s="10" t="s">
        <v>315</v>
      </c>
      <c r="D1348" s="10" t="s">
        <v>315</v>
      </c>
      <c r="E1348" s="10" t="s">
        <v>315</v>
      </c>
    </row>
    <row r="1349" spans="1:5" x14ac:dyDescent="0.35">
      <c r="A1349" s="3">
        <v>45178</v>
      </c>
      <c r="B1349" s="1">
        <f t="shared" si="26"/>
        <v>6</v>
      </c>
      <c r="C1349" s="10" t="s">
        <v>315</v>
      </c>
      <c r="D1349" s="10" t="s">
        <v>315</v>
      </c>
      <c r="E1349" s="10" t="s">
        <v>315</v>
      </c>
    </row>
    <row r="1350" spans="1:5" x14ac:dyDescent="0.35">
      <c r="A1350" s="3">
        <v>45179</v>
      </c>
      <c r="B1350" s="1">
        <f t="shared" si="26"/>
        <v>7</v>
      </c>
      <c r="C1350" s="10" t="s">
        <v>315</v>
      </c>
      <c r="D1350" s="10" t="s">
        <v>315</v>
      </c>
      <c r="E1350" s="10" t="s">
        <v>315</v>
      </c>
    </row>
    <row r="1351" spans="1:5" x14ac:dyDescent="0.35">
      <c r="A1351" s="3">
        <v>45180</v>
      </c>
      <c r="B1351" s="1">
        <f t="shared" si="26"/>
        <v>1</v>
      </c>
      <c r="C1351" s="10" t="s">
        <v>315</v>
      </c>
      <c r="D1351" s="10" t="s">
        <v>315</v>
      </c>
      <c r="E1351" s="10" t="s">
        <v>315</v>
      </c>
    </row>
    <row r="1352" spans="1:5" x14ac:dyDescent="0.35">
      <c r="A1352" s="3">
        <v>45181</v>
      </c>
      <c r="B1352" s="1">
        <f t="shared" si="26"/>
        <v>2</v>
      </c>
      <c r="C1352" s="10" t="s">
        <v>315</v>
      </c>
      <c r="D1352" s="10" t="s">
        <v>315</v>
      </c>
      <c r="E1352" s="10" t="s">
        <v>315</v>
      </c>
    </row>
    <row r="1353" spans="1:5" x14ac:dyDescent="0.35">
      <c r="A1353" s="3">
        <v>45182</v>
      </c>
      <c r="B1353" s="1">
        <f t="shared" si="26"/>
        <v>3</v>
      </c>
      <c r="C1353" s="10" t="s">
        <v>315</v>
      </c>
      <c r="D1353" s="10" t="s">
        <v>315</v>
      </c>
      <c r="E1353" s="10" t="s">
        <v>315</v>
      </c>
    </row>
    <row r="1354" spans="1:5" x14ac:dyDescent="0.35">
      <c r="A1354" s="3">
        <v>45183</v>
      </c>
      <c r="B1354" s="1">
        <f t="shared" si="26"/>
        <v>4</v>
      </c>
      <c r="C1354" s="10" t="s">
        <v>315</v>
      </c>
      <c r="D1354" s="10" t="s">
        <v>315</v>
      </c>
      <c r="E1354" s="10" t="s">
        <v>315</v>
      </c>
    </row>
    <row r="1355" spans="1:5" x14ac:dyDescent="0.35">
      <c r="A1355" s="3">
        <v>45184</v>
      </c>
      <c r="B1355" s="1">
        <f t="shared" si="26"/>
        <v>5</v>
      </c>
      <c r="C1355" s="10" t="s">
        <v>315</v>
      </c>
      <c r="D1355" s="10" t="s">
        <v>315</v>
      </c>
      <c r="E1355" s="10" t="s">
        <v>315</v>
      </c>
    </row>
    <row r="1356" spans="1:5" x14ac:dyDescent="0.35">
      <c r="A1356" s="3">
        <v>45185</v>
      </c>
      <c r="B1356" s="1">
        <f t="shared" si="26"/>
        <v>6</v>
      </c>
      <c r="C1356" s="10" t="s">
        <v>315</v>
      </c>
      <c r="D1356" s="10" t="s">
        <v>315</v>
      </c>
      <c r="E1356" s="10" t="s">
        <v>315</v>
      </c>
    </row>
    <row r="1357" spans="1:5" x14ac:dyDescent="0.35">
      <c r="A1357" s="3">
        <v>45186</v>
      </c>
      <c r="B1357" s="1">
        <f t="shared" si="26"/>
        <v>7</v>
      </c>
      <c r="C1357" s="10" t="s">
        <v>315</v>
      </c>
      <c r="D1357" s="10" t="s">
        <v>315</v>
      </c>
      <c r="E1357" s="10" t="s">
        <v>315</v>
      </c>
    </row>
    <row r="1358" spans="1:5" x14ac:dyDescent="0.35">
      <c r="A1358" s="3">
        <v>45187</v>
      </c>
      <c r="B1358" s="1">
        <f t="shared" si="26"/>
        <v>1</v>
      </c>
      <c r="C1358" s="10" t="s">
        <v>315</v>
      </c>
      <c r="D1358" s="10" t="s">
        <v>315</v>
      </c>
      <c r="E1358" s="10" t="s">
        <v>315</v>
      </c>
    </row>
    <row r="1359" spans="1:5" x14ac:dyDescent="0.35">
      <c r="A1359" s="3">
        <v>45188</v>
      </c>
      <c r="B1359" s="1">
        <f t="shared" si="26"/>
        <v>2</v>
      </c>
      <c r="C1359" s="10" t="s">
        <v>315</v>
      </c>
      <c r="D1359" s="10" t="s">
        <v>315</v>
      </c>
      <c r="E1359" s="10" t="s">
        <v>315</v>
      </c>
    </row>
    <row r="1360" spans="1:5" x14ac:dyDescent="0.35">
      <c r="A1360" s="3">
        <v>45189</v>
      </c>
      <c r="B1360" s="1">
        <f t="shared" si="26"/>
        <v>3</v>
      </c>
      <c r="C1360" s="10" t="s">
        <v>315</v>
      </c>
      <c r="D1360" s="10" t="s">
        <v>315</v>
      </c>
      <c r="E1360" s="10" t="s">
        <v>315</v>
      </c>
    </row>
    <row r="1361" spans="1:5" x14ac:dyDescent="0.35">
      <c r="A1361" s="3">
        <v>45190</v>
      </c>
      <c r="B1361" s="1">
        <f t="shared" si="26"/>
        <v>4</v>
      </c>
      <c r="C1361" s="10" t="s">
        <v>315</v>
      </c>
      <c r="D1361" s="10" t="s">
        <v>315</v>
      </c>
      <c r="E1361" s="10" t="s">
        <v>315</v>
      </c>
    </row>
    <row r="1362" spans="1:5" x14ac:dyDescent="0.35">
      <c r="A1362" s="3">
        <v>45191</v>
      </c>
      <c r="B1362" s="1">
        <f t="shared" si="26"/>
        <v>5</v>
      </c>
      <c r="C1362" s="10" t="s">
        <v>315</v>
      </c>
      <c r="D1362" s="10" t="s">
        <v>315</v>
      </c>
      <c r="E1362" s="10" t="s">
        <v>315</v>
      </c>
    </row>
    <row r="1363" spans="1:5" x14ac:dyDescent="0.35">
      <c r="A1363" s="3">
        <v>45192</v>
      </c>
      <c r="B1363" s="1">
        <f t="shared" si="26"/>
        <v>6</v>
      </c>
      <c r="C1363" s="10" t="s">
        <v>315</v>
      </c>
      <c r="D1363" s="10" t="s">
        <v>315</v>
      </c>
      <c r="E1363" s="10" t="s">
        <v>315</v>
      </c>
    </row>
    <row r="1364" spans="1:5" x14ac:dyDescent="0.35">
      <c r="A1364" s="3">
        <v>45193</v>
      </c>
      <c r="B1364" s="1">
        <f t="shared" si="26"/>
        <v>7</v>
      </c>
      <c r="C1364" s="10" t="s">
        <v>315</v>
      </c>
      <c r="D1364" s="10" t="s">
        <v>315</v>
      </c>
      <c r="E1364" s="10" t="s">
        <v>315</v>
      </c>
    </row>
    <row r="1365" spans="1:5" x14ac:dyDescent="0.35">
      <c r="A1365" s="3">
        <v>45194</v>
      </c>
      <c r="B1365" s="1">
        <f t="shared" si="26"/>
        <v>1</v>
      </c>
      <c r="C1365" s="10" t="s">
        <v>315</v>
      </c>
      <c r="D1365" s="10" t="s">
        <v>315</v>
      </c>
      <c r="E1365" s="10" t="s">
        <v>315</v>
      </c>
    </row>
    <row r="1366" spans="1:5" x14ac:dyDescent="0.35">
      <c r="A1366" s="3">
        <v>45195</v>
      </c>
      <c r="B1366" s="1">
        <f t="shared" si="26"/>
        <v>2</v>
      </c>
      <c r="C1366" s="10" t="s">
        <v>315</v>
      </c>
      <c r="D1366" s="10" t="s">
        <v>315</v>
      </c>
      <c r="E1366" s="10" t="s">
        <v>315</v>
      </c>
    </row>
    <row r="1367" spans="1:5" x14ac:dyDescent="0.35">
      <c r="A1367" s="3">
        <v>45196</v>
      </c>
      <c r="B1367" s="1">
        <f t="shared" si="26"/>
        <v>3</v>
      </c>
      <c r="C1367" s="10" t="s">
        <v>315</v>
      </c>
      <c r="D1367" s="10" t="s">
        <v>315</v>
      </c>
      <c r="E1367" s="10" t="s">
        <v>315</v>
      </c>
    </row>
    <row r="1368" spans="1:5" x14ac:dyDescent="0.35">
      <c r="A1368" s="3">
        <v>45197</v>
      </c>
      <c r="B1368" s="1">
        <f t="shared" si="26"/>
        <v>4</v>
      </c>
      <c r="C1368" s="10" t="s">
        <v>315</v>
      </c>
      <c r="D1368" s="10" t="s">
        <v>315</v>
      </c>
      <c r="E1368" s="10" t="s">
        <v>315</v>
      </c>
    </row>
    <row r="1369" spans="1:5" x14ac:dyDescent="0.35">
      <c r="A1369" s="3">
        <v>45198</v>
      </c>
      <c r="B1369" s="1">
        <f t="shared" si="26"/>
        <v>5</v>
      </c>
      <c r="C1369" s="10" t="s">
        <v>315</v>
      </c>
      <c r="D1369" s="10" t="s">
        <v>315</v>
      </c>
      <c r="E1369" s="10" t="s">
        <v>315</v>
      </c>
    </row>
    <row r="1370" spans="1:5" x14ac:dyDescent="0.35">
      <c r="A1370" s="3">
        <v>45199</v>
      </c>
      <c r="B1370" s="1">
        <f t="shared" si="26"/>
        <v>6</v>
      </c>
      <c r="C1370" s="10" t="s">
        <v>315</v>
      </c>
      <c r="D1370" s="10" t="s">
        <v>315</v>
      </c>
      <c r="E1370" s="10" t="s">
        <v>315</v>
      </c>
    </row>
    <row r="1371" spans="1:5" x14ac:dyDescent="0.35">
      <c r="A1371" s="3">
        <v>45200</v>
      </c>
      <c r="B1371" s="1">
        <f t="shared" si="26"/>
        <v>7</v>
      </c>
      <c r="C1371" s="10" t="s">
        <v>315</v>
      </c>
      <c r="D1371" s="10" t="s">
        <v>315</v>
      </c>
      <c r="E1371" s="10" t="s">
        <v>315</v>
      </c>
    </row>
    <row r="1372" spans="1:5" x14ac:dyDescent="0.35">
      <c r="A1372" s="3">
        <v>45201</v>
      </c>
      <c r="B1372" s="1">
        <f t="shared" si="26"/>
        <v>1</v>
      </c>
      <c r="C1372" s="10" t="s">
        <v>315</v>
      </c>
      <c r="D1372" s="10" t="s">
        <v>315</v>
      </c>
      <c r="E1372" s="10" t="s">
        <v>315</v>
      </c>
    </row>
    <row r="1373" spans="1:5" x14ac:dyDescent="0.35">
      <c r="A1373" s="3">
        <v>45202</v>
      </c>
      <c r="B1373" s="1">
        <f t="shared" si="26"/>
        <v>2</v>
      </c>
      <c r="C1373" s="10" t="s">
        <v>315</v>
      </c>
      <c r="D1373" s="10" t="s">
        <v>315</v>
      </c>
      <c r="E1373" s="10" t="s">
        <v>315</v>
      </c>
    </row>
    <row r="1374" spans="1:5" x14ac:dyDescent="0.35">
      <c r="A1374" s="3">
        <v>45203</v>
      </c>
      <c r="B1374" s="1">
        <f t="shared" si="26"/>
        <v>3</v>
      </c>
      <c r="C1374" s="10" t="s">
        <v>315</v>
      </c>
      <c r="D1374" s="10" t="s">
        <v>315</v>
      </c>
      <c r="E1374" s="10" t="s">
        <v>315</v>
      </c>
    </row>
    <row r="1375" spans="1:5" x14ac:dyDescent="0.35">
      <c r="A1375" s="3">
        <v>45204</v>
      </c>
      <c r="B1375" s="1">
        <f t="shared" si="26"/>
        <v>4</v>
      </c>
      <c r="C1375" s="10" t="s">
        <v>315</v>
      </c>
      <c r="D1375" s="10" t="s">
        <v>315</v>
      </c>
      <c r="E1375" s="10" t="s">
        <v>315</v>
      </c>
    </row>
    <row r="1376" spans="1:5" x14ac:dyDescent="0.35">
      <c r="A1376" s="3">
        <v>45205</v>
      </c>
      <c r="B1376" s="1">
        <f t="shared" ref="B1376:B1439" si="27">IF(A1376&gt;0,WEEKDAY(A1376,2),"")</f>
        <v>5</v>
      </c>
      <c r="C1376" s="10" t="s">
        <v>315</v>
      </c>
      <c r="D1376" s="10" t="s">
        <v>315</v>
      </c>
      <c r="E1376" s="10" t="s">
        <v>315</v>
      </c>
    </row>
    <row r="1377" spans="1:5" x14ac:dyDescent="0.35">
      <c r="A1377" s="3">
        <v>45206</v>
      </c>
      <c r="B1377" s="1">
        <f t="shared" si="27"/>
        <v>6</v>
      </c>
      <c r="C1377" s="10" t="s">
        <v>315</v>
      </c>
      <c r="D1377" s="10" t="s">
        <v>315</v>
      </c>
      <c r="E1377" s="10" t="s">
        <v>315</v>
      </c>
    </row>
    <row r="1378" spans="1:5" x14ac:dyDescent="0.35">
      <c r="A1378" s="3">
        <v>45207</v>
      </c>
      <c r="B1378" s="1">
        <f t="shared" si="27"/>
        <v>7</v>
      </c>
      <c r="C1378" s="10" t="s">
        <v>315</v>
      </c>
      <c r="D1378" s="10" t="s">
        <v>315</v>
      </c>
      <c r="E1378" s="10" t="s">
        <v>315</v>
      </c>
    </row>
    <row r="1379" spans="1:5" x14ac:dyDescent="0.35">
      <c r="A1379" s="3">
        <v>45208</v>
      </c>
      <c r="B1379" s="1">
        <f t="shared" si="27"/>
        <v>1</v>
      </c>
      <c r="C1379" s="10" t="s">
        <v>315</v>
      </c>
      <c r="D1379" s="10" t="s">
        <v>315</v>
      </c>
      <c r="E1379" s="10" t="s">
        <v>315</v>
      </c>
    </row>
    <row r="1380" spans="1:5" x14ac:dyDescent="0.35">
      <c r="A1380" s="3">
        <v>45209</v>
      </c>
      <c r="B1380" s="1">
        <f t="shared" si="27"/>
        <v>2</v>
      </c>
      <c r="C1380" s="10" t="s">
        <v>315</v>
      </c>
      <c r="D1380" s="10" t="s">
        <v>315</v>
      </c>
      <c r="E1380" s="10" t="s">
        <v>315</v>
      </c>
    </row>
    <row r="1381" spans="1:5" x14ac:dyDescent="0.35">
      <c r="A1381" s="3">
        <v>45210</v>
      </c>
      <c r="B1381" s="1">
        <f t="shared" si="27"/>
        <v>3</v>
      </c>
      <c r="C1381" s="10" t="s">
        <v>315</v>
      </c>
      <c r="D1381" s="10" t="s">
        <v>315</v>
      </c>
      <c r="E1381" s="10" t="s">
        <v>315</v>
      </c>
    </row>
    <row r="1382" spans="1:5" x14ac:dyDescent="0.35">
      <c r="A1382" s="3">
        <v>45211</v>
      </c>
      <c r="B1382" s="1">
        <f t="shared" si="27"/>
        <v>4</v>
      </c>
      <c r="C1382" s="10" t="s">
        <v>315</v>
      </c>
      <c r="D1382" s="10" t="s">
        <v>315</v>
      </c>
      <c r="E1382" s="10" t="s">
        <v>315</v>
      </c>
    </row>
    <row r="1383" spans="1:5" x14ac:dyDescent="0.35">
      <c r="A1383" s="3">
        <v>45212</v>
      </c>
      <c r="B1383" s="1">
        <f t="shared" si="27"/>
        <v>5</v>
      </c>
      <c r="C1383" s="10" t="s">
        <v>315</v>
      </c>
      <c r="D1383" s="10" t="s">
        <v>315</v>
      </c>
      <c r="E1383" s="10" t="s">
        <v>315</v>
      </c>
    </row>
    <row r="1384" spans="1:5" x14ac:dyDescent="0.35">
      <c r="A1384" s="3">
        <v>45213</v>
      </c>
      <c r="B1384" s="1">
        <f t="shared" si="27"/>
        <v>6</v>
      </c>
      <c r="C1384" s="10" t="s">
        <v>315</v>
      </c>
      <c r="D1384" s="10" t="s">
        <v>315</v>
      </c>
      <c r="E1384" s="10" t="s">
        <v>315</v>
      </c>
    </row>
    <row r="1385" spans="1:5" x14ac:dyDescent="0.35">
      <c r="A1385" s="3">
        <v>45214</v>
      </c>
      <c r="B1385" s="1">
        <f t="shared" si="27"/>
        <v>7</v>
      </c>
      <c r="C1385" s="10" t="s">
        <v>315</v>
      </c>
      <c r="D1385" s="10" t="s">
        <v>315</v>
      </c>
      <c r="E1385" s="10" t="s">
        <v>315</v>
      </c>
    </row>
    <row r="1386" spans="1:5" x14ac:dyDescent="0.35">
      <c r="A1386" s="3">
        <v>45215</v>
      </c>
      <c r="B1386" s="1">
        <f t="shared" si="27"/>
        <v>1</v>
      </c>
      <c r="C1386" s="10" t="s">
        <v>315</v>
      </c>
      <c r="D1386" s="10" t="s">
        <v>315</v>
      </c>
      <c r="E1386" s="10" t="s">
        <v>315</v>
      </c>
    </row>
    <row r="1387" spans="1:5" x14ac:dyDescent="0.35">
      <c r="A1387" s="3">
        <v>45216</v>
      </c>
      <c r="B1387" s="1">
        <f t="shared" si="27"/>
        <v>2</v>
      </c>
      <c r="C1387" s="10" t="s">
        <v>315</v>
      </c>
      <c r="D1387" s="10" t="s">
        <v>315</v>
      </c>
      <c r="E1387" s="10" t="s">
        <v>315</v>
      </c>
    </row>
    <row r="1388" spans="1:5" x14ac:dyDescent="0.35">
      <c r="A1388" s="3">
        <v>45217</v>
      </c>
      <c r="B1388" s="1">
        <f t="shared" si="27"/>
        <v>3</v>
      </c>
      <c r="C1388" s="10" t="s">
        <v>315</v>
      </c>
      <c r="D1388" s="10" t="s">
        <v>315</v>
      </c>
      <c r="E1388" s="10" t="s">
        <v>315</v>
      </c>
    </row>
    <row r="1389" spans="1:5" x14ac:dyDescent="0.35">
      <c r="A1389" s="3">
        <v>45218</v>
      </c>
      <c r="B1389" s="1">
        <f t="shared" si="27"/>
        <v>4</v>
      </c>
      <c r="C1389" s="10" t="s">
        <v>315</v>
      </c>
      <c r="D1389" s="10" t="s">
        <v>315</v>
      </c>
      <c r="E1389" s="10" t="s">
        <v>315</v>
      </c>
    </row>
    <row r="1390" spans="1:5" x14ac:dyDescent="0.35">
      <c r="A1390" s="3">
        <v>45219</v>
      </c>
      <c r="B1390" s="1">
        <f t="shared" si="27"/>
        <v>5</v>
      </c>
      <c r="C1390" s="10" t="s">
        <v>315</v>
      </c>
      <c r="D1390" s="10" t="s">
        <v>315</v>
      </c>
      <c r="E1390" s="10" t="s">
        <v>315</v>
      </c>
    </row>
    <row r="1391" spans="1:5" x14ac:dyDescent="0.35">
      <c r="A1391" s="3">
        <v>45220</v>
      </c>
      <c r="B1391" s="1">
        <f t="shared" si="27"/>
        <v>6</v>
      </c>
      <c r="C1391" s="10" t="s">
        <v>315</v>
      </c>
      <c r="D1391" s="10" t="s">
        <v>315</v>
      </c>
      <c r="E1391" s="10" t="s">
        <v>315</v>
      </c>
    </row>
    <row r="1392" spans="1:5" x14ac:dyDescent="0.35">
      <c r="A1392" s="3">
        <v>45221</v>
      </c>
      <c r="B1392" s="1">
        <f t="shared" si="27"/>
        <v>7</v>
      </c>
      <c r="C1392" s="10" t="s">
        <v>315</v>
      </c>
      <c r="D1392" s="10" t="s">
        <v>315</v>
      </c>
      <c r="E1392" s="10" t="s">
        <v>315</v>
      </c>
    </row>
    <row r="1393" spans="1:5" x14ac:dyDescent="0.35">
      <c r="A1393" s="3">
        <v>45222</v>
      </c>
      <c r="B1393" s="1">
        <f t="shared" si="27"/>
        <v>1</v>
      </c>
      <c r="C1393" s="10" t="s">
        <v>315</v>
      </c>
      <c r="D1393" s="10" t="s">
        <v>315</v>
      </c>
      <c r="E1393" s="10" t="s">
        <v>315</v>
      </c>
    </row>
    <row r="1394" spans="1:5" x14ac:dyDescent="0.35">
      <c r="A1394" s="3">
        <v>45223</v>
      </c>
      <c r="B1394" s="1">
        <f t="shared" si="27"/>
        <v>2</v>
      </c>
      <c r="C1394" s="10" t="s">
        <v>315</v>
      </c>
      <c r="D1394" s="10" t="s">
        <v>315</v>
      </c>
      <c r="E1394" s="10" t="s">
        <v>315</v>
      </c>
    </row>
    <row r="1395" spans="1:5" x14ac:dyDescent="0.35">
      <c r="A1395" s="3">
        <v>45224</v>
      </c>
      <c r="B1395" s="1">
        <f t="shared" si="27"/>
        <v>3</v>
      </c>
      <c r="C1395" s="10" t="s">
        <v>315</v>
      </c>
      <c r="D1395" s="10" t="s">
        <v>315</v>
      </c>
      <c r="E1395" s="10" t="s">
        <v>315</v>
      </c>
    </row>
    <row r="1396" spans="1:5" x14ac:dyDescent="0.35">
      <c r="A1396" s="3">
        <v>45225</v>
      </c>
      <c r="B1396" s="1">
        <f t="shared" si="27"/>
        <v>4</v>
      </c>
      <c r="C1396" s="10" t="s">
        <v>315</v>
      </c>
      <c r="D1396" s="10" t="s">
        <v>315</v>
      </c>
      <c r="E1396" s="10" t="s">
        <v>315</v>
      </c>
    </row>
    <row r="1397" spans="1:5" x14ac:dyDescent="0.35">
      <c r="A1397" s="3">
        <v>45226</v>
      </c>
      <c r="B1397" s="1">
        <f t="shared" si="27"/>
        <v>5</v>
      </c>
      <c r="C1397" s="10" t="s">
        <v>315</v>
      </c>
      <c r="D1397" s="10" t="s">
        <v>315</v>
      </c>
      <c r="E1397" s="10" t="s">
        <v>315</v>
      </c>
    </row>
    <row r="1398" spans="1:5" x14ac:dyDescent="0.35">
      <c r="A1398" s="3">
        <v>45227</v>
      </c>
      <c r="B1398" s="1">
        <f t="shared" si="27"/>
        <v>6</v>
      </c>
      <c r="C1398" s="10" t="s">
        <v>315</v>
      </c>
      <c r="D1398" s="10" t="s">
        <v>315</v>
      </c>
      <c r="E1398" s="10" t="s">
        <v>315</v>
      </c>
    </row>
    <row r="1399" spans="1:5" x14ac:dyDescent="0.35">
      <c r="A1399" s="3">
        <v>45228</v>
      </c>
      <c r="B1399" s="1">
        <f t="shared" si="27"/>
        <v>7</v>
      </c>
      <c r="C1399" s="10" t="s">
        <v>315</v>
      </c>
      <c r="D1399" s="10" t="s">
        <v>315</v>
      </c>
      <c r="E1399" s="10" t="s">
        <v>315</v>
      </c>
    </row>
    <row r="1400" spans="1:5" x14ac:dyDescent="0.35">
      <c r="A1400" s="3">
        <v>45229</v>
      </c>
      <c r="B1400" s="1">
        <f t="shared" si="27"/>
        <v>1</v>
      </c>
      <c r="C1400" s="10" t="s">
        <v>315</v>
      </c>
      <c r="D1400" s="10" t="s">
        <v>315</v>
      </c>
      <c r="E1400" s="10" t="s">
        <v>315</v>
      </c>
    </row>
    <row r="1401" spans="1:5" x14ac:dyDescent="0.35">
      <c r="A1401" s="3">
        <v>45230</v>
      </c>
      <c r="B1401" s="1">
        <f t="shared" si="27"/>
        <v>2</v>
      </c>
      <c r="C1401" s="10" t="s">
        <v>315</v>
      </c>
      <c r="D1401" s="10" t="s">
        <v>315</v>
      </c>
      <c r="E1401" s="10" t="s">
        <v>315</v>
      </c>
    </row>
    <row r="1402" spans="1:5" x14ac:dyDescent="0.35">
      <c r="A1402" s="3">
        <v>45231</v>
      </c>
      <c r="B1402" s="1">
        <f t="shared" si="27"/>
        <v>3</v>
      </c>
      <c r="C1402" s="10" t="s">
        <v>315</v>
      </c>
      <c r="D1402" s="10" t="s">
        <v>315</v>
      </c>
      <c r="E1402" s="10" t="s">
        <v>315</v>
      </c>
    </row>
    <row r="1403" spans="1:5" x14ac:dyDescent="0.35">
      <c r="A1403" s="3">
        <v>45232</v>
      </c>
      <c r="B1403" s="1">
        <f t="shared" si="27"/>
        <v>4</v>
      </c>
      <c r="C1403" s="10" t="s">
        <v>315</v>
      </c>
      <c r="D1403" s="10" t="s">
        <v>315</v>
      </c>
      <c r="E1403" s="10" t="s">
        <v>315</v>
      </c>
    </row>
    <row r="1404" spans="1:5" x14ac:dyDescent="0.35">
      <c r="A1404" s="3">
        <v>45233</v>
      </c>
      <c r="B1404" s="1">
        <f t="shared" si="27"/>
        <v>5</v>
      </c>
      <c r="C1404" s="10" t="s">
        <v>315</v>
      </c>
      <c r="D1404" s="10" t="s">
        <v>315</v>
      </c>
      <c r="E1404" s="10" t="s">
        <v>315</v>
      </c>
    </row>
    <row r="1405" spans="1:5" x14ac:dyDescent="0.35">
      <c r="A1405" s="3">
        <v>45234</v>
      </c>
      <c r="B1405" s="1">
        <f t="shared" si="27"/>
        <v>6</v>
      </c>
      <c r="C1405" s="10" t="s">
        <v>315</v>
      </c>
      <c r="D1405" s="10" t="s">
        <v>315</v>
      </c>
      <c r="E1405" s="10" t="s">
        <v>315</v>
      </c>
    </row>
    <row r="1406" spans="1:5" x14ac:dyDescent="0.35">
      <c r="A1406" s="3">
        <v>45235</v>
      </c>
      <c r="B1406" s="1">
        <f t="shared" si="27"/>
        <v>7</v>
      </c>
      <c r="C1406" s="10" t="s">
        <v>315</v>
      </c>
      <c r="D1406" s="10" t="s">
        <v>315</v>
      </c>
      <c r="E1406" s="10" t="s">
        <v>315</v>
      </c>
    </row>
    <row r="1407" spans="1:5" x14ac:dyDescent="0.35">
      <c r="A1407" s="3">
        <v>45236</v>
      </c>
      <c r="B1407" s="1">
        <f t="shared" si="27"/>
        <v>1</v>
      </c>
      <c r="C1407" s="10" t="s">
        <v>315</v>
      </c>
      <c r="D1407" s="10" t="s">
        <v>315</v>
      </c>
      <c r="E1407" s="10" t="s">
        <v>315</v>
      </c>
    </row>
    <row r="1408" spans="1:5" x14ac:dyDescent="0.35">
      <c r="A1408" s="3">
        <v>45237</v>
      </c>
      <c r="B1408" s="1">
        <f t="shared" si="27"/>
        <v>2</v>
      </c>
      <c r="C1408" s="10" t="s">
        <v>315</v>
      </c>
      <c r="D1408" s="10" t="s">
        <v>315</v>
      </c>
      <c r="E1408" s="10" t="s">
        <v>315</v>
      </c>
    </row>
    <row r="1409" spans="1:5" x14ac:dyDescent="0.35">
      <c r="A1409" s="3">
        <v>45238</v>
      </c>
      <c r="B1409" s="1">
        <f t="shared" si="27"/>
        <v>3</v>
      </c>
      <c r="C1409" s="10" t="s">
        <v>315</v>
      </c>
      <c r="D1409" s="10" t="s">
        <v>315</v>
      </c>
      <c r="E1409" s="10" t="s">
        <v>315</v>
      </c>
    </row>
    <row r="1410" spans="1:5" x14ac:dyDescent="0.35">
      <c r="A1410" s="3">
        <v>45239</v>
      </c>
      <c r="B1410" s="1">
        <f t="shared" si="27"/>
        <v>4</v>
      </c>
      <c r="C1410" s="10" t="s">
        <v>315</v>
      </c>
      <c r="D1410" s="10" t="s">
        <v>315</v>
      </c>
      <c r="E1410" s="10" t="s">
        <v>315</v>
      </c>
    </row>
    <row r="1411" spans="1:5" x14ac:dyDescent="0.35">
      <c r="A1411" s="3">
        <v>45240</v>
      </c>
      <c r="B1411" s="1">
        <f t="shared" si="27"/>
        <v>5</v>
      </c>
      <c r="C1411" s="10" t="s">
        <v>315</v>
      </c>
      <c r="D1411" s="10" t="s">
        <v>315</v>
      </c>
      <c r="E1411" s="10" t="s">
        <v>315</v>
      </c>
    </row>
    <row r="1412" spans="1:5" x14ac:dyDescent="0.35">
      <c r="A1412" s="3">
        <v>45241</v>
      </c>
      <c r="B1412" s="1">
        <f t="shared" si="27"/>
        <v>6</v>
      </c>
      <c r="C1412" s="10" t="s">
        <v>315</v>
      </c>
      <c r="D1412" s="10" t="s">
        <v>315</v>
      </c>
      <c r="E1412" s="10" t="s">
        <v>315</v>
      </c>
    </row>
    <row r="1413" spans="1:5" x14ac:dyDescent="0.35">
      <c r="A1413" s="3">
        <v>45242</v>
      </c>
      <c r="B1413" s="1">
        <f t="shared" si="27"/>
        <v>7</v>
      </c>
      <c r="C1413" s="10" t="s">
        <v>315</v>
      </c>
      <c r="D1413" s="10" t="s">
        <v>315</v>
      </c>
      <c r="E1413" s="10" t="s">
        <v>315</v>
      </c>
    </row>
    <row r="1414" spans="1:5" x14ac:dyDescent="0.35">
      <c r="A1414" s="3">
        <v>45243</v>
      </c>
      <c r="B1414" s="1">
        <f t="shared" si="27"/>
        <v>1</v>
      </c>
      <c r="C1414" s="10" t="s">
        <v>315</v>
      </c>
      <c r="D1414" s="10" t="s">
        <v>315</v>
      </c>
      <c r="E1414" s="10" t="s">
        <v>315</v>
      </c>
    </row>
    <row r="1415" spans="1:5" x14ac:dyDescent="0.35">
      <c r="A1415" s="3">
        <v>45244</v>
      </c>
      <c r="B1415" s="1">
        <f t="shared" si="27"/>
        <v>2</v>
      </c>
      <c r="C1415" s="10" t="s">
        <v>315</v>
      </c>
      <c r="D1415" s="10" t="s">
        <v>315</v>
      </c>
      <c r="E1415" s="10" t="s">
        <v>315</v>
      </c>
    </row>
    <row r="1416" spans="1:5" x14ac:dyDescent="0.35">
      <c r="A1416" s="3">
        <v>45245</v>
      </c>
      <c r="B1416" s="1">
        <f t="shared" si="27"/>
        <v>3</v>
      </c>
      <c r="C1416" s="10" t="s">
        <v>315</v>
      </c>
      <c r="D1416" s="10" t="s">
        <v>315</v>
      </c>
      <c r="E1416" s="10" t="s">
        <v>315</v>
      </c>
    </row>
    <row r="1417" spans="1:5" x14ac:dyDescent="0.35">
      <c r="A1417" s="3">
        <v>45246</v>
      </c>
      <c r="B1417" s="1">
        <f t="shared" si="27"/>
        <v>4</v>
      </c>
      <c r="C1417" s="10" t="s">
        <v>315</v>
      </c>
      <c r="D1417" s="10" t="s">
        <v>315</v>
      </c>
      <c r="E1417" s="10" t="s">
        <v>315</v>
      </c>
    </row>
    <row r="1418" spans="1:5" x14ac:dyDescent="0.35">
      <c r="A1418" s="3">
        <v>45247</v>
      </c>
      <c r="B1418" s="1">
        <f t="shared" si="27"/>
        <v>5</v>
      </c>
      <c r="C1418" s="10" t="s">
        <v>315</v>
      </c>
      <c r="D1418" s="10" t="s">
        <v>315</v>
      </c>
      <c r="E1418" s="10" t="s">
        <v>315</v>
      </c>
    </row>
    <row r="1419" spans="1:5" x14ac:dyDescent="0.35">
      <c r="A1419" s="3">
        <v>45248</v>
      </c>
      <c r="B1419" s="1">
        <f t="shared" si="27"/>
        <v>6</v>
      </c>
      <c r="C1419" s="10" t="s">
        <v>315</v>
      </c>
      <c r="D1419" s="10" t="s">
        <v>315</v>
      </c>
      <c r="E1419" s="10" t="s">
        <v>315</v>
      </c>
    </row>
    <row r="1420" spans="1:5" x14ac:dyDescent="0.35">
      <c r="A1420" s="3">
        <v>45249</v>
      </c>
      <c r="B1420" s="1">
        <f t="shared" si="27"/>
        <v>7</v>
      </c>
      <c r="C1420" s="10" t="s">
        <v>315</v>
      </c>
      <c r="D1420" s="10" t="s">
        <v>315</v>
      </c>
      <c r="E1420" s="10" t="s">
        <v>315</v>
      </c>
    </row>
    <row r="1421" spans="1:5" x14ac:dyDescent="0.35">
      <c r="A1421" s="3">
        <v>45250</v>
      </c>
      <c r="B1421" s="1">
        <f t="shared" si="27"/>
        <v>1</v>
      </c>
      <c r="C1421" s="10" t="s">
        <v>315</v>
      </c>
      <c r="D1421" s="10" t="s">
        <v>315</v>
      </c>
      <c r="E1421" s="10" t="s">
        <v>315</v>
      </c>
    </row>
    <row r="1422" spans="1:5" x14ac:dyDescent="0.35">
      <c r="A1422" s="3">
        <v>45251</v>
      </c>
      <c r="B1422" s="1">
        <f t="shared" si="27"/>
        <v>2</v>
      </c>
      <c r="C1422" s="10" t="s">
        <v>315</v>
      </c>
      <c r="D1422" s="10" t="s">
        <v>315</v>
      </c>
      <c r="E1422" s="10" t="s">
        <v>315</v>
      </c>
    </row>
    <row r="1423" spans="1:5" x14ac:dyDescent="0.35">
      <c r="A1423" s="3">
        <v>45252</v>
      </c>
      <c r="B1423" s="1">
        <f t="shared" si="27"/>
        <v>3</v>
      </c>
      <c r="C1423" s="10" t="s">
        <v>315</v>
      </c>
      <c r="D1423" s="10" t="s">
        <v>315</v>
      </c>
      <c r="E1423" s="10" t="s">
        <v>315</v>
      </c>
    </row>
    <row r="1424" spans="1:5" x14ac:dyDescent="0.35">
      <c r="A1424" s="3">
        <v>45253</v>
      </c>
      <c r="B1424" s="1">
        <f t="shared" si="27"/>
        <v>4</v>
      </c>
      <c r="C1424" s="10" t="s">
        <v>315</v>
      </c>
      <c r="D1424" s="10" t="s">
        <v>315</v>
      </c>
      <c r="E1424" s="10" t="s">
        <v>315</v>
      </c>
    </row>
    <row r="1425" spans="1:5" x14ac:dyDescent="0.35">
      <c r="A1425" s="3">
        <v>45254</v>
      </c>
      <c r="B1425" s="1">
        <f t="shared" si="27"/>
        <v>5</v>
      </c>
      <c r="C1425" s="10" t="s">
        <v>315</v>
      </c>
      <c r="D1425" s="10" t="s">
        <v>315</v>
      </c>
      <c r="E1425" s="10" t="s">
        <v>315</v>
      </c>
    </row>
    <row r="1426" spans="1:5" x14ac:dyDescent="0.35">
      <c r="A1426" s="3">
        <v>45255</v>
      </c>
      <c r="B1426" s="1">
        <f t="shared" si="27"/>
        <v>6</v>
      </c>
      <c r="C1426" s="10" t="s">
        <v>315</v>
      </c>
      <c r="D1426" s="10" t="s">
        <v>315</v>
      </c>
      <c r="E1426" s="10" t="s">
        <v>315</v>
      </c>
    </row>
    <row r="1427" spans="1:5" x14ac:dyDescent="0.35">
      <c r="A1427" s="3">
        <v>45256</v>
      </c>
      <c r="B1427" s="1">
        <f t="shared" si="27"/>
        <v>7</v>
      </c>
      <c r="C1427" s="10" t="s">
        <v>315</v>
      </c>
      <c r="D1427" s="10" t="s">
        <v>315</v>
      </c>
      <c r="E1427" s="10" t="s">
        <v>315</v>
      </c>
    </row>
    <row r="1428" spans="1:5" x14ac:dyDescent="0.35">
      <c r="A1428" s="3">
        <v>45257</v>
      </c>
      <c r="B1428" s="1">
        <f t="shared" si="27"/>
        <v>1</v>
      </c>
      <c r="C1428" s="10" t="s">
        <v>315</v>
      </c>
      <c r="D1428" s="10" t="s">
        <v>315</v>
      </c>
      <c r="E1428" s="10" t="s">
        <v>315</v>
      </c>
    </row>
    <row r="1429" spans="1:5" x14ac:dyDescent="0.35">
      <c r="A1429" s="3">
        <v>45258</v>
      </c>
      <c r="B1429" s="1">
        <f t="shared" si="27"/>
        <v>2</v>
      </c>
      <c r="C1429" s="10" t="s">
        <v>315</v>
      </c>
      <c r="D1429" s="10" t="s">
        <v>315</v>
      </c>
      <c r="E1429" s="10" t="s">
        <v>315</v>
      </c>
    </row>
    <row r="1430" spans="1:5" x14ac:dyDescent="0.35">
      <c r="A1430" s="3">
        <v>45259</v>
      </c>
      <c r="B1430" s="1">
        <f t="shared" si="27"/>
        <v>3</v>
      </c>
      <c r="C1430" s="10" t="s">
        <v>315</v>
      </c>
      <c r="D1430" s="10" t="s">
        <v>315</v>
      </c>
      <c r="E1430" s="10" t="s">
        <v>315</v>
      </c>
    </row>
    <row r="1431" spans="1:5" x14ac:dyDescent="0.35">
      <c r="A1431" s="3">
        <v>45260</v>
      </c>
      <c r="B1431" s="1">
        <f t="shared" si="27"/>
        <v>4</v>
      </c>
      <c r="C1431" s="10" t="s">
        <v>315</v>
      </c>
      <c r="D1431" s="10" t="s">
        <v>315</v>
      </c>
      <c r="E1431" s="10" t="s">
        <v>315</v>
      </c>
    </row>
    <row r="1432" spans="1:5" x14ac:dyDescent="0.35">
      <c r="A1432" s="3">
        <v>45261</v>
      </c>
      <c r="B1432" s="1">
        <f t="shared" si="27"/>
        <v>5</v>
      </c>
      <c r="C1432" s="10" t="s">
        <v>315</v>
      </c>
      <c r="D1432" s="10" t="s">
        <v>315</v>
      </c>
      <c r="E1432" s="10" t="s">
        <v>315</v>
      </c>
    </row>
    <row r="1433" spans="1:5" x14ac:dyDescent="0.35">
      <c r="A1433" s="3">
        <v>45262</v>
      </c>
      <c r="B1433" s="1">
        <f t="shared" si="27"/>
        <v>6</v>
      </c>
      <c r="C1433" s="10" t="s">
        <v>315</v>
      </c>
      <c r="D1433" s="10" t="s">
        <v>315</v>
      </c>
      <c r="E1433" s="10" t="s">
        <v>315</v>
      </c>
    </row>
    <row r="1434" spans="1:5" x14ac:dyDescent="0.35">
      <c r="A1434" s="3">
        <v>45263</v>
      </c>
      <c r="B1434" s="1">
        <f t="shared" si="27"/>
        <v>7</v>
      </c>
      <c r="C1434" s="10" t="s">
        <v>315</v>
      </c>
      <c r="D1434" s="10" t="s">
        <v>315</v>
      </c>
      <c r="E1434" s="10" t="s">
        <v>315</v>
      </c>
    </row>
    <row r="1435" spans="1:5" x14ac:dyDescent="0.35">
      <c r="A1435" s="3">
        <v>45264</v>
      </c>
      <c r="B1435" s="1">
        <f t="shared" si="27"/>
        <v>1</v>
      </c>
      <c r="C1435" s="10" t="s">
        <v>315</v>
      </c>
      <c r="D1435" s="10" t="s">
        <v>315</v>
      </c>
      <c r="E1435" s="10" t="s">
        <v>315</v>
      </c>
    </row>
    <row r="1436" spans="1:5" x14ac:dyDescent="0.35">
      <c r="A1436" s="3">
        <v>45265</v>
      </c>
      <c r="B1436" s="1">
        <f t="shared" si="27"/>
        <v>2</v>
      </c>
      <c r="C1436" s="10" t="s">
        <v>315</v>
      </c>
      <c r="D1436" s="10" t="s">
        <v>315</v>
      </c>
      <c r="E1436" s="10" t="s">
        <v>315</v>
      </c>
    </row>
    <row r="1437" spans="1:5" x14ac:dyDescent="0.35">
      <c r="A1437" s="3">
        <v>45266</v>
      </c>
      <c r="B1437" s="1">
        <f t="shared" si="27"/>
        <v>3</v>
      </c>
      <c r="C1437" s="10" t="s">
        <v>315</v>
      </c>
      <c r="D1437" s="10" t="s">
        <v>315</v>
      </c>
      <c r="E1437" s="10" t="s">
        <v>315</v>
      </c>
    </row>
    <row r="1438" spans="1:5" x14ac:dyDescent="0.35">
      <c r="A1438" s="3">
        <v>45267</v>
      </c>
      <c r="B1438" s="1">
        <f t="shared" si="27"/>
        <v>4</v>
      </c>
      <c r="C1438" s="10" t="s">
        <v>315</v>
      </c>
      <c r="D1438" s="10" t="s">
        <v>315</v>
      </c>
      <c r="E1438" s="10" t="s">
        <v>315</v>
      </c>
    </row>
    <row r="1439" spans="1:5" x14ac:dyDescent="0.35">
      <c r="A1439" s="3">
        <v>45268</v>
      </c>
      <c r="B1439" s="1">
        <f t="shared" si="27"/>
        <v>5</v>
      </c>
      <c r="C1439" s="10" t="s">
        <v>315</v>
      </c>
      <c r="D1439" s="10" t="s">
        <v>315</v>
      </c>
      <c r="E1439" s="10" t="s">
        <v>315</v>
      </c>
    </row>
    <row r="1440" spans="1:5" x14ac:dyDescent="0.35">
      <c r="A1440" s="3">
        <v>45269</v>
      </c>
      <c r="B1440" s="1">
        <f t="shared" ref="B1440:B1503" si="28">IF(A1440&gt;0,WEEKDAY(A1440,2),"")</f>
        <v>6</v>
      </c>
      <c r="C1440" s="10" t="s">
        <v>315</v>
      </c>
      <c r="D1440" s="10" t="s">
        <v>315</v>
      </c>
      <c r="E1440" s="10" t="s">
        <v>315</v>
      </c>
    </row>
    <row r="1441" spans="1:5" x14ac:dyDescent="0.35">
      <c r="A1441" s="3">
        <v>45270</v>
      </c>
      <c r="B1441" s="1">
        <f t="shared" si="28"/>
        <v>7</v>
      </c>
      <c r="C1441" s="10" t="s">
        <v>315</v>
      </c>
      <c r="D1441" s="10" t="s">
        <v>315</v>
      </c>
      <c r="E1441" s="10" t="s">
        <v>315</v>
      </c>
    </row>
    <row r="1442" spans="1:5" x14ac:dyDescent="0.35">
      <c r="A1442" s="3">
        <v>45271</v>
      </c>
      <c r="B1442" s="1">
        <f t="shared" si="28"/>
        <v>1</v>
      </c>
      <c r="C1442" s="10" t="s">
        <v>315</v>
      </c>
      <c r="D1442" s="10" t="s">
        <v>315</v>
      </c>
      <c r="E1442" s="10" t="s">
        <v>315</v>
      </c>
    </row>
    <row r="1443" spans="1:5" x14ac:dyDescent="0.35">
      <c r="A1443" s="3">
        <v>45272</v>
      </c>
      <c r="B1443" s="1">
        <f t="shared" si="28"/>
        <v>2</v>
      </c>
      <c r="C1443" s="10" t="s">
        <v>315</v>
      </c>
      <c r="D1443" s="10" t="s">
        <v>315</v>
      </c>
      <c r="E1443" s="10" t="s">
        <v>315</v>
      </c>
    </row>
    <row r="1444" spans="1:5" x14ac:dyDescent="0.35">
      <c r="A1444" s="3">
        <v>45273</v>
      </c>
      <c r="B1444" s="1">
        <f t="shared" si="28"/>
        <v>3</v>
      </c>
      <c r="C1444" s="10" t="s">
        <v>315</v>
      </c>
      <c r="D1444" s="10" t="s">
        <v>315</v>
      </c>
      <c r="E1444" s="10" t="s">
        <v>315</v>
      </c>
    </row>
    <row r="1445" spans="1:5" x14ac:dyDescent="0.35">
      <c r="A1445" s="3">
        <v>45274</v>
      </c>
      <c r="B1445" s="1">
        <f t="shared" si="28"/>
        <v>4</v>
      </c>
      <c r="C1445" s="10" t="s">
        <v>315</v>
      </c>
      <c r="D1445" s="10" t="s">
        <v>315</v>
      </c>
      <c r="E1445" s="10" t="s">
        <v>315</v>
      </c>
    </row>
    <row r="1446" spans="1:5" x14ac:dyDescent="0.35">
      <c r="A1446" s="3">
        <v>45275</v>
      </c>
      <c r="B1446" s="1">
        <f t="shared" si="28"/>
        <v>5</v>
      </c>
      <c r="C1446" s="10" t="s">
        <v>315</v>
      </c>
      <c r="D1446" s="10" t="s">
        <v>315</v>
      </c>
      <c r="E1446" s="10" t="s">
        <v>315</v>
      </c>
    </row>
    <row r="1447" spans="1:5" x14ac:dyDescent="0.35">
      <c r="A1447" s="3">
        <v>45276</v>
      </c>
      <c r="B1447" s="1">
        <f t="shared" si="28"/>
        <v>6</v>
      </c>
      <c r="C1447" s="10" t="s">
        <v>315</v>
      </c>
      <c r="D1447" s="10" t="s">
        <v>315</v>
      </c>
      <c r="E1447" s="10" t="s">
        <v>315</v>
      </c>
    </row>
    <row r="1448" spans="1:5" x14ac:dyDescent="0.35">
      <c r="A1448" s="3">
        <v>45277</v>
      </c>
      <c r="B1448" s="1">
        <f t="shared" si="28"/>
        <v>7</v>
      </c>
      <c r="C1448" s="10" t="s">
        <v>315</v>
      </c>
      <c r="D1448" s="10" t="s">
        <v>315</v>
      </c>
      <c r="E1448" s="10" t="s">
        <v>315</v>
      </c>
    </row>
    <row r="1449" spans="1:5" x14ac:dyDescent="0.35">
      <c r="A1449" s="3">
        <v>45278</v>
      </c>
      <c r="B1449" s="1">
        <f t="shared" si="28"/>
        <v>1</v>
      </c>
      <c r="C1449" s="10" t="s">
        <v>315</v>
      </c>
      <c r="D1449" s="10" t="s">
        <v>315</v>
      </c>
      <c r="E1449" s="10" t="s">
        <v>315</v>
      </c>
    </row>
    <row r="1450" spans="1:5" x14ac:dyDescent="0.35">
      <c r="A1450" s="3">
        <v>45279</v>
      </c>
      <c r="B1450" s="1">
        <f t="shared" si="28"/>
        <v>2</v>
      </c>
      <c r="C1450" s="10" t="s">
        <v>315</v>
      </c>
      <c r="D1450" s="10" t="s">
        <v>315</v>
      </c>
      <c r="E1450" s="10" t="s">
        <v>315</v>
      </c>
    </row>
    <row r="1451" spans="1:5" x14ac:dyDescent="0.35">
      <c r="A1451" s="3">
        <v>45280</v>
      </c>
      <c r="B1451" s="1">
        <f t="shared" si="28"/>
        <v>3</v>
      </c>
      <c r="C1451" s="10" t="s">
        <v>315</v>
      </c>
      <c r="D1451" s="10" t="s">
        <v>315</v>
      </c>
      <c r="E1451" s="10" t="s">
        <v>315</v>
      </c>
    </row>
    <row r="1452" spans="1:5" x14ac:dyDescent="0.35">
      <c r="A1452" s="3">
        <v>45281</v>
      </c>
      <c r="B1452" s="1">
        <f t="shared" si="28"/>
        <v>4</v>
      </c>
      <c r="C1452" s="10" t="s">
        <v>315</v>
      </c>
      <c r="D1452" s="10" t="s">
        <v>315</v>
      </c>
      <c r="E1452" s="10" t="s">
        <v>315</v>
      </c>
    </row>
    <row r="1453" spans="1:5" x14ac:dyDescent="0.35">
      <c r="A1453" s="3">
        <v>45282</v>
      </c>
      <c r="B1453" s="1">
        <f t="shared" si="28"/>
        <v>5</v>
      </c>
      <c r="C1453" s="10" t="s">
        <v>315</v>
      </c>
      <c r="D1453" s="10" t="s">
        <v>315</v>
      </c>
      <c r="E1453" s="10" t="s">
        <v>315</v>
      </c>
    </row>
    <row r="1454" spans="1:5" x14ac:dyDescent="0.35">
      <c r="A1454" s="3">
        <v>45283</v>
      </c>
      <c r="B1454" s="1">
        <f t="shared" si="28"/>
        <v>6</v>
      </c>
      <c r="C1454" s="10" t="s">
        <v>315</v>
      </c>
      <c r="D1454" s="10" t="s">
        <v>315</v>
      </c>
      <c r="E1454" s="10" t="s">
        <v>315</v>
      </c>
    </row>
    <row r="1455" spans="1:5" x14ac:dyDescent="0.35">
      <c r="A1455" s="3">
        <v>45284</v>
      </c>
      <c r="B1455" s="1">
        <f t="shared" si="28"/>
        <v>7</v>
      </c>
      <c r="C1455" s="10" t="s">
        <v>315</v>
      </c>
      <c r="D1455" s="10" t="s">
        <v>315</v>
      </c>
      <c r="E1455" s="10" t="s">
        <v>315</v>
      </c>
    </row>
    <row r="1456" spans="1:5" x14ac:dyDescent="0.35">
      <c r="A1456" s="3">
        <v>45285</v>
      </c>
      <c r="B1456" s="1">
        <f t="shared" si="28"/>
        <v>1</v>
      </c>
      <c r="C1456" s="10" t="s">
        <v>315</v>
      </c>
      <c r="D1456" s="10" t="s">
        <v>315</v>
      </c>
      <c r="E1456" s="10" t="s">
        <v>315</v>
      </c>
    </row>
    <row r="1457" spans="1:5" x14ac:dyDescent="0.35">
      <c r="A1457" s="3">
        <v>45286</v>
      </c>
      <c r="B1457" s="1">
        <f t="shared" si="28"/>
        <v>2</v>
      </c>
      <c r="C1457" s="10" t="s">
        <v>315</v>
      </c>
      <c r="D1457" s="10" t="s">
        <v>315</v>
      </c>
      <c r="E1457" s="10" t="s">
        <v>315</v>
      </c>
    </row>
    <row r="1458" spans="1:5" x14ac:dyDescent="0.35">
      <c r="A1458" s="3">
        <v>45287</v>
      </c>
      <c r="B1458" s="1">
        <f t="shared" si="28"/>
        <v>3</v>
      </c>
      <c r="C1458" s="10" t="s">
        <v>315</v>
      </c>
      <c r="D1458" s="10" t="s">
        <v>315</v>
      </c>
      <c r="E1458" s="10" t="s">
        <v>315</v>
      </c>
    </row>
    <row r="1459" spans="1:5" x14ac:dyDescent="0.35">
      <c r="A1459" s="3">
        <v>45288</v>
      </c>
      <c r="B1459" s="1">
        <f t="shared" si="28"/>
        <v>4</v>
      </c>
      <c r="C1459" s="10" t="s">
        <v>315</v>
      </c>
      <c r="D1459" s="10" t="s">
        <v>315</v>
      </c>
      <c r="E1459" s="10" t="s">
        <v>315</v>
      </c>
    </row>
    <row r="1460" spans="1:5" x14ac:dyDescent="0.35">
      <c r="A1460" s="3">
        <v>45289</v>
      </c>
      <c r="B1460" s="1">
        <f t="shared" si="28"/>
        <v>5</v>
      </c>
      <c r="C1460" s="10" t="s">
        <v>315</v>
      </c>
      <c r="D1460" s="10" t="s">
        <v>315</v>
      </c>
      <c r="E1460" s="10" t="s">
        <v>315</v>
      </c>
    </row>
    <row r="1461" spans="1:5" x14ac:dyDescent="0.35">
      <c r="A1461" s="3">
        <v>45290</v>
      </c>
      <c r="B1461" s="1">
        <f t="shared" si="28"/>
        <v>6</v>
      </c>
      <c r="C1461" s="10" t="s">
        <v>315</v>
      </c>
      <c r="D1461" s="10" t="s">
        <v>315</v>
      </c>
      <c r="E1461" s="10" t="s">
        <v>315</v>
      </c>
    </row>
    <row r="1462" spans="1:5" x14ac:dyDescent="0.35">
      <c r="A1462" s="3">
        <v>45291</v>
      </c>
      <c r="B1462" s="1">
        <f t="shared" si="28"/>
        <v>7</v>
      </c>
      <c r="C1462" s="10" t="s">
        <v>315</v>
      </c>
      <c r="D1462" s="10" t="s">
        <v>315</v>
      </c>
      <c r="E1462" s="10" t="s">
        <v>315</v>
      </c>
    </row>
    <row r="1463" spans="1:5" x14ac:dyDescent="0.35">
      <c r="A1463" s="3">
        <v>45292</v>
      </c>
      <c r="B1463" s="1">
        <f t="shared" si="28"/>
        <v>1</v>
      </c>
      <c r="C1463" s="10" t="s">
        <v>315</v>
      </c>
      <c r="D1463" s="10" t="s">
        <v>315</v>
      </c>
      <c r="E1463" s="10" t="s">
        <v>315</v>
      </c>
    </row>
    <row r="1464" spans="1:5" x14ac:dyDescent="0.35">
      <c r="A1464" s="3">
        <v>45293</v>
      </c>
      <c r="B1464" s="1">
        <f t="shared" si="28"/>
        <v>2</v>
      </c>
      <c r="C1464" s="10" t="s">
        <v>315</v>
      </c>
      <c r="D1464" s="10" t="s">
        <v>315</v>
      </c>
      <c r="E1464" s="10" t="s">
        <v>315</v>
      </c>
    </row>
    <row r="1465" spans="1:5" x14ac:dyDescent="0.35">
      <c r="A1465" s="3">
        <v>45294</v>
      </c>
      <c r="B1465" s="1">
        <f t="shared" si="28"/>
        <v>3</v>
      </c>
      <c r="C1465" s="10" t="s">
        <v>315</v>
      </c>
      <c r="D1465" s="10" t="s">
        <v>315</v>
      </c>
      <c r="E1465" s="10" t="s">
        <v>315</v>
      </c>
    </row>
    <row r="1466" spans="1:5" x14ac:dyDescent="0.35">
      <c r="A1466" s="3">
        <v>45295</v>
      </c>
      <c r="B1466" s="1">
        <f t="shared" si="28"/>
        <v>4</v>
      </c>
      <c r="C1466" s="10" t="s">
        <v>315</v>
      </c>
      <c r="D1466" s="10" t="s">
        <v>315</v>
      </c>
      <c r="E1466" s="10" t="s">
        <v>315</v>
      </c>
    </row>
    <row r="1467" spans="1:5" x14ac:dyDescent="0.35">
      <c r="A1467" s="3">
        <v>45296</v>
      </c>
      <c r="B1467" s="1">
        <f t="shared" si="28"/>
        <v>5</v>
      </c>
      <c r="C1467" s="10" t="s">
        <v>315</v>
      </c>
      <c r="D1467" s="10" t="s">
        <v>315</v>
      </c>
      <c r="E1467" s="10" t="s">
        <v>315</v>
      </c>
    </row>
    <row r="1468" spans="1:5" x14ac:dyDescent="0.35">
      <c r="A1468" s="3">
        <v>45297</v>
      </c>
      <c r="B1468" s="1">
        <f t="shared" si="28"/>
        <v>6</v>
      </c>
      <c r="C1468" s="10" t="s">
        <v>315</v>
      </c>
      <c r="D1468" s="10" t="s">
        <v>313</v>
      </c>
      <c r="E1468" s="10" t="s">
        <v>313</v>
      </c>
    </row>
    <row r="1469" spans="1:5" x14ac:dyDescent="0.35">
      <c r="A1469" s="3">
        <v>45298</v>
      </c>
      <c r="B1469" s="1">
        <f t="shared" si="28"/>
        <v>7</v>
      </c>
      <c r="C1469" s="10" t="s">
        <v>313</v>
      </c>
      <c r="D1469" s="10" t="s">
        <v>313</v>
      </c>
      <c r="E1469" s="10" t="s">
        <v>313</v>
      </c>
    </row>
    <row r="1470" spans="1:5" x14ac:dyDescent="0.35">
      <c r="A1470" s="3">
        <v>45299</v>
      </c>
      <c r="B1470" s="1">
        <f t="shared" si="28"/>
        <v>1</v>
      </c>
      <c r="C1470" s="10" t="s">
        <v>315</v>
      </c>
      <c r="D1470" s="10" t="s">
        <v>315</v>
      </c>
      <c r="E1470" s="10" t="s">
        <v>315</v>
      </c>
    </row>
    <row r="1471" spans="1:5" x14ac:dyDescent="0.35">
      <c r="A1471" s="3">
        <v>45300</v>
      </c>
      <c r="B1471" s="1">
        <f t="shared" si="28"/>
        <v>2</v>
      </c>
      <c r="C1471" s="10" t="s">
        <v>315</v>
      </c>
      <c r="D1471" s="10" t="s">
        <v>315</v>
      </c>
      <c r="E1471" s="10" t="s">
        <v>315</v>
      </c>
    </row>
    <row r="1472" spans="1:5" x14ac:dyDescent="0.35">
      <c r="A1472" s="3">
        <v>45301</v>
      </c>
      <c r="B1472" s="1">
        <f t="shared" si="28"/>
        <v>3</v>
      </c>
      <c r="C1472" s="10" t="s">
        <v>315</v>
      </c>
      <c r="D1472" s="10" t="s">
        <v>315</v>
      </c>
      <c r="E1472" s="10" t="s">
        <v>315</v>
      </c>
    </row>
    <row r="1473" spans="1:5" x14ac:dyDescent="0.35">
      <c r="A1473" s="3">
        <v>45302</v>
      </c>
      <c r="B1473" s="1">
        <f t="shared" si="28"/>
        <v>4</v>
      </c>
      <c r="C1473" s="10" t="s">
        <v>315</v>
      </c>
      <c r="D1473" s="10" t="s">
        <v>315</v>
      </c>
      <c r="E1473" s="10" t="s">
        <v>315</v>
      </c>
    </row>
    <row r="1474" spans="1:5" x14ac:dyDescent="0.35">
      <c r="A1474" s="3">
        <v>45303</v>
      </c>
      <c r="B1474" s="1">
        <f t="shared" si="28"/>
        <v>5</v>
      </c>
      <c r="C1474" s="10" t="s">
        <v>315</v>
      </c>
      <c r="D1474" s="10" t="s">
        <v>315</v>
      </c>
      <c r="E1474" s="10" t="s">
        <v>315</v>
      </c>
    </row>
    <row r="1475" spans="1:5" x14ac:dyDescent="0.35">
      <c r="A1475" s="3">
        <v>45304</v>
      </c>
      <c r="B1475" s="1">
        <f t="shared" si="28"/>
        <v>6</v>
      </c>
      <c r="C1475" s="10" t="s">
        <v>315</v>
      </c>
      <c r="D1475" s="10" t="s">
        <v>313</v>
      </c>
      <c r="E1475" s="10" t="s">
        <v>313</v>
      </c>
    </row>
    <row r="1476" spans="1:5" x14ac:dyDescent="0.35">
      <c r="A1476" s="3">
        <v>45305</v>
      </c>
      <c r="B1476" s="1">
        <f t="shared" si="28"/>
        <v>7</v>
      </c>
      <c r="C1476" s="10" t="s">
        <v>313</v>
      </c>
      <c r="D1476" s="10" t="s">
        <v>313</v>
      </c>
      <c r="E1476" s="10" t="s">
        <v>313</v>
      </c>
    </row>
    <row r="1477" spans="1:5" x14ac:dyDescent="0.35">
      <c r="A1477" s="3">
        <v>45306</v>
      </c>
      <c r="B1477" s="1">
        <f t="shared" si="28"/>
        <v>1</v>
      </c>
      <c r="C1477" s="10" t="s">
        <v>315</v>
      </c>
      <c r="D1477" s="10" t="s">
        <v>315</v>
      </c>
      <c r="E1477" s="10" t="s">
        <v>315</v>
      </c>
    </row>
    <row r="1478" spans="1:5" x14ac:dyDescent="0.35">
      <c r="A1478" s="3">
        <v>45307</v>
      </c>
      <c r="B1478" s="1">
        <f t="shared" si="28"/>
        <v>2</v>
      </c>
      <c r="C1478" s="10" t="s">
        <v>315</v>
      </c>
      <c r="D1478" s="10" t="s">
        <v>315</v>
      </c>
      <c r="E1478" s="10" t="s">
        <v>315</v>
      </c>
    </row>
    <row r="1479" spans="1:5" x14ac:dyDescent="0.35">
      <c r="A1479" s="3">
        <v>45308</v>
      </c>
      <c r="B1479" s="1">
        <f t="shared" si="28"/>
        <v>3</v>
      </c>
      <c r="C1479" s="10" t="s">
        <v>315</v>
      </c>
      <c r="D1479" s="10" t="s">
        <v>315</v>
      </c>
      <c r="E1479" s="10" t="s">
        <v>315</v>
      </c>
    </row>
    <row r="1480" spans="1:5" x14ac:dyDescent="0.35">
      <c r="A1480" s="3">
        <v>45309</v>
      </c>
      <c r="B1480" s="1">
        <f t="shared" si="28"/>
        <v>4</v>
      </c>
      <c r="C1480" s="10" t="s">
        <v>315</v>
      </c>
      <c r="D1480" s="10" t="s">
        <v>315</v>
      </c>
      <c r="E1480" s="10" t="s">
        <v>315</v>
      </c>
    </row>
    <row r="1481" spans="1:5" x14ac:dyDescent="0.35">
      <c r="A1481" s="3">
        <v>45310</v>
      </c>
      <c r="B1481" s="1">
        <f t="shared" si="28"/>
        <v>5</v>
      </c>
      <c r="C1481" s="10" t="s">
        <v>315</v>
      </c>
      <c r="D1481" s="10" t="s">
        <v>315</v>
      </c>
      <c r="E1481" s="10" t="s">
        <v>315</v>
      </c>
    </row>
    <row r="1482" spans="1:5" x14ac:dyDescent="0.35">
      <c r="A1482" s="3">
        <v>45311</v>
      </c>
      <c r="B1482" s="1">
        <f t="shared" si="28"/>
        <v>6</v>
      </c>
      <c r="C1482" s="10" t="s">
        <v>315</v>
      </c>
      <c r="D1482" s="10" t="s">
        <v>313</v>
      </c>
      <c r="E1482" s="10" t="s">
        <v>313</v>
      </c>
    </row>
    <row r="1483" spans="1:5" x14ac:dyDescent="0.35">
      <c r="A1483" s="3">
        <v>45312</v>
      </c>
      <c r="B1483" s="1">
        <f t="shared" si="28"/>
        <v>7</v>
      </c>
      <c r="C1483" s="10" t="s">
        <v>313</v>
      </c>
      <c r="D1483" s="10" t="s">
        <v>313</v>
      </c>
      <c r="E1483" s="10" t="s">
        <v>313</v>
      </c>
    </row>
    <row r="1484" spans="1:5" x14ac:dyDescent="0.35">
      <c r="A1484" s="3">
        <v>45313</v>
      </c>
      <c r="B1484" s="1">
        <f t="shared" si="28"/>
        <v>1</v>
      </c>
      <c r="C1484" s="10" t="s">
        <v>315</v>
      </c>
      <c r="D1484" s="10" t="s">
        <v>315</v>
      </c>
      <c r="E1484" s="10" t="s">
        <v>315</v>
      </c>
    </row>
    <row r="1485" spans="1:5" x14ac:dyDescent="0.35">
      <c r="A1485" s="3">
        <v>45314</v>
      </c>
      <c r="B1485" s="1">
        <f t="shared" si="28"/>
        <v>2</v>
      </c>
      <c r="C1485" s="10" t="s">
        <v>315</v>
      </c>
      <c r="D1485" s="10" t="s">
        <v>315</v>
      </c>
      <c r="E1485" s="10" t="s">
        <v>315</v>
      </c>
    </row>
    <row r="1486" spans="1:5" x14ac:dyDescent="0.35">
      <c r="A1486" s="3">
        <v>45315</v>
      </c>
      <c r="B1486" s="1">
        <f t="shared" si="28"/>
        <v>3</v>
      </c>
      <c r="C1486" s="10" t="s">
        <v>315</v>
      </c>
      <c r="D1486" s="10" t="s">
        <v>315</v>
      </c>
      <c r="E1486" s="10" t="s">
        <v>315</v>
      </c>
    </row>
    <row r="1487" spans="1:5" x14ac:dyDescent="0.35">
      <c r="A1487" s="3">
        <v>45316</v>
      </c>
      <c r="B1487" s="1">
        <f t="shared" si="28"/>
        <v>4</v>
      </c>
      <c r="C1487" s="10" t="s">
        <v>315</v>
      </c>
      <c r="D1487" s="10" t="s">
        <v>315</v>
      </c>
      <c r="E1487" s="10" t="s">
        <v>315</v>
      </c>
    </row>
    <row r="1488" spans="1:5" x14ac:dyDescent="0.35">
      <c r="A1488" s="3">
        <v>45317</v>
      </c>
      <c r="B1488" s="1">
        <f t="shared" si="28"/>
        <v>5</v>
      </c>
      <c r="C1488" s="10" t="s">
        <v>315</v>
      </c>
      <c r="D1488" s="10" t="s">
        <v>315</v>
      </c>
      <c r="E1488" s="10" t="s">
        <v>315</v>
      </c>
    </row>
    <row r="1489" spans="1:5" x14ac:dyDescent="0.35">
      <c r="A1489" s="3">
        <v>45318</v>
      </c>
      <c r="B1489" s="1">
        <f t="shared" si="28"/>
        <v>6</v>
      </c>
      <c r="C1489" s="10" t="s">
        <v>315</v>
      </c>
      <c r="D1489" s="10" t="s">
        <v>313</v>
      </c>
      <c r="E1489" s="10" t="s">
        <v>313</v>
      </c>
    </row>
    <row r="1490" spans="1:5" x14ac:dyDescent="0.35">
      <c r="A1490" s="3">
        <v>45319</v>
      </c>
      <c r="B1490" s="1">
        <f t="shared" si="28"/>
        <v>7</v>
      </c>
      <c r="C1490" s="10" t="s">
        <v>313</v>
      </c>
      <c r="D1490" s="10" t="s">
        <v>313</v>
      </c>
      <c r="E1490" s="10" t="s">
        <v>313</v>
      </c>
    </row>
    <row r="1491" spans="1:5" x14ac:dyDescent="0.35">
      <c r="A1491" s="3">
        <v>45320</v>
      </c>
      <c r="B1491" s="1">
        <f t="shared" si="28"/>
        <v>1</v>
      </c>
      <c r="C1491" s="10" t="s">
        <v>315</v>
      </c>
      <c r="D1491" s="10" t="s">
        <v>315</v>
      </c>
      <c r="E1491" s="10" t="s">
        <v>315</v>
      </c>
    </row>
    <row r="1492" spans="1:5" x14ac:dyDescent="0.35">
      <c r="A1492" s="3">
        <v>45321</v>
      </c>
      <c r="B1492" s="1">
        <f t="shared" si="28"/>
        <v>2</v>
      </c>
      <c r="C1492" s="10" t="s">
        <v>315</v>
      </c>
      <c r="D1492" s="10" t="s">
        <v>315</v>
      </c>
      <c r="E1492" s="10" t="s">
        <v>315</v>
      </c>
    </row>
    <row r="1493" spans="1:5" x14ac:dyDescent="0.35">
      <c r="A1493" s="3">
        <v>45322</v>
      </c>
      <c r="B1493" s="1">
        <f t="shared" si="28"/>
        <v>3</v>
      </c>
      <c r="C1493" s="10" t="s">
        <v>315</v>
      </c>
      <c r="D1493" s="10" t="s">
        <v>315</v>
      </c>
      <c r="E1493" s="10" t="s">
        <v>315</v>
      </c>
    </row>
    <row r="1494" spans="1:5" x14ac:dyDescent="0.35">
      <c r="A1494" s="3">
        <v>45323</v>
      </c>
      <c r="B1494" s="1">
        <f t="shared" si="28"/>
        <v>4</v>
      </c>
      <c r="C1494" s="10" t="s">
        <v>315</v>
      </c>
      <c r="D1494" s="10" t="s">
        <v>315</v>
      </c>
      <c r="E1494" s="10" t="s">
        <v>315</v>
      </c>
    </row>
    <row r="1495" spans="1:5" x14ac:dyDescent="0.35">
      <c r="A1495" s="3">
        <v>45324</v>
      </c>
      <c r="B1495" s="1">
        <f t="shared" si="28"/>
        <v>5</v>
      </c>
      <c r="C1495" s="10" t="s">
        <v>315</v>
      </c>
      <c r="D1495" s="10" t="s">
        <v>315</v>
      </c>
      <c r="E1495" s="10" t="s">
        <v>315</v>
      </c>
    </row>
    <row r="1496" spans="1:5" x14ac:dyDescent="0.35">
      <c r="A1496" s="3">
        <v>45325</v>
      </c>
      <c r="B1496" s="1">
        <f t="shared" si="28"/>
        <v>6</v>
      </c>
      <c r="C1496" s="10" t="s">
        <v>315</v>
      </c>
      <c r="D1496" s="10" t="s">
        <v>313</v>
      </c>
      <c r="E1496" s="10" t="s">
        <v>313</v>
      </c>
    </row>
    <row r="1497" spans="1:5" x14ac:dyDescent="0.35">
      <c r="A1497" s="3">
        <v>45326</v>
      </c>
      <c r="B1497" s="1">
        <f t="shared" si="28"/>
        <v>7</v>
      </c>
      <c r="C1497" s="10" t="s">
        <v>313</v>
      </c>
      <c r="D1497" s="10" t="s">
        <v>313</v>
      </c>
      <c r="E1497" s="10" t="s">
        <v>313</v>
      </c>
    </row>
    <row r="1498" spans="1:5" x14ac:dyDescent="0.35">
      <c r="A1498" s="3">
        <v>45327</v>
      </c>
      <c r="B1498" s="1">
        <f t="shared" si="28"/>
        <v>1</v>
      </c>
      <c r="C1498" s="10" t="s">
        <v>315</v>
      </c>
      <c r="D1498" s="10" t="s">
        <v>315</v>
      </c>
      <c r="E1498" s="10" t="s">
        <v>315</v>
      </c>
    </row>
    <row r="1499" spans="1:5" x14ac:dyDescent="0.35">
      <c r="A1499" s="3">
        <v>45328</v>
      </c>
      <c r="B1499" s="1">
        <f t="shared" si="28"/>
        <v>2</v>
      </c>
      <c r="C1499" s="10" t="s">
        <v>315</v>
      </c>
      <c r="D1499" s="10" t="s">
        <v>315</v>
      </c>
      <c r="E1499" s="10" t="s">
        <v>315</v>
      </c>
    </row>
    <row r="1500" spans="1:5" x14ac:dyDescent="0.35">
      <c r="A1500" s="3">
        <v>45329</v>
      </c>
      <c r="B1500" s="1">
        <f t="shared" si="28"/>
        <v>3</v>
      </c>
      <c r="C1500" s="10" t="s">
        <v>315</v>
      </c>
      <c r="D1500" s="10" t="s">
        <v>315</v>
      </c>
      <c r="E1500" s="10" t="s">
        <v>315</v>
      </c>
    </row>
    <row r="1501" spans="1:5" x14ac:dyDescent="0.35">
      <c r="A1501" s="3">
        <v>45330</v>
      </c>
      <c r="B1501" s="1">
        <f t="shared" si="28"/>
        <v>4</v>
      </c>
      <c r="C1501" s="10" t="s">
        <v>315</v>
      </c>
      <c r="D1501" s="10" t="s">
        <v>315</v>
      </c>
      <c r="E1501" s="10" t="s">
        <v>315</v>
      </c>
    </row>
    <row r="1502" spans="1:5" x14ac:dyDescent="0.35">
      <c r="A1502" s="3">
        <v>45331</v>
      </c>
      <c r="B1502" s="1">
        <f t="shared" si="28"/>
        <v>5</v>
      </c>
      <c r="C1502" s="10" t="s">
        <v>315</v>
      </c>
      <c r="D1502" s="10" t="s">
        <v>315</v>
      </c>
      <c r="E1502" s="10" t="s">
        <v>315</v>
      </c>
    </row>
    <row r="1503" spans="1:5" x14ac:dyDescent="0.35">
      <c r="A1503" s="3">
        <v>45332</v>
      </c>
      <c r="B1503" s="1">
        <f t="shared" si="28"/>
        <v>6</v>
      </c>
      <c r="C1503" s="10" t="s">
        <v>315</v>
      </c>
      <c r="D1503" s="10" t="s">
        <v>313</v>
      </c>
      <c r="E1503" s="10" t="s">
        <v>313</v>
      </c>
    </row>
    <row r="1504" spans="1:5" x14ac:dyDescent="0.35">
      <c r="A1504" s="3">
        <v>45333</v>
      </c>
      <c r="B1504" s="1">
        <f t="shared" ref="B1504:B1567" si="29">IF(A1504&gt;0,WEEKDAY(A1504,2),"")</f>
        <v>7</v>
      </c>
      <c r="C1504" s="10" t="s">
        <v>313</v>
      </c>
      <c r="D1504" s="10" t="s">
        <v>313</v>
      </c>
      <c r="E1504" s="10" t="s">
        <v>313</v>
      </c>
    </row>
    <row r="1505" spans="1:5" x14ac:dyDescent="0.35">
      <c r="A1505" s="3">
        <v>45334</v>
      </c>
      <c r="B1505" s="1">
        <f t="shared" si="29"/>
        <v>1</v>
      </c>
      <c r="C1505" s="10" t="s">
        <v>315</v>
      </c>
      <c r="D1505" s="10" t="s">
        <v>315</v>
      </c>
      <c r="E1505" s="10" t="s">
        <v>315</v>
      </c>
    </row>
    <row r="1506" spans="1:5" x14ac:dyDescent="0.35">
      <c r="A1506" s="3">
        <v>45335</v>
      </c>
      <c r="B1506" s="1">
        <f t="shared" si="29"/>
        <v>2</v>
      </c>
      <c r="C1506" s="10" t="s">
        <v>315</v>
      </c>
      <c r="D1506" s="10" t="s">
        <v>315</v>
      </c>
      <c r="E1506" s="10" t="s">
        <v>315</v>
      </c>
    </row>
    <row r="1507" spans="1:5" x14ac:dyDescent="0.35">
      <c r="A1507" s="3">
        <v>45336</v>
      </c>
      <c r="B1507" s="1">
        <f t="shared" si="29"/>
        <v>3</v>
      </c>
      <c r="C1507" s="10" t="s">
        <v>315</v>
      </c>
      <c r="D1507" s="10" t="s">
        <v>315</v>
      </c>
      <c r="E1507" s="10" t="s">
        <v>315</v>
      </c>
    </row>
    <row r="1508" spans="1:5" x14ac:dyDescent="0.35">
      <c r="A1508" s="3">
        <v>45337</v>
      </c>
      <c r="B1508" s="1">
        <f t="shared" si="29"/>
        <v>4</v>
      </c>
      <c r="C1508" s="10" t="s">
        <v>315</v>
      </c>
      <c r="D1508" s="10" t="s">
        <v>315</v>
      </c>
      <c r="E1508" s="10" t="s">
        <v>315</v>
      </c>
    </row>
    <row r="1509" spans="1:5" x14ac:dyDescent="0.35">
      <c r="A1509" s="3">
        <v>45338</v>
      </c>
      <c r="B1509" s="1">
        <f t="shared" si="29"/>
        <v>5</v>
      </c>
      <c r="C1509" s="10" t="s">
        <v>315</v>
      </c>
      <c r="D1509" s="10" t="s">
        <v>315</v>
      </c>
      <c r="E1509" s="10" t="s">
        <v>315</v>
      </c>
    </row>
    <row r="1510" spans="1:5" x14ac:dyDescent="0.35">
      <c r="A1510" s="3">
        <v>45339</v>
      </c>
      <c r="B1510" s="1">
        <f t="shared" si="29"/>
        <v>6</v>
      </c>
      <c r="C1510" s="10" t="s">
        <v>315</v>
      </c>
      <c r="D1510" s="10" t="s">
        <v>313</v>
      </c>
      <c r="E1510" s="10" t="s">
        <v>313</v>
      </c>
    </row>
    <row r="1511" spans="1:5" x14ac:dyDescent="0.35">
      <c r="A1511" s="3">
        <v>45340</v>
      </c>
      <c r="B1511" s="1">
        <f t="shared" si="29"/>
        <v>7</v>
      </c>
      <c r="C1511" s="10" t="s">
        <v>313</v>
      </c>
      <c r="D1511" s="10" t="s">
        <v>313</v>
      </c>
      <c r="E1511" s="10" t="s">
        <v>313</v>
      </c>
    </row>
    <row r="1512" spans="1:5" x14ac:dyDescent="0.35">
      <c r="A1512" s="3">
        <v>45341</v>
      </c>
      <c r="B1512" s="1">
        <f t="shared" si="29"/>
        <v>1</v>
      </c>
      <c r="C1512" s="10" t="s">
        <v>315</v>
      </c>
      <c r="D1512" s="10" t="s">
        <v>315</v>
      </c>
      <c r="E1512" s="10" t="s">
        <v>315</v>
      </c>
    </row>
    <row r="1513" spans="1:5" x14ac:dyDescent="0.35">
      <c r="A1513" s="3">
        <v>45342</v>
      </c>
      <c r="B1513" s="1">
        <f t="shared" si="29"/>
        <v>2</v>
      </c>
      <c r="C1513" s="10" t="s">
        <v>315</v>
      </c>
      <c r="D1513" s="10" t="s">
        <v>315</v>
      </c>
      <c r="E1513" s="10" t="s">
        <v>315</v>
      </c>
    </row>
    <row r="1514" spans="1:5" x14ac:dyDescent="0.35">
      <c r="A1514" s="3">
        <v>45343</v>
      </c>
      <c r="B1514" s="1">
        <f t="shared" si="29"/>
        <v>3</v>
      </c>
      <c r="C1514" s="10" t="s">
        <v>315</v>
      </c>
      <c r="D1514" s="10" t="s">
        <v>315</v>
      </c>
      <c r="E1514" s="10" t="s">
        <v>315</v>
      </c>
    </row>
    <row r="1515" spans="1:5" x14ac:dyDescent="0.35">
      <c r="A1515" s="3">
        <v>45344</v>
      </c>
      <c r="B1515" s="1">
        <f t="shared" si="29"/>
        <v>4</v>
      </c>
      <c r="C1515" s="10" t="s">
        <v>315</v>
      </c>
      <c r="D1515" s="10" t="s">
        <v>315</v>
      </c>
      <c r="E1515" s="10" t="s">
        <v>315</v>
      </c>
    </row>
    <row r="1516" spans="1:5" x14ac:dyDescent="0.35">
      <c r="A1516" s="3">
        <v>45345</v>
      </c>
      <c r="B1516" s="1">
        <f t="shared" si="29"/>
        <v>5</v>
      </c>
      <c r="C1516" s="10" t="s">
        <v>315</v>
      </c>
      <c r="D1516" s="10" t="s">
        <v>315</v>
      </c>
      <c r="E1516" s="10" t="s">
        <v>315</v>
      </c>
    </row>
    <row r="1517" spans="1:5" x14ac:dyDescent="0.35">
      <c r="A1517" s="3">
        <v>45346</v>
      </c>
      <c r="B1517" s="1">
        <f t="shared" si="29"/>
        <v>6</v>
      </c>
      <c r="C1517" s="10" t="s">
        <v>315</v>
      </c>
      <c r="D1517" s="10" t="s">
        <v>313</v>
      </c>
      <c r="E1517" s="10" t="s">
        <v>313</v>
      </c>
    </row>
    <row r="1518" spans="1:5" x14ac:dyDescent="0.35">
      <c r="A1518" s="3">
        <v>45347</v>
      </c>
      <c r="B1518" s="1">
        <f t="shared" si="29"/>
        <v>7</v>
      </c>
      <c r="C1518" s="10" t="s">
        <v>313</v>
      </c>
      <c r="D1518" s="10" t="s">
        <v>313</v>
      </c>
      <c r="E1518" s="10" t="s">
        <v>313</v>
      </c>
    </row>
    <row r="1519" spans="1:5" x14ac:dyDescent="0.35">
      <c r="A1519" s="3">
        <v>45348</v>
      </c>
      <c r="B1519" s="1">
        <f t="shared" si="29"/>
        <v>1</v>
      </c>
      <c r="C1519" s="10" t="s">
        <v>315</v>
      </c>
      <c r="D1519" s="10" t="s">
        <v>315</v>
      </c>
      <c r="E1519" s="10" t="s">
        <v>315</v>
      </c>
    </row>
    <row r="1520" spans="1:5" x14ac:dyDescent="0.35">
      <c r="A1520" s="3">
        <v>45349</v>
      </c>
      <c r="B1520" s="1">
        <f t="shared" si="29"/>
        <v>2</v>
      </c>
      <c r="C1520" s="10" t="s">
        <v>315</v>
      </c>
      <c r="D1520" s="10" t="s">
        <v>315</v>
      </c>
      <c r="E1520" s="10" t="s">
        <v>315</v>
      </c>
    </row>
    <row r="1521" spans="1:5" x14ac:dyDescent="0.35">
      <c r="A1521" s="3">
        <v>45350</v>
      </c>
      <c r="B1521" s="1">
        <f t="shared" si="29"/>
        <v>3</v>
      </c>
      <c r="C1521" s="10" t="s">
        <v>315</v>
      </c>
      <c r="D1521" s="10" t="s">
        <v>315</v>
      </c>
      <c r="E1521" s="10" t="s">
        <v>315</v>
      </c>
    </row>
    <row r="1522" spans="1:5" x14ac:dyDescent="0.35">
      <c r="A1522" s="3">
        <v>45351</v>
      </c>
      <c r="B1522" s="1">
        <f t="shared" si="29"/>
        <v>4</v>
      </c>
      <c r="C1522" s="10" t="s">
        <v>315</v>
      </c>
      <c r="D1522" s="10" t="s">
        <v>315</v>
      </c>
      <c r="E1522" s="10" t="s">
        <v>315</v>
      </c>
    </row>
    <row r="1523" spans="1:5" x14ac:dyDescent="0.35">
      <c r="A1523" s="3">
        <v>45352</v>
      </c>
      <c r="B1523" s="1">
        <f t="shared" si="29"/>
        <v>5</v>
      </c>
      <c r="C1523" s="10" t="s">
        <v>315</v>
      </c>
      <c r="D1523" s="10" t="s">
        <v>315</v>
      </c>
      <c r="E1523" s="10" t="s">
        <v>315</v>
      </c>
    </row>
    <row r="1524" spans="1:5" x14ac:dyDescent="0.35">
      <c r="A1524" s="3">
        <v>45353</v>
      </c>
      <c r="B1524" s="1">
        <f t="shared" si="29"/>
        <v>6</v>
      </c>
      <c r="C1524" s="10" t="s">
        <v>315</v>
      </c>
      <c r="D1524" s="10" t="s">
        <v>313</v>
      </c>
      <c r="E1524" s="10" t="s">
        <v>313</v>
      </c>
    </row>
    <row r="1525" spans="1:5" x14ac:dyDescent="0.35">
      <c r="A1525" s="3">
        <v>45354</v>
      </c>
      <c r="B1525" s="1">
        <f t="shared" si="29"/>
        <v>7</v>
      </c>
      <c r="C1525" s="10" t="s">
        <v>313</v>
      </c>
      <c r="D1525" s="10" t="s">
        <v>313</v>
      </c>
      <c r="E1525" s="10" t="s">
        <v>313</v>
      </c>
    </row>
    <row r="1526" spans="1:5" x14ac:dyDescent="0.35">
      <c r="A1526" s="3">
        <v>45355</v>
      </c>
      <c r="B1526" s="1">
        <f t="shared" si="29"/>
        <v>1</v>
      </c>
      <c r="C1526" s="10" t="s">
        <v>315</v>
      </c>
      <c r="D1526" s="10" t="s">
        <v>315</v>
      </c>
      <c r="E1526" s="10" t="s">
        <v>315</v>
      </c>
    </row>
    <row r="1527" spans="1:5" x14ac:dyDescent="0.35">
      <c r="A1527" s="3">
        <v>45356</v>
      </c>
      <c r="B1527" s="1">
        <f t="shared" si="29"/>
        <v>2</v>
      </c>
      <c r="C1527" s="10" t="s">
        <v>315</v>
      </c>
      <c r="D1527" s="10" t="s">
        <v>315</v>
      </c>
      <c r="E1527" s="10" t="s">
        <v>315</v>
      </c>
    </row>
    <row r="1528" spans="1:5" x14ac:dyDescent="0.35">
      <c r="A1528" s="3">
        <v>45357</v>
      </c>
      <c r="B1528" s="1">
        <f t="shared" si="29"/>
        <v>3</v>
      </c>
      <c r="C1528" s="10" t="s">
        <v>315</v>
      </c>
      <c r="D1528" s="10" t="s">
        <v>315</v>
      </c>
      <c r="E1528" s="10" t="s">
        <v>315</v>
      </c>
    </row>
    <row r="1529" spans="1:5" x14ac:dyDescent="0.35">
      <c r="A1529" s="3">
        <v>45358</v>
      </c>
      <c r="B1529" s="1">
        <f t="shared" si="29"/>
        <v>4</v>
      </c>
      <c r="C1529" s="10" t="s">
        <v>315</v>
      </c>
      <c r="D1529" s="10" t="s">
        <v>315</v>
      </c>
      <c r="E1529" s="10" t="s">
        <v>315</v>
      </c>
    </row>
    <row r="1530" spans="1:5" x14ac:dyDescent="0.35">
      <c r="A1530" s="3">
        <v>45359</v>
      </c>
      <c r="B1530" s="1">
        <f t="shared" si="29"/>
        <v>5</v>
      </c>
      <c r="C1530" s="10" t="s">
        <v>315</v>
      </c>
      <c r="D1530" s="10" t="s">
        <v>315</v>
      </c>
      <c r="E1530" s="10" t="s">
        <v>315</v>
      </c>
    </row>
    <row r="1531" spans="1:5" x14ac:dyDescent="0.35">
      <c r="A1531" s="3">
        <v>45360</v>
      </c>
      <c r="B1531" s="1">
        <f t="shared" si="29"/>
        <v>6</v>
      </c>
      <c r="C1531" s="10" t="s">
        <v>315</v>
      </c>
      <c r="D1531" s="10" t="s">
        <v>313</v>
      </c>
      <c r="E1531" s="10" t="s">
        <v>313</v>
      </c>
    </row>
    <row r="1532" spans="1:5" x14ac:dyDescent="0.35">
      <c r="A1532" s="3">
        <v>45361</v>
      </c>
      <c r="B1532" s="1">
        <f t="shared" si="29"/>
        <v>7</v>
      </c>
      <c r="C1532" s="10" t="s">
        <v>313</v>
      </c>
      <c r="D1532" s="10" t="s">
        <v>313</v>
      </c>
      <c r="E1532" s="10" t="s">
        <v>313</v>
      </c>
    </row>
    <row r="1533" spans="1:5" x14ac:dyDescent="0.35">
      <c r="A1533" s="3">
        <v>45362</v>
      </c>
      <c r="B1533" s="1">
        <f t="shared" si="29"/>
        <v>1</v>
      </c>
      <c r="C1533" s="10" t="s">
        <v>315</v>
      </c>
      <c r="D1533" s="10" t="s">
        <v>315</v>
      </c>
      <c r="E1533" s="10" t="s">
        <v>315</v>
      </c>
    </row>
    <row r="1534" spans="1:5" x14ac:dyDescent="0.35">
      <c r="A1534" s="3">
        <v>45363</v>
      </c>
      <c r="B1534" s="1">
        <f t="shared" si="29"/>
        <v>2</v>
      </c>
      <c r="C1534" s="10" t="s">
        <v>315</v>
      </c>
      <c r="D1534" s="10" t="s">
        <v>315</v>
      </c>
      <c r="E1534" s="10" t="s">
        <v>315</v>
      </c>
    </row>
    <row r="1535" spans="1:5" x14ac:dyDescent="0.35">
      <c r="A1535" s="3">
        <v>45364</v>
      </c>
      <c r="B1535" s="1">
        <f t="shared" si="29"/>
        <v>3</v>
      </c>
      <c r="C1535" s="10" t="s">
        <v>315</v>
      </c>
      <c r="D1535" s="10" t="s">
        <v>315</v>
      </c>
      <c r="E1535" s="10" t="s">
        <v>315</v>
      </c>
    </row>
    <row r="1536" spans="1:5" x14ac:dyDescent="0.35">
      <c r="A1536" s="3">
        <v>45365</v>
      </c>
      <c r="B1536" s="1">
        <f t="shared" si="29"/>
        <v>4</v>
      </c>
      <c r="C1536" s="10" t="s">
        <v>315</v>
      </c>
      <c r="D1536" s="10" t="s">
        <v>315</v>
      </c>
      <c r="E1536" s="10" t="s">
        <v>315</v>
      </c>
    </row>
    <row r="1537" spans="1:5" x14ac:dyDescent="0.35">
      <c r="A1537" s="3">
        <v>45366</v>
      </c>
      <c r="B1537" s="1">
        <f t="shared" si="29"/>
        <v>5</v>
      </c>
      <c r="C1537" s="10" t="s">
        <v>315</v>
      </c>
      <c r="D1537" s="10" t="s">
        <v>315</v>
      </c>
      <c r="E1537" s="10" t="s">
        <v>315</v>
      </c>
    </row>
    <row r="1538" spans="1:5" x14ac:dyDescent="0.35">
      <c r="A1538" s="3">
        <v>45367</v>
      </c>
      <c r="B1538" s="1">
        <f t="shared" si="29"/>
        <v>6</v>
      </c>
      <c r="C1538" s="10" t="s">
        <v>315</v>
      </c>
      <c r="D1538" s="10" t="s">
        <v>313</v>
      </c>
      <c r="E1538" s="10" t="s">
        <v>313</v>
      </c>
    </row>
    <row r="1539" spans="1:5" x14ac:dyDescent="0.35">
      <c r="A1539" s="3">
        <v>45368</v>
      </c>
      <c r="B1539" s="1">
        <f t="shared" si="29"/>
        <v>7</v>
      </c>
      <c r="C1539" s="10" t="s">
        <v>313</v>
      </c>
      <c r="D1539" s="10" t="s">
        <v>313</v>
      </c>
      <c r="E1539" s="10" t="s">
        <v>313</v>
      </c>
    </row>
    <row r="1540" spans="1:5" x14ac:dyDescent="0.35">
      <c r="A1540" s="3">
        <v>45369</v>
      </c>
      <c r="B1540" s="1">
        <f t="shared" si="29"/>
        <v>1</v>
      </c>
      <c r="C1540" s="10" t="s">
        <v>315</v>
      </c>
      <c r="D1540" s="10" t="s">
        <v>315</v>
      </c>
      <c r="E1540" s="10" t="s">
        <v>315</v>
      </c>
    </row>
    <row r="1541" spans="1:5" x14ac:dyDescent="0.35">
      <c r="A1541" s="3">
        <v>45370</v>
      </c>
      <c r="B1541" s="1">
        <f t="shared" si="29"/>
        <v>2</v>
      </c>
      <c r="C1541" s="10" t="s">
        <v>315</v>
      </c>
      <c r="D1541" s="10" t="s">
        <v>315</v>
      </c>
      <c r="E1541" s="10" t="s">
        <v>315</v>
      </c>
    </row>
    <row r="1542" spans="1:5" x14ac:dyDescent="0.35">
      <c r="A1542" s="3">
        <v>45371</v>
      </c>
      <c r="B1542" s="1">
        <f t="shared" si="29"/>
        <v>3</v>
      </c>
      <c r="C1542" s="10" t="s">
        <v>315</v>
      </c>
      <c r="D1542" s="10" t="s">
        <v>315</v>
      </c>
      <c r="E1542" s="10" t="s">
        <v>315</v>
      </c>
    </row>
    <row r="1543" spans="1:5" x14ac:dyDescent="0.35">
      <c r="A1543" s="3">
        <v>45372</v>
      </c>
      <c r="B1543" s="1">
        <f t="shared" si="29"/>
        <v>4</v>
      </c>
      <c r="C1543" s="10" t="s">
        <v>315</v>
      </c>
      <c r="D1543" s="10" t="s">
        <v>315</v>
      </c>
      <c r="E1543" s="10" t="s">
        <v>315</v>
      </c>
    </row>
    <row r="1544" spans="1:5" x14ac:dyDescent="0.35">
      <c r="A1544" s="3">
        <v>45373</v>
      </c>
      <c r="B1544" s="1">
        <f t="shared" si="29"/>
        <v>5</v>
      </c>
      <c r="C1544" s="10" t="s">
        <v>315</v>
      </c>
      <c r="D1544" s="10" t="s">
        <v>315</v>
      </c>
      <c r="E1544" s="10" t="s">
        <v>315</v>
      </c>
    </row>
    <row r="1545" spans="1:5" x14ac:dyDescent="0.35">
      <c r="A1545" s="3">
        <v>45374</v>
      </c>
      <c r="B1545" s="1">
        <f t="shared" si="29"/>
        <v>6</v>
      </c>
      <c r="C1545" s="10" t="s">
        <v>315</v>
      </c>
      <c r="D1545" s="10" t="s">
        <v>313</v>
      </c>
      <c r="E1545" s="10" t="s">
        <v>313</v>
      </c>
    </row>
    <row r="1546" spans="1:5" x14ac:dyDescent="0.35">
      <c r="A1546" s="3">
        <v>45375</v>
      </c>
      <c r="B1546" s="1">
        <f t="shared" si="29"/>
        <v>7</v>
      </c>
      <c r="C1546" s="10" t="s">
        <v>313</v>
      </c>
      <c r="D1546" s="10" t="s">
        <v>313</v>
      </c>
      <c r="E1546" s="10" t="s">
        <v>313</v>
      </c>
    </row>
    <row r="1547" spans="1:5" x14ac:dyDescent="0.35">
      <c r="A1547" s="3">
        <v>45376</v>
      </c>
      <c r="B1547" s="1">
        <f t="shared" si="29"/>
        <v>1</v>
      </c>
      <c r="C1547" s="10" t="s">
        <v>315</v>
      </c>
      <c r="D1547" s="10" t="s">
        <v>315</v>
      </c>
      <c r="E1547" s="10" t="s">
        <v>315</v>
      </c>
    </row>
    <row r="1548" spans="1:5" x14ac:dyDescent="0.35">
      <c r="A1548" s="3">
        <v>45377</v>
      </c>
      <c r="B1548" s="1">
        <f t="shared" si="29"/>
        <v>2</v>
      </c>
      <c r="C1548" s="10" t="s">
        <v>315</v>
      </c>
      <c r="D1548" s="10" t="s">
        <v>315</v>
      </c>
      <c r="E1548" s="10" t="s">
        <v>315</v>
      </c>
    </row>
    <row r="1549" spans="1:5" x14ac:dyDescent="0.35">
      <c r="A1549" s="3">
        <v>45378</v>
      </c>
      <c r="B1549" s="1">
        <f t="shared" si="29"/>
        <v>3</v>
      </c>
      <c r="C1549" s="10" t="s">
        <v>315</v>
      </c>
      <c r="D1549" s="10" t="s">
        <v>315</v>
      </c>
      <c r="E1549" s="10" t="s">
        <v>315</v>
      </c>
    </row>
    <row r="1550" spans="1:5" x14ac:dyDescent="0.35">
      <c r="A1550" s="3">
        <v>45379</v>
      </c>
      <c r="B1550" s="1">
        <f t="shared" si="29"/>
        <v>4</v>
      </c>
      <c r="C1550" s="10" t="s">
        <v>315</v>
      </c>
      <c r="D1550" s="10" t="s">
        <v>315</v>
      </c>
      <c r="E1550" s="10" t="s">
        <v>315</v>
      </c>
    </row>
    <row r="1551" spans="1:5" x14ac:dyDescent="0.35">
      <c r="A1551" s="3">
        <v>45380</v>
      </c>
      <c r="B1551" s="1">
        <f t="shared" si="29"/>
        <v>5</v>
      </c>
      <c r="C1551" s="10" t="s">
        <v>315</v>
      </c>
      <c r="D1551" s="10" t="s">
        <v>315</v>
      </c>
      <c r="E1551" s="10" t="s">
        <v>315</v>
      </c>
    </row>
    <row r="1552" spans="1:5" x14ac:dyDescent="0.35">
      <c r="A1552" s="3">
        <v>45381</v>
      </c>
      <c r="B1552" s="1">
        <f t="shared" si="29"/>
        <v>6</v>
      </c>
      <c r="C1552" s="10" t="s">
        <v>315</v>
      </c>
      <c r="D1552" s="10" t="s">
        <v>315</v>
      </c>
      <c r="E1552" s="10" t="s">
        <v>315</v>
      </c>
    </row>
    <row r="1553" spans="1:5" x14ac:dyDescent="0.35">
      <c r="A1553" s="3">
        <v>45382</v>
      </c>
      <c r="B1553" s="1">
        <f t="shared" si="29"/>
        <v>7</v>
      </c>
      <c r="C1553" s="10" t="s">
        <v>315</v>
      </c>
      <c r="D1553" s="10" t="s">
        <v>315</v>
      </c>
      <c r="E1553" s="10" t="s">
        <v>315</v>
      </c>
    </row>
    <row r="1554" spans="1:5" x14ac:dyDescent="0.35">
      <c r="A1554" s="3">
        <v>45383</v>
      </c>
      <c r="B1554" s="1">
        <f t="shared" si="29"/>
        <v>1</v>
      </c>
      <c r="C1554" s="10" t="s">
        <v>315</v>
      </c>
      <c r="D1554" s="10" t="s">
        <v>315</v>
      </c>
      <c r="E1554" s="10" t="s">
        <v>315</v>
      </c>
    </row>
    <row r="1555" spans="1:5" x14ac:dyDescent="0.35">
      <c r="A1555" s="3">
        <v>45384</v>
      </c>
      <c r="B1555" s="1">
        <f t="shared" si="29"/>
        <v>2</v>
      </c>
      <c r="C1555" s="10" t="s">
        <v>315</v>
      </c>
      <c r="D1555" s="10" t="s">
        <v>315</v>
      </c>
      <c r="E1555" s="10" t="s">
        <v>315</v>
      </c>
    </row>
    <row r="1556" spans="1:5" x14ac:dyDescent="0.35">
      <c r="A1556" s="3">
        <v>45385</v>
      </c>
      <c r="B1556" s="1">
        <f t="shared" si="29"/>
        <v>3</v>
      </c>
      <c r="C1556" s="10" t="s">
        <v>315</v>
      </c>
      <c r="D1556" s="10" t="s">
        <v>315</v>
      </c>
      <c r="E1556" s="10" t="s">
        <v>315</v>
      </c>
    </row>
    <row r="1557" spans="1:5" x14ac:dyDescent="0.35">
      <c r="A1557" s="3">
        <v>45386</v>
      </c>
      <c r="B1557" s="1">
        <f t="shared" si="29"/>
        <v>4</v>
      </c>
      <c r="C1557" s="10" t="s">
        <v>315</v>
      </c>
      <c r="D1557" s="10" t="s">
        <v>315</v>
      </c>
      <c r="E1557" s="10" t="s">
        <v>315</v>
      </c>
    </row>
    <row r="1558" spans="1:5" x14ac:dyDescent="0.35">
      <c r="A1558" s="3">
        <v>45387</v>
      </c>
      <c r="B1558" s="1">
        <f t="shared" si="29"/>
        <v>5</v>
      </c>
      <c r="C1558" s="10" t="s">
        <v>315</v>
      </c>
      <c r="D1558" s="10" t="s">
        <v>315</v>
      </c>
      <c r="E1558" s="10" t="s">
        <v>315</v>
      </c>
    </row>
    <row r="1559" spans="1:5" x14ac:dyDescent="0.35">
      <c r="A1559" s="3">
        <v>45388</v>
      </c>
      <c r="B1559" s="1">
        <f t="shared" si="29"/>
        <v>6</v>
      </c>
      <c r="C1559" s="10" t="s">
        <v>315</v>
      </c>
      <c r="D1559" s="10" t="s">
        <v>315</v>
      </c>
      <c r="E1559" s="10" t="s">
        <v>315</v>
      </c>
    </row>
    <row r="1560" spans="1:5" x14ac:dyDescent="0.35">
      <c r="A1560" s="3">
        <v>45389</v>
      </c>
      <c r="B1560" s="1">
        <f t="shared" si="29"/>
        <v>7</v>
      </c>
      <c r="C1560" s="10" t="s">
        <v>315</v>
      </c>
      <c r="D1560" s="10" t="s">
        <v>315</v>
      </c>
      <c r="E1560" s="10" t="s">
        <v>315</v>
      </c>
    </row>
    <row r="1561" spans="1:5" x14ac:dyDescent="0.35">
      <c r="A1561" s="3">
        <v>45390</v>
      </c>
      <c r="B1561" s="1">
        <f t="shared" si="29"/>
        <v>1</v>
      </c>
      <c r="C1561" s="10" t="s">
        <v>315</v>
      </c>
      <c r="D1561" s="10" t="s">
        <v>315</v>
      </c>
      <c r="E1561" s="10" t="s">
        <v>315</v>
      </c>
    </row>
    <row r="1562" spans="1:5" x14ac:dyDescent="0.35">
      <c r="A1562" s="3">
        <v>45391</v>
      </c>
      <c r="B1562" s="1">
        <f t="shared" si="29"/>
        <v>2</v>
      </c>
      <c r="C1562" s="10" t="s">
        <v>315</v>
      </c>
      <c r="D1562" s="10" t="s">
        <v>315</v>
      </c>
      <c r="E1562" s="10" t="s">
        <v>315</v>
      </c>
    </row>
    <row r="1563" spans="1:5" x14ac:dyDescent="0.35">
      <c r="A1563" s="3">
        <v>45392</v>
      </c>
      <c r="B1563" s="1">
        <f t="shared" si="29"/>
        <v>3</v>
      </c>
      <c r="C1563" s="10" t="s">
        <v>315</v>
      </c>
      <c r="D1563" s="10" t="s">
        <v>315</v>
      </c>
      <c r="E1563" s="10" t="s">
        <v>315</v>
      </c>
    </row>
    <row r="1564" spans="1:5" x14ac:dyDescent="0.35">
      <c r="A1564" s="3">
        <v>45393</v>
      </c>
      <c r="B1564" s="1">
        <f t="shared" si="29"/>
        <v>4</v>
      </c>
      <c r="C1564" s="10" t="s">
        <v>315</v>
      </c>
      <c r="D1564" s="10" t="s">
        <v>315</v>
      </c>
      <c r="E1564" s="10" t="s">
        <v>315</v>
      </c>
    </row>
    <row r="1565" spans="1:5" x14ac:dyDescent="0.35">
      <c r="A1565" s="3">
        <v>45394</v>
      </c>
      <c r="B1565" s="1">
        <f t="shared" si="29"/>
        <v>5</v>
      </c>
      <c r="C1565" s="10" t="s">
        <v>315</v>
      </c>
      <c r="D1565" s="10" t="s">
        <v>315</v>
      </c>
      <c r="E1565" s="10" t="s">
        <v>315</v>
      </c>
    </row>
    <row r="1566" spans="1:5" x14ac:dyDescent="0.35">
      <c r="A1566" s="3">
        <v>45395</v>
      </c>
      <c r="B1566" s="1">
        <f t="shared" si="29"/>
        <v>6</v>
      </c>
      <c r="C1566" s="10" t="s">
        <v>315</v>
      </c>
      <c r="D1566" s="10" t="s">
        <v>315</v>
      </c>
      <c r="E1566" s="10" t="s">
        <v>315</v>
      </c>
    </row>
    <row r="1567" spans="1:5" x14ac:dyDescent="0.35">
      <c r="A1567" s="3">
        <v>45396</v>
      </c>
      <c r="B1567" s="1">
        <f t="shared" si="29"/>
        <v>7</v>
      </c>
      <c r="C1567" s="10" t="s">
        <v>315</v>
      </c>
      <c r="D1567" s="10" t="s">
        <v>315</v>
      </c>
      <c r="E1567" s="10" t="s">
        <v>315</v>
      </c>
    </row>
    <row r="1568" spans="1:5" x14ac:dyDescent="0.35">
      <c r="A1568" s="3">
        <v>45397</v>
      </c>
      <c r="B1568" s="1">
        <f t="shared" ref="B1568:B1631" si="30">IF(A1568&gt;0,WEEKDAY(A1568,2),"")</f>
        <v>1</v>
      </c>
      <c r="C1568" s="10" t="s">
        <v>315</v>
      </c>
      <c r="D1568" s="10" t="s">
        <v>315</v>
      </c>
      <c r="E1568" s="10" t="s">
        <v>315</v>
      </c>
    </row>
    <row r="1569" spans="1:5" x14ac:dyDescent="0.35">
      <c r="A1569" s="3">
        <v>45398</v>
      </c>
      <c r="B1569" s="1">
        <f t="shared" si="30"/>
        <v>2</v>
      </c>
      <c r="C1569" s="10" t="s">
        <v>315</v>
      </c>
      <c r="D1569" s="10" t="s">
        <v>315</v>
      </c>
      <c r="E1569" s="10" t="s">
        <v>315</v>
      </c>
    </row>
    <row r="1570" spans="1:5" x14ac:dyDescent="0.35">
      <c r="A1570" s="3">
        <v>45399</v>
      </c>
      <c r="B1570" s="1">
        <f t="shared" si="30"/>
        <v>3</v>
      </c>
      <c r="C1570" s="10" t="s">
        <v>315</v>
      </c>
      <c r="D1570" s="10" t="s">
        <v>315</v>
      </c>
      <c r="E1570" s="10" t="s">
        <v>315</v>
      </c>
    </row>
    <row r="1571" spans="1:5" x14ac:dyDescent="0.35">
      <c r="A1571" s="3">
        <v>45400</v>
      </c>
      <c r="B1571" s="1">
        <f t="shared" si="30"/>
        <v>4</v>
      </c>
      <c r="C1571" s="10" t="s">
        <v>315</v>
      </c>
      <c r="D1571" s="10" t="s">
        <v>315</v>
      </c>
      <c r="E1571" s="10" t="s">
        <v>315</v>
      </c>
    </row>
    <row r="1572" spans="1:5" x14ac:dyDescent="0.35">
      <c r="A1572" s="3">
        <v>45401</v>
      </c>
      <c r="B1572" s="1">
        <f t="shared" si="30"/>
        <v>5</v>
      </c>
      <c r="C1572" s="10" t="s">
        <v>315</v>
      </c>
      <c r="D1572" s="10" t="s">
        <v>315</v>
      </c>
      <c r="E1572" s="10" t="s">
        <v>315</v>
      </c>
    </row>
    <row r="1573" spans="1:5" x14ac:dyDescent="0.35">
      <c r="A1573" s="3">
        <v>45402</v>
      </c>
      <c r="B1573" s="1">
        <f t="shared" si="30"/>
        <v>6</v>
      </c>
      <c r="C1573" s="10" t="s">
        <v>315</v>
      </c>
      <c r="D1573" s="10" t="s">
        <v>315</v>
      </c>
      <c r="E1573" s="10" t="s">
        <v>315</v>
      </c>
    </row>
    <row r="1574" spans="1:5" x14ac:dyDescent="0.35">
      <c r="A1574" s="3">
        <v>45403</v>
      </c>
      <c r="B1574" s="1">
        <f t="shared" si="30"/>
        <v>7</v>
      </c>
      <c r="C1574" s="10" t="s">
        <v>315</v>
      </c>
      <c r="D1574" s="10" t="s">
        <v>315</v>
      </c>
      <c r="E1574" s="10" t="s">
        <v>315</v>
      </c>
    </row>
    <row r="1575" spans="1:5" x14ac:dyDescent="0.35">
      <c r="A1575" s="3">
        <v>45404</v>
      </c>
      <c r="B1575" s="1">
        <f t="shared" si="30"/>
        <v>1</v>
      </c>
      <c r="C1575" s="10" t="s">
        <v>315</v>
      </c>
      <c r="D1575" s="10" t="s">
        <v>315</v>
      </c>
      <c r="E1575" s="10" t="s">
        <v>315</v>
      </c>
    </row>
    <row r="1576" spans="1:5" x14ac:dyDescent="0.35">
      <c r="A1576" s="3">
        <v>45405</v>
      </c>
      <c r="B1576" s="1">
        <f t="shared" si="30"/>
        <v>2</v>
      </c>
      <c r="C1576" s="10" t="s">
        <v>315</v>
      </c>
      <c r="D1576" s="10" t="s">
        <v>315</v>
      </c>
      <c r="E1576" s="10" t="s">
        <v>315</v>
      </c>
    </row>
    <row r="1577" spans="1:5" x14ac:dyDescent="0.35">
      <c r="A1577" s="3">
        <v>45406</v>
      </c>
      <c r="B1577" s="1">
        <f t="shared" si="30"/>
        <v>3</v>
      </c>
      <c r="C1577" s="10" t="s">
        <v>315</v>
      </c>
      <c r="D1577" s="10" t="s">
        <v>315</v>
      </c>
      <c r="E1577" s="10" t="s">
        <v>315</v>
      </c>
    </row>
    <row r="1578" spans="1:5" x14ac:dyDescent="0.35">
      <c r="A1578" s="3">
        <v>45407</v>
      </c>
      <c r="B1578" s="1">
        <f t="shared" si="30"/>
        <v>4</v>
      </c>
      <c r="C1578" s="10" t="s">
        <v>315</v>
      </c>
      <c r="D1578" s="10" t="s">
        <v>315</v>
      </c>
      <c r="E1578" s="10" t="s">
        <v>315</v>
      </c>
    </row>
    <row r="1579" spans="1:5" x14ac:dyDescent="0.35">
      <c r="A1579" s="3">
        <v>45408</v>
      </c>
      <c r="B1579" s="1">
        <f t="shared" si="30"/>
        <v>5</v>
      </c>
      <c r="C1579" s="10" t="s">
        <v>315</v>
      </c>
      <c r="D1579" s="10" t="s">
        <v>315</v>
      </c>
      <c r="E1579" s="10" t="s">
        <v>315</v>
      </c>
    </row>
    <row r="1580" spans="1:5" x14ac:dyDescent="0.35">
      <c r="A1580" s="3">
        <v>45409</v>
      </c>
      <c r="B1580" s="1">
        <f t="shared" si="30"/>
        <v>6</v>
      </c>
      <c r="C1580" s="10" t="s">
        <v>315</v>
      </c>
      <c r="D1580" s="10" t="s">
        <v>315</v>
      </c>
      <c r="E1580" s="10" t="s">
        <v>315</v>
      </c>
    </row>
    <row r="1581" spans="1:5" x14ac:dyDescent="0.35">
      <c r="A1581" s="3">
        <v>45410</v>
      </c>
      <c r="B1581" s="1">
        <f t="shared" si="30"/>
        <v>7</v>
      </c>
      <c r="C1581" s="10" t="s">
        <v>315</v>
      </c>
      <c r="D1581" s="10" t="s">
        <v>315</v>
      </c>
      <c r="E1581" s="10" t="s">
        <v>315</v>
      </c>
    </row>
    <row r="1582" spans="1:5" x14ac:dyDescent="0.35">
      <c r="A1582" s="3">
        <v>45411</v>
      </c>
      <c r="B1582" s="1">
        <f t="shared" si="30"/>
        <v>1</v>
      </c>
      <c r="C1582" s="10" t="s">
        <v>315</v>
      </c>
      <c r="D1582" s="10" t="s">
        <v>315</v>
      </c>
      <c r="E1582" s="10" t="s">
        <v>315</v>
      </c>
    </row>
    <row r="1583" spans="1:5" x14ac:dyDescent="0.35">
      <c r="A1583" s="3">
        <v>45412</v>
      </c>
      <c r="B1583" s="1">
        <f t="shared" si="30"/>
        <v>2</v>
      </c>
      <c r="C1583" s="10" t="s">
        <v>315</v>
      </c>
      <c r="D1583" s="10" t="s">
        <v>315</v>
      </c>
      <c r="E1583" s="10" t="s">
        <v>315</v>
      </c>
    </row>
    <row r="1584" spans="1:5" x14ac:dyDescent="0.35">
      <c r="A1584" s="3">
        <v>45413</v>
      </c>
      <c r="B1584" s="1">
        <f t="shared" si="30"/>
        <v>3</v>
      </c>
      <c r="C1584" s="10" t="s">
        <v>315</v>
      </c>
      <c r="D1584" s="10" t="s">
        <v>315</v>
      </c>
      <c r="E1584" s="10" t="s">
        <v>315</v>
      </c>
    </row>
    <row r="1585" spans="1:5" x14ac:dyDescent="0.35">
      <c r="A1585" s="3">
        <v>45414</v>
      </c>
      <c r="B1585" s="1">
        <f t="shared" si="30"/>
        <v>4</v>
      </c>
      <c r="C1585" s="10" t="s">
        <v>315</v>
      </c>
      <c r="D1585" s="10" t="s">
        <v>315</v>
      </c>
      <c r="E1585" s="10" t="s">
        <v>315</v>
      </c>
    </row>
    <row r="1586" spans="1:5" x14ac:dyDescent="0.35">
      <c r="A1586" s="3">
        <v>45415</v>
      </c>
      <c r="B1586" s="1">
        <f t="shared" si="30"/>
        <v>5</v>
      </c>
      <c r="C1586" s="10" t="s">
        <v>315</v>
      </c>
      <c r="D1586" s="10" t="s">
        <v>315</v>
      </c>
      <c r="E1586" s="10" t="s">
        <v>315</v>
      </c>
    </row>
    <row r="1587" spans="1:5" x14ac:dyDescent="0.35">
      <c r="A1587" s="3">
        <v>45416</v>
      </c>
      <c r="B1587" s="1">
        <f t="shared" si="30"/>
        <v>6</v>
      </c>
      <c r="C1587" s="10" t="s">
        <v>315</v>
      </c>
      <c r="D1587" s="10" t="s">
        <v>315</v>
      </c>
      <c r="E1587" s="10" t="s">
        <v>315</v>
      </c>
    </row>
    <row r="1588" spans="1:5" x14ac:dyDescent="0.35">
      <c r="A1588" s="3">
        <v>45417</v>
      </c>
      <c r="B1588" s="1">
        <f t="shared" si="30"/>
        <v>7</v>
      </c>
      <c r="C1588" s="10" t="s">
        <v>315</v>
      </c>
      <c r="D1588" s="10" t="s">
        <v>315</v>
      </c>
      <c r="E1588" s="10" t="s">
        <v>315</v>
      </c>
    </row>
    <row r="1589" spans="1:5" x14ac:dyDescent="0.35">
      <c r="A1589" s="3">
        <v>45418</v>
      </c>
      <c r="B1589" s="1">
        <f t="shared" si="30"/>
        <v>1</v>
      </c>
      <c r="C1589" s="10" t="s">
        <v>315</v>
      </c>
      <c r="D1589" s="10" t="s">
        <v>315</v>
      </c>
      <c r="E1589" s="10" t="s">
        <v>315</v>
      </c>
    </row>
    <row r="1590" spans="1:5" x14ac:dyDescent="0.35">
      <c r="A1590" s="3">
        <v>45419</v>
      </c>
      <c r="B1590" s="1">
        <f t="shared" si="30"/>
        <v>2</v>
      </c>
      <c r="C1590" s="10" t="s">
        <v>315</v>
      </c>
      <c r="D1590" s="10" t="s">
        <v>315</v>
      </c>
      <c r="E1590" s="10" t="s">
        <v>315</v>
      </c>
    </row>
    <row r="1591" spans="1:5" x14ac:dyDescent="0.35">
      <c r="A1591" s="3">
        <v>45420</v>
      </c>
      <c r="B1591" s="1">
        <f t="shared" si="30"/>
        <v>3</v>
      </c>
      <c r="C1591" s="10" t="s">
        <v>315</v>
      </c>
      <c r="D1591" s="10" t="s">
        <v>315</v>
      </c>
      <c r="E1591" s="10" t="s">
        <v>315</v>
      </c>
    </row>
    <row r="1592" spans="1:5" x14ac:dyDescent="0.35">
      <c r="A1592" s="3">
        <v>45421</v>
      </c>
      <c r="B1592" s="1">
        <f t="shared" si="30"/>
        <v>4</v>
      </c>
      <c r="C1592" s="10" t="s">
        <v>315</v>
      </c>
      <c r="D1592" s="10" t="s">
        <v>315</v>
      </c>
      <c r="E1592" s="10" t="s">
        <v>315</v>
      </c>
    </row>
    <row r="1593" spans="1:5" x14ac:dyDescent="0.35">
      <c r="A1593" s="3">
        <v>45422</v>
      </c>
      <c r="B1593" s="1">
        <f t="shared" si="30"/>
        <v>5</v>
      </c>
      <c r="C1593" s="10" t="s">
        <v>315</v>
      </c>
      <c r="D1593" s="10" t="s">
        <v>315</v>
      </c>
      <c r="E1593" s="10" t="s">
        <v>315</v>
      </c>
    </row>
    <row r="1594" spans="1:5" x14ac:dyDescent="0.35">
      <c r="A1594" s="3">
        <v>45423</v>
      </c>
      <c r="B1594" s="1">
        <f t="shared" si="30"/>
        <v>6</v>
      </c>
      <c r="C1594" s="10" t="s">
        <v>315</v>
      </c>
      <c r="D1594" s="10" t="s">
        <v>315</v>
      </c>
      <c r="E1594" s="10" t="s">
        <v>315</v>
      </c>
    </row>
    <row r="1595" spans="1:5" x14ac:dyDescent="0.35">
      <c r="A1595" s="3">
        <v>45424</v>
      </c>
      <c r="B1595" s="1">
        <f t="shared" si="30"/>
        <v>7</v>
      </c>
      <c r="C1595" s="10" t="s">
        <v>315</v>
      </c>
      <c r="D1595" s="10" t="s">
        <v>315</v>
      </c>
      <c r="E1595" s="10" t="s">
        <v>315</v>
      </c>
    </row>
    <row r="1596" spans="1:5" x14ac:dyDescent="0.35">
      <c r="A1596" s="3">
        <v>45425</v>
      </c>
      <c r="B1596" s="1">
        <f t="shared" si="30"/>
        <v>1</v>
      </c>
      <c r="C1596" s="10" t="s">
        <v>315</v>
      </c>
      <c r="D1596" s="10" t="s">
        <v>315</v>
      </c>
      <c r="E1596" s="10" t="s">
        <v>315</v>
      </c>
    </row>
    <row r="1597" spans="1:5" x14ac:dyDescent="0.35">
      <c r="A1597" s="3">
        <v>45426</v>
      </c>
      <c r="B1597" s="1">
        <f t="shared" si="30"/>
        <v>2</v>
      </c>
      <c r="C1597" s="10" t="s">
        <v>315</v>
      </c>
      <c r="D1597" s="10" t="s">
        <v>315</v>
      </c>
      <c r="E1597" s="10" t="s">
        <v>315</v>
      </c>
    </row>
    <row r="1598" spans="1:5" x14ac:dyDescent="0.35">
      <c r="A1598" s="3">
        <v>45427</v>
      </c>
      <c r="B1598" s="1">
        <f t="shared" si="30"/>
        <v>3</v>
      </c>
      <c r="C1598" s="10" t="s">
        <v>315</v>
      </c>
      <c r="D1598" s="10" t="s">
        <v>315</v>
      </c>
      <c r="E1598" s="10" t="s">
        <v>315</v>
      </c>
    </row>
    <row r="1599" spans="1:5" x14ac:dyDescent="0.35">
      <c r="A1599" s="3">
        <v>45428</v>
      </c>
      <c r="B1599" s="1">
        <f t="shared" si="30"/>
        <v>4</v>
      </c>
      <c r="C1599" s="10" t="s">
        <v>315</v>
      </c>
      <c r="D1599" s="10" t="s">
        <v>315</v>
      </c>
      <c r="E1599" s="10" t="s">
        <v>315</v>
      </c>
    </row>
    <row r="1600" spans="1:5" x14ac:dyDescent="0.35">
      <c r="A1600" s="3">
        <v>45429</v>
      </c>
      <c r="B1600" s="1">
        <f t="shared" si="30"/>
        <v>5</v>
      </c>
      <c r="C1600" s="10" t="s">
        <v>315</v>
      </c>
      <c r="D1600" s="10" t="s">
        <v>315</v>
      </c>
      <c r="E1600" s="10" t="s">
        <v>315</v>
      </c>
    </row>
    <row r="1601" spans="1:5" x14ac:dyDescent="0.35">
      <c r="A1601" s="3">
        <v>45430</v>
      </c>
      <c r="B1601" s="1">
        <f t="shared" si="30"/>
        <v>6</v>
      </c>
      <c r="C1601" s="10" t="s">
        <v>315</v>
      </c>
      <c r="D1601" s="10" t="s">
        <v>315</v>
      </c>
      <c r="E1601" s="10" t="s">
        <v>315</v>
      </c>
    </row>
    <row r="1602" spans="1:5" x14ac:dyDescent="0.35">
      <c r="A1602" s="3">
        <v>45431</v>
      </c>
      <c r="B1602" s="1">
        <f t="shared" si="30"/>
        <v>7</v>
      </c>
      <c r="C1602" s="10" t="s">
        <v>315</v>
      </c>
      <c r="D1602" s="10" t="s">
        <v>315</v>
      </c>
      <c r="E1602" s="10" t="s">
        <v>315</v>
      </c>
    </row>
    <row r="1603" spans="1:5" x14ac:dyDescent="0.35">
      <c r="A1603" s="3">
        <v>45432</v>
      </c>
      <c r="B1603" s="1">
        <f t="shared" si="30"/>
        <v>1</v>
      </c>
      <c r="C1603" s="10" t="s">
        <v>315</v>
      </c>
      <c r="D1603" s="10" t="s">
        <v>315</v>
      </c>
      <c r="E1603" s="10" t="s">
        <v>315</v>
      </c>
    </row>
    <row r="1604" spans="1:5" x14ac:dyDescent="0.35">
      <c r="A1604" s="3">
        <v>45433</v>
      </c>
      <c r="B1604" s="1">
        <f t="shared" si="30"/>
        <v>2</v>
      </c>
      <c r="C1604" s="10" t="s">
        <v>315</v>
      </c>
      <c r="D1604" s="10" t="s">
        <v>315</v>
      </c>
      <c r="E1604" s="10" t="s">
        <v>315</v>
      </c>
    </row>
    <row r="1605" spans="1:5" x14ac:dyDescent="0.35">
      <c r="A1605" s="3">
        <v>45434</v>
      </c>
      <c r="B1605" s="1">
        <f t="shared" si="30"/>
        <v>3</v>
      </c>
      <c r="C1605" s="10" t="s">
        <v>315</v>
      </c>
      <c r="D1605" s="10" t="s">
        <v>315</v>
      </c>
      <c r="E1605" s="10" t="s">
        <v>315</v>
      </c>
    </row>
    <row r="1606" spans="1:5" x14ac:dyDescent="0.35">
      <c r="A1606" s="3">
        <v>45435</v>
      </c>
      <c r="B1606" s="1">
        <f t="shared" si="30"/>
        <v>4</v>
      </c>
      <c r="C1606" s="10" t="s">
        <v>315</v>
      </c>
      <c r="D1606" s="10" t="s">
        <v>315</v>
      </c>
      <c r="E1606" s="10" t="s">
        <v>315</v>
      </c>
    </row>
    <row r="1607" spans="1:5" x14ac:dyDescent="0.35">
      <c r="A1607" s="3">
        <v>45436</v>
      </c>
      <c r="B1607" s="1">
        <f t="shared" si="30"/>
        <v>5</v>
      </c>
      <c r="C1607" s="10" t="s">
        <v>315</v>
      </c>
      <c r="D1607" s="10" t="s">
        <v>315</v>
      </c>
      <c r="E1607" s="10" t="s">
        <v>315</v>
      </c>
    </row>
    <row r="1608" spans="1:5" x14ac:dyDescent="0.35">
      <c r="A1608" s="3">
        <v>45437</v>
      </c>
      <c r="B1608" s="1">
        <f t="shared" si="30"/>
        <v>6</v>
      </c>
      <c r="C1608" s="10" t="s">
        <v>315</v>
      </c>
      <c r="D1608" s="10" t="s">
        <v>315</v>
      </c>
      <c r="E1608" s="10" t="s">
        <v>315</v>
      </c>
    </row>
    <row r="1609" spans="1:5" x14ac:dyDescent="0.35">
      <c r="A1609" s="3">
        <v>45438</v>
      </c>
      <c r="B1609" s="1">
        <f t="shared" si="30"/>
        <v>7</v>
      </c>
      <c r="C1609" s="10" t="s">
        <v>315</v>
      </c>
      <c r="D1609" s="10" t="s">
        <v>315</v>
      </c>
      <c r="E1609" s="10" t="s">
        <v>315</v>
      </c>
    </row>
    <row r="1610" spans="1:5" x14ac:dyDescent="0.35">
      <c r="A1610" s="3">
        <v>45439</v>
      </c>
      <c r="B1610" s="1">
        <f t="shared" si="30"/>
        <v>1</v>
      </c>
      <c r="C1610" s="10" t="s">
        <v>315</v>
      </c>
      <c r="D1610" s="10" t="s">
        <v>315</v>
      </c>
      <c r="E1610" s="10" t="s">
        <v>315</v>
      </c>
    </row>
    <row r="1611" spans="1:5" x14ac:dyDescent="0.35">
      <c r="A1611" s="3">
        <v>45440</v>
      </c>
      <c r="B1611" s="1">
        <f t="shared" si="30"/>
        <v>2</v>
      </c>
      <c r="C1611" s="10" t="s">
        <v>315</v>
      </c>
      <c r="D1611" s="10" t="s">
        <v>315</v>
      </c>
      <c r="E1611" s="10" t="s">
        <v>315</v>
      </c>
    </row>
    <row r="1612" spans="1:5" x14ac:dyDescent="0.35">
      <c r="A1612" s="3">
        <v>45441</v>
      </c>
      <c r="B1612" s="1">
        <f t="shared" si="30"/>
        <v>3</v>
      </c>
      <c r="C1612" s="10" t="s">
        <v>315</v>
      </c>
      <c r="D1612" s="10" t="s">
        <v>315</v>
      </c>
      <c r="E1612" s="10" t="s">
        <v>315</v>
      </c>
    </row>
    <row r="1613" spans="1:5" x14ac:dyDescent="0.35">
      <c r="A1613" s="3">
        <v>45442</v>
      </c>
      <c r="B1613" s="1">
        <f t="shared" si="30"/>
        <v>4</v>
      </c>
      <c r="C1613" s="10" t="s">
        <v>315</v>
      </c>
      <c r="D1613" s="10" t="s">
        <v>315</v>
      </c>
      <c r="E1613" s="10" t="s">
        <v>315</v>
      </c>
    </row>
    <row r="1614" spans="1:5" x14ac:dyDescent="0.35">
      <c r="A1614" s="3">
        <v>45443</v>
      </c>
      <c r="B1614" s="1">
        <f t="shared" si="30"/>
        <v>5</v>
      </c>
      <c r="C1614" s="10" t="s">
        <v>315</v>
      </c>
      <c r="D1614" s="10" t="s">
        <v>315</v>
      </c>
      <c r="E1614" s="10" t="s">
        <v>315</v>
      </c>
    </row>
    <row r="1615" spans="1:5" x14ac:dyDescent="0.35">
      <c r="A1615" s="3">
        <v>45444</v>
      </c>
      <c r="B1615" s="1">
        <f t="shared" si="30"/>
        <v>6</v>
      </c>
      <c r="C1615" s="10" t="s">
        <v>315</v>
      </c>
      <c r="D1615" s="10" t="s">
        <v>315</v>
      </c>
      <c r="E1615" s="10" t="s">
        <v>315</v>
      </c>
    </row>
    <row r="1616" spans="1:5" x14ac:dyDescent="0.35">
      <c r="A1616" s="3">
        <v>45445</v>
      </c>
      <c r="B1616" s="1">
        <f t="shared" si="30"/>
        <v>7</v>
      </c>
      <c r="C1616" s="10" t="s">
        <v>315</v>
      </c>
      <c r="D1616" s="10" t="s">
        <v>315</v>
      </c>
      <c r="E1616" s="10" t="s">
        <v>315</v>
      </c>
    </row>
    <row r="1617" spans="1:5" x14ac:dyDescent="0.35">
      <c r="A1617" s="3">
        <v>45446</v>
      </c>
      <c r="B1617" s="1">
        <f t="shared" si="30"/>
        <v>1</v>
      </c>
      <c r="C1617" s="10" t="s">
        <v>315</v>
      </c>
      <c r="D1617" s="10" t="s">
        <v>315</v>
      </c>
      <c r="E1617" s="10" t="s">
        <v>315</v>
      </c>
    </row>
    <row r="1618" spans="1:5" x14ac:dyDescent="0.35">
      <c r="A1618" s="3">
        <v>45447</v>
      </c>
      <c r="B1618" s="1">
        <f t="shared" si="30"/>
        <v>2</v>
      </c>
      <c r="C1618" s="10" t="s">
        <v>315</v>
      </c>
      <c r="D1618" s="10" t="s">
        <v>315</v>
      </c>
      <c r="E1618" s="10" t="s">
        <v>315</v>
      </c>
    </row>
    <row r="1619" spans="1:5" x14ac:dyDescent="0.35">
      <c r="A1619" s="3">
        <v>45448</v>
      </c>
      <c r="B1619" s="1">
        <f t="shared" si="30"/>
        <v>3</v>
      </c>
      <c r="C1619" s="10" t="s">
        <v>315</v>
      </c>
      <c r="D1619" s="10" t="s">
        <v>315</v>
      </c>
      <c r="E1619" s="10" t="s">
        <v>315</v>
      </c>
    </row>
    <row r="1620" spans="1:5" x14ac:dyDescent="0.35">
      <c r="A1620" s="3">
        <v>45449</v>
      </c>
      <c r="B1620" s="1">
        <f t="shared" si="30"/>
        <v>4</v>
      </c>
      <c r="C1620" s="10" t="s">
        <v>315</v>
      </c>
      <c r="D1620" s="10" t="s">
        <v>315</v>
      </c>
      <c r="E1620" s="10" t="s">
        <v>315</v>
      </c>
    </row>
    <row r="1621" spans="1:5" x14ac:dyDescent="0.35">
      <c r="A1621" s="3">
        <v>45450</v>
      </c>
      <c r="B1621" s="1">
        <f t="shared" si="30"/>
        <v>5</v>
      </c>
      <c r="C1621" s="10" t="s">
        <v>315</v>
      </c>
      <c r="D1621" s="10" t="s">
        <v>315</v>
      </c>
      <c r="E1621" s="10" t="s">
        <v>315</v>
      </c>
    </row>
    <row r="1622" spans="1:5" x14ac:dyDescent="0.35">
      <c r="A1622" s="3">
        <v>45451</v>
      </c>
      <c r="B1622" s="1">
        <f t="shared" si="30"/>
        <v>6</v>
      </c>
      <c r="C1622" s="10" t="s">
        <v>315</v>
      </c>
      <c r="D1622" s="10" t="s">
        <v>315</v>
      </c>
      <c r="E1622" s="10" t="s">
        <v>315</v>
      </c>
    </row>
    <row r="1623" spans="1:5" x14ac:dyDescent="0.35">
      <c r="A1623" s="3">
        <v>45452</v>
      </c>
      <c r="B1623" s="1">
        <f t="shared" si="30"/>
        <v>7</v>
      </c>
      <c r="C1623" s="10" t="s">
        <v>315</v>
      </c>
      <c r="D1623" s="10" t="s">
        <v>315</v>
      </c>
      <c r="E1623" s="10" t="s">
        <v>315</v>
      </c>
    </row>
    <row r="1624" spans="1:5" x14ac:dyDescent="0.35">
      <c r="A1624" s="3">
        <v>45453</v>
      </c>
      <c r="B1624" s="1">
        <f t="shared" si="30"/>
        <v>1</v>
      </c>
      <c r="C1624" s="10" t="s">
        <v>315</v>
      </c>
      <c r="D1624" s="10" t="s">
        <v>315</v>
      </c>
      <c r="E1624" s="10" t="s">
        <v>315</v>
      </c>
    </row>
    <row r="1625" spans="1:5" x14ac:dyDescent="0.35">
      <c r="A1625" s="3">
        <v>45454</v>
      </c>
      <c r="B1625" s="1">
        <f t="shared" si="30"/>
        <v>2</v>
      </c>
      <c r="C1625" s="10" t="s">
        <v>315</v>
      </c>
      <c r="D1625" s="10" t="s">
        <v>315</v>
      </c>
      <c r="E1625" s="10" t="s">
        <v>315</v>
      </c>
    </row>
    <row r="1626" spans="1:5" x14ac:dyDescent="0.35">
      <c r="A1626" s="3">
        <v>45455</v>
      </c>
      <c r="B1626" s="1">
        <f t="shared" si="30"/>
        <v>3</v>
      </c>
      <c r="C1626" s="10" t="s">
        <v>315</v>
      </c>
      <c r="D1626" s="10" t="s">
        <v>315</v>
      </c>
      <c r="E1626" s="10" t="s">
        <v>315</v>
      </c>
    </row>
    <row r="1627" spans="1:5" x14ac:dyDescent="0.35">
      <c r="A1627" s="3">
        <v>45456</v>
      </c>
      <c r="B1627" s="1">
        <f t="shared" si="30"/>
        <v>4</v>
      </c>
      <c r="C1627" s="10" t="s">
        <v>315</v>
      </c>
      <c r="D1627" s="10" t="s">
        <v>315</v>
      </c>
      <c r="E1627" s="10" t="s">
        <v>315</v>
      </c>
    </row>
    <row r="1628" spans="1:5" x14ac:dyDescent="0.35">
      <c r="A1628" s="3">
        <v>45457</v>
      </c>
      <c r="B1628" s="1">
        <f t="shared" si="30"/>
        <v>5</v>
      </c>
      <c r="C1628" s="10" t="s">
        <v>315</v>
      </c>
      <c r="D1628" s="10" t="s">
        <v>315</v>
      </c>
      <c r="E1628" s="10" t="s">
        <v>315</v>
      </c>
    </row>
    <row r="1629" spans="1:5" x14ac:dyDescent="0.35">
      <c r="A1629" s="3">
        <v>45458</v>
      </c>
      <c r="B1629" s="1">
        <f t="shared" si="30"/>
        <v>6</v>
      </c>
      <c r="C1629" s="10" t="s">
        <v>315</v>
      </c>
      <c r="D1629" s="10" t="s">
        <v>315</v>
      </c>
      <c r="E1629" s="10" t="s">
        <v>315</v>
      </c>
    </row>
    <row r="1630" spans="1:5" x14ac:dyDescent="0.35">
      <c r="A1630" s="3">
        <v>45459</v>
      </c>
      <c r="B1630" s="1">
        <f t="shared" si="30"/>
        <v>7</v>
      </c>
      <c r="C1630" s="10" t="s">
        <v>315</v>
      </c>
      <c r="D1630" s="10" t="s">
        <v>315</v>
      </c>
      <c r="E1630" s="10" t="s">
        <v>315</v>
      </c>
    </row>
    <row r="1631" spans="1:5" x14ac:dyDescent="0.35">
      <c r="A1631" s="3">
        <v>45460</v>
      </c>
      <c r="B1631" s="1">
        <f t="shared" si="30"/>
        <v>1</v>
      </c>
      <c r="C1631" s="10" t="s">
        <v>315</v>
      </c>
      <c r="D1631" s="10" t="s">
        <v>315</v>
      </c>
      <c r="E1631" s="10" t="s">
        <v>315</v>
      </c>
    </row>
    <row r="1632" spans="1:5" x14ac:dyDescent="0.35">
      <c r="A1632" s="3">
        <v>45461</v>
      </c>
      <c r="B1632" s="1">
        <f t="shared" ref="B1632:B1695" si="31">IF(A1632&gt;0,WEEKDAY(A1632,2),"")</f>
        <v>2</v>
      </c>
      <c r="C1632" s="10" t="s">
        <v>315</v>
      </c>
      <c r="D1632" s="10" t="s">
        <v>315</v>
      </c>
      <c r="E1632" s="10" t="s">
        <v>315</v>
      </c>
    </row>
    <row r="1633" spans="1:5" x14ac:dyDescent="0.35">
      <c r="A1633" s="3">
        <v>45462</v>
      </c>
      <c r="B1633" s="1">
        <f t="shared" si="31"/>
        <v>3</v>
      </c>
      <c r="C1633" s="10" t="s">
        <v>315</v>
      </c>
      <c r="D1633" s="10" t="s">
        <v>315</v>
      </c>
      <c r="E1633" s="10" t="s">
        <v>315</v>
      </c>
    </row>
    <row r="1634" spans="1:5" x14ac:dyDescent="0.35">
      <c r="A1634" s="3">
        <v>45463</v>
      </c>
      <c r="B1634" s="1">
        <f t="shared" si="31"/>
        <v>4</v>
      </c>
      <c r="C1634" s="10" t="s">
        <v>315</v>
      </c>
      <c r="D1634" s="10" t="s">
        <v>315</v>
      </c>
      <c r="E1634" s="10" t="s">
        <v>315</v>
      </c>
    </row>
    <row r="1635" spans="1:5" x14ac:dyDescent="0.35">
      <c r="A1635" s="3">
        <v>45464</v>
      </c>
      <c r="B1635" s="1">
        <f t="shared" si="31"/>
        <v>5</v>
      </c>
      <c r="C1635" s="10" t="s">
        <v>315</v>
      </c>
      <c r="D1635" s="10" t="s">
        <v>315</v>
      </c>
      <c r="E1635" s="10" t="s">
        <v>315</v>
      </c>
    </row>
    <row r="1636" spans="1:5" x14ac:dyDescent="0.35">
      <c r="A1636" s="3">
        <v>45465</v>
      </c>
      <c r="B1636" s="1">
        <f t="shared" si="31"/>
        <v>6</v>
      </c>
      <c r="C1636" s="10" t="s">
        <v>315</v>
      </c>
      <c r="D1636" s="10" t="s">
        <v>315</v>
      </c>
      <c r="E1636" s="10" t="s">
        <v>315</v>
      </c>
    </row>
    <row r="1637" spans="1:5" x14ac:dyDescent="0.35">
      <c r="A1637" s="3">
        <v>45466</v>
      </c>
      <c r="B1637" s="1">
        <f t="shared" si="31"/>
        <v>7</v>
      </c>
      <c r="C1637" s="10" t="s">
        <v>315</v>
      </c>
      <c r="D1637" s="10" t="s">
        <v>315</v>
      </c>
      <c r="E1637" s="10" t="s">
        <v>315</v>
      </c>
    </row>
    <row r="1638" spans="1:5" x14ac:dyDescent="0.35">
      <c r="A1638" s="3">
        <v>45467</v>
      </c>
      <c r="B1638" s="1">
        <f t="shared" si="31"/>
        <v>1</v>
      </c>
      <c r="C1638" s="10" t="s">
        <v>315</v>
      </c>
      <c r="D1638" s="10" t="s">
        <v>315</v>
      </c>
      <c r="E1638" s="10" t="s">
        <v>315</v>
      </c>
    </row>
    <row r="1639" spans="1:5" x14ac:dyDescent="0.35">
      <c r="A1639" s="3">
        <v>45468</v>
      </c>
      <c r="B1639" s="1">
        <f t="shared" si="31"/>
        <v>2</v>
      </c>
      <c r="C1639" s="10" t="s">
        <v>315</v>
      </c>
      <c r="D1639" s="10" t="s">
        <v>315</v>
      </c>
      <c r="E1639" s="10" t="s">
        <v>315</v>
      </c>
    </row>
    <row r="1640" spans="1:5" x14ac:dyDescent="0.35">
      <c r="A1640" s="3">
        <v>45469</v>
      </c>
      <c r="B1640" s="1">
        <f t="shared" si="31"/>
        <v>3</v>
      </c>
      <c r="C1640" s="10" t="s">
        <v>315</v>
      </c>
      <c r="D1640" s="10" t="s">
        <v>315</v>
      </c>
      <c r="E1640" s="10" t="s">
        <v>315</v>
      </c>
    </row>
    <row r="1641" spans="1:5" x14ac:dyDescent="0.35">
      <c r="A1641" s="3">
        <v>45470</v>
      </c>
      <c r="B1641" s="1">
        <f t="shared" si="31"/>
        <v>4</v>
      </c>
      <c r="C1641" s="10" t="s">
        <v>315</v>
      </c>
      <c r="D1641" s="10" t="s">
        <v>315</v>
      </c>
      <c r="E1641" s="10" t="s">
        <v>315</v>
      </c>
    </row>
    <row r="1642" spans="1:5" x14ac:dyDescent="0.35">
      <c r="A1642" s="3">
        <v>45471</v>
      </c>
      <c r="B1642" s="1">
        <f t="shared" si="31"/>
        <v>5</v>
      </c>
      <c r="C1642" s="10" t="s">
        <v>315</v>
      </c>
      <c r="D1642" s="10" t="s">
        <v>315</v>
      </c>
      <c r="E1642" s="10" t="s">
        <v>315</v>
      </c>
    </row>
    <row r="1643" spans="1:5" x14ac:dyDescent="0.35">
      <c r="A1643" s="3">
        <v>45472</v>
      </c>
      <c r="B1643" s="1">
        <f t="shared" si="31"/>
        <v>6</v>
      </c>
      <c r="C1643" s="10" t="s">
        <v>315</v>
      </c>
      <c r="D1643" s="10" t="s">
        <v>315</v>
      </c>
      <c r="E1643" s="10" t="s">
        <v>315</v>
      </c>
    </row>
    <row r="1644" spans="1:5" x14ac:dyDescent="0.35">
      <c r="A1644" s="3">
        <v>45473</v>
      </c>
      <c r="B1644" s="1">
        <f t="shared" si="31"/>
        <v>7</v>
      </c>
      <c r="C1644" s="10" t="s">
        <v>315</v>
      </c>
      <c r="D1644" s="10" t="s">
        <v>315</v>
      </c>
      <c r="E1644" s="10" t="s">
        <v>315</v>
      </c>
    </row>
    <row r="1645" spans="1:5" x14ac:dyDescent="0.35">
      <c r="A1645" s="3">
        <v>45474</v>
      </c>
      <c r="B1645" s="1">
        <f t="shared" si="31"/>
        <v>1</v>
      </c>
      <c r="C1645" s="10" t="s">
        <v>315</v>
      </c>
      <c r="D1645" s="10" t="s">
        <v>315</v>
      </c>
      <c r="E1645" s="10" t="s">
        <v>315</v>
      </c>
    </row>
    <row r="1646" spans="1:5" x14ac:dyDescent="0.35">
      <c r="A1646" s="3">
        <v>45475</v>
      </c>
      <c r="B1646" s="1">
        <f t="shared" si="31"/>
        <v>2</v>
      </c>
      <c r="C1646" s="10" t="s">
        <v>315</v>
      </c>
      <c r="D1646" s="10" t="s">
        <v>315</v>
      </c>
      <c r="E1646" s="10" t="s">
        <v>315</v>
      </c>
    </row>
    <row r="1647" spans="1:5" x14ac:dyDescent="0.35">
      <c r="A1647" s="3">
        <v>45476</v>
      </c>
      <c r="B1647" s="1">
        <f t="shared" si="31"/>
        <v>3</v>
      </c>
      <c r="C1647" s="10" t="s">
        <v>315</v>
      </c>
      <c r="D1647" s="10" t="s">
        <v>315</v>
      </c>
      <c r="E1647" s="10" t="s">
        <v>315</v>
      </c>
    </row>
    <row r="1648" spans="1:5" x14ac:dyDescent="0.35">
      <c r="A1648" s="3">
        <v>45477</v>
      </c>
      <c r="B1648" s="1">
        <f t="shared" si="31"/>
        <v>4</v>
      </c>
      <c r="C1648" s="10" t="s">
        <v>315</v>
      </c>
      <c r="D1648" s="10" t="s">
        <v>315</v>
      </c>
      <c r="E1648" s="10" t="s">
        <v>315</v>
      </c>
    </row>
    <row r="1649" spans="1:5" x14ac:dyDescent="0.35">
      <c r="A1649" s="3">
        <v>45478</v>
      </c>
      <c r="B1649" s="1">
        <f t="shared" si="31"/>
        <v>5</v>
      </c>
      <c r="C1649" s="10" t="s">
        <v>315</v>
      </c>
      <c r="D1649" s="10" t="s">
        <v>315</v>
      </c>
      <c r="E1649" s="10" t="s">
        <v>315</v>
      </c>
    </row>
    <row r="1650" spans="1:5" x14ac:dyDescent="0.35">
      <c r="A1650" s="3">
        <v>45479</v>
      </c>
      <c r="B1650" s="1">
        <f t="shared" si="31"/>
        <v>6</v>
      </c>
      <c r="C1650" s="10" t="s">
        <v>315</v>
      </c>
      <c r="D1650" s="10" t="s">
        <v>315</v>
      </c>
      <c r="E1650" s="10" t="s">
        <v>315</v>
      </c>
    </row>
    <row r="1651" spans="1:5" x14ac:dyDescent="0.35">
      <c r="A1651" s="3">
        <v>45480</v>
      </c>
      <c r="B1651" s="1">
        <f t="shared" si="31"/>
        <v>7</v>
      </c>
      <c r="C1651" s="10" t="s">
        <v>315</v>
      </c>
      <c r="D1651" s="10" t="s">
        <v>315</v>
      </c>
      <c r="E1651" s="10" t="s">
        <v>315</v>
      </c>
    </row>
    <row r="1652" spans="1:5" x14ac:dyDescent="0.35">
      <c r="A1652" s="3">
        <v>45481</v>
      </c>
      <c r="B1652" s="1">
        <f t="shared" si="31"/>
        <v>1</v>
      </c>
      <c r="C1652" s="10" t="s">
        <v>315</v>
      </c>
      <c r="D1652" s="10" t="s">
        <v>315</v>
      </c>
      <c r="E1652" s="10" t="s">
        <v>315</v>
      </c>
    </row>
    <row r="1653" spans="1:5" x14ac:dyDescent="0.35">
      <c r="A1653" s="3">
        <v>45482</v>
      </c>
      <c r="B1653" s="1">
        <f t="shared" si="31"/>
        <v>2</v>
      </c>
      <c r="C1653" s="10" t="s">
        <v>315</v>
      </c>
      <c r="D1653" s="10" t="s">
        <v>315</v>
      </c>
      <c r="E1653" s="10" t="s">
        <v>315</v>
      </c>
    </row>
    <row r="1654" spans="1:5" x14ac:dyDescent="0.35">
      <c r="A1654" s="3">
        <v>45483</v>
      </c>
      <c r="B1654" s="1">
        <f t="shared" si="31"/>
        <v>3</v>
      </c>
      <c r="C1654" s="10" t="s">
        <v>315</v>
      </c>
      <c r="D1654" s="10" t="s">
        <v>315</v>
      </c>
      <c r="E1654" s="10" t="s">
        <v>315</v>
      </c>
    </row>
    <row r="1655" spans="1:5" x14ac:dyDescent="0.35">
      <c r="A1655" s="3">
        <v>45484</v>
      </c>
      <c r="B1655" s="1">
        <f t="shared" si="31"/>
        <v>4</v>
      </c>
      <c r="C1655" s="10" t="s">
        <v>315</v>
      </c>
      <c r="D1655" s="10" t="s">
        <v>315</v>
      </c>
      <c r="E1655" s="10" t="s">
        <v>315</v>
      </c>
    </row>
    <row r="1656" spans="1:5" x14ac:dyDescent="0.35">
      <c r="A1656" s="3">
        <v>45485</v>
      </c>
      <c r="B1656" s="1">
        <f t="shared" si="31"/>
        <v>5</v>
      </c>
      <c r="C1656" s="10" t="s">
        <v>315</v>
      </c>
      <c r="D1656" s="10" t="s">
        <v>315</v>
      </c>
      <c r="E1656" s="10" t="s">
        <v>315</v>
      </c>
    </row>
    <row r="1657" spans="1:5" x14ac:dyDescent="0.35">
      <c r="A1657" s="3">
        <v>45486</v>
      </c>
      <c r="B1657" s="1">
        <f t="shared" si="31"/>
        <v>6</v>
      </c>
      <c r="C1657" s="10" t="s">
        <v>315</v>
      </c>
      <c r="D1657" s="10" t="s">
        <v>315</v>
      </c>
      <c r="E1657" s="10" t="s">
        <v>315</v>
      </c>
    </row>
    <row r="1658" spans="1:5" x14ac:dyDescent="0.35">
      <c r="A1658" s="3">
        <v>45487</v>
      </c>
      <c r="B1658" s="1">
        <f t="shared" si="31"/>
        <v>7</v>
      </c>
      <c r="C1658" s="10" t="s">
        <v>315</v>
      </c>
      <c r="D1658" s="10" t="s">
        <v>315</v>
      </c>
      <c r="E1658" s="10" t="s">
        <v>315</v>
      </c>
    </row>
    <row r="1659" spans="1:5" x14ac:dyDescent="0.35">
      <c r="A1659" s="3">
        <v>45488</v>
      </c>
      <c r="B1659" s="1">
        <f t="shared" si="31"/>
        <v>1</v>
      </c>
      <c r="C1659" s="10" t="s">
        <v>315</v>
      </c>
      <c r="D1659" s="10" t="s">
        <v>315</v>
      </c>
      <c r="E1659" s="10" t="s">
        <v>315</v>
      </c>
    </row>
    <row r="1660" spans="1:5" x14ac:dyDescent="0.35">
      <c r="A1660" s="3">
        <v>45489</v>
      </c>
      <c r="B1660" s="1">
        <f t="shared" si="31"/>
        <v>2</v>
      </c>
      <c r="C1660" s="10" t="s">
        <v>315</v>
      </c>
      <c r="D1660" s="10" t="s">
        <v>315</v>
      </c>
      <c r="E1660" s="10" t="s">
        <v>315</v>
      </c>
    </row>
    <row r="1661" spans="1:5" x14ac:dyDescent="0.35">
      <c r="A1661" s="3">
        <v>45490</v>
      </c>
      <c r="B1661" s="1">
        <f t="shared" si="31"/>
        <v>3</v>
      </c>
      <c r="C1661" s="10" t="s">
        <v>315</v>
      </c>
      <c r="D1661" s="10" t="s">
        <v>315</v>
      </c>
      <c r="E1661" s="10" t="s">
        <v>315</v>
      </c>
    </row>
    <row r="1662" spans="1:5" x14ac:dyDescent="0.35">
      <c r="A1662" s="3">
        <v>45491</v>
      </c>
      <c r="B1662" s="1">
        <f t="shared" si="31"/>
        <v>4</v>
      </c>
      <c r="C1662" s="10" t="s">
        <v>315</v>
      </c>
      <c r="D1662" s="10" t="s">
        <v>315</v>
      </c>
      <c r="E1662" s="10" t="s">
        <v>315</v>
      </c>
    </row>
    <row r="1663" spans="1:5" x14ac:dyDescent="0.35">
      <c r="A1663" s="3">
        <v>45492</v>
      </c>
      <c r="B1663" s="1">
        <f t="shared" si="31"/>
        <v>5</v>
      </c>
      <c r="C1663" s="10" t="s">
        <v>315</v>
      </c>
      <c r="D1663" s="10" t="s">
        <v>315</v>
      </c>
      <c r="E1663" s="10" t="s">
        <v>315</v>
      </c>
    </row>
    <row r="1664" spans="1:5" x14ac:dyDescent="0.35">
      <c r="A1664" s="3">
        <v>45493</v>
      </c>
      <c r="B1664" s="1">
        <f t="shared" si="31"/>
        <v>6</v>
      </c>
      <c r="C1664" s="10" t="s">
        <v>315</v>
      </c>
      <c r="D1664" s="10" t="s">
        <v>315</v>
      </c>
      <c r="E1664" s="10" t="s">
        <v>315</v>
      </c>
    </row>
    <row r="1665" spans="1:5" x14ac:dyDescent="0.35">
      <c r="A1665" s="3">
        <v>45494</v>
      </c>
      <c r="B1665" s="1">
        <f t="shared" si="31"/>
        <v>7</v>
      </c>
      <c r="C1665" s="10" t="s">
        <v>315</v>
      </c>
      <c r="D1665" s="10" t="s">
        <v>315</v>
      </c>
      <c r="E1665" s="10" t="s">
        <v>315</v>
      </c>
    </row>
    <row r="1666" spans="1:5" x14ac:dyDescent="0.35">
      <c r="A1666" s="3">
        <v>45495</v>
      </c>
      <c r="B1666" s="1">
        <f t="shared" si="31"/>
        <v>1</v>
      </c>
      <c r="C1666" s="10" t="s">
        <v>315</v>
      </c>
      <c r="D1666" s="10" t="s">
        <v>315</v>
      </c>
      <c r="E1666" s="10" t="s">
        <v>315</v>
      </c>
    </row>
    <row r="1667" spans="1:5" x14ac:dyDescent="0.35">
      <c r="A1667" s="3">
        <v>45496</v>
      </c>
      <c r="B1667" s="1">
        <f t="shared" si="31"/>
        <v>2</v>
      </c>
      <c r="C1667" s="10" t="s">
        <v>315</v>
      </c>
      <c r="D1667" s="10" t="s">
        <v>315</v>
      </c>
      <c r="E1667" s="10" t="s">
        <v>315</v>
      </c>
    </row>
    <row r="1668" spans="1:5" x14ac:dyDescent="0.35">
      <c r="A1668" s="3">
        <v>45497</v>
      </c>
      <c r="B1668" s="1">
        <f t="shared" si="31"/>
        <v>3</v>
      </c>
      <c r="C1668" s="10" t="s">
        <v>315</v>
      </c>
      <c r="D1668" s="10" t="s">
        <v>315</v>
      </c>
      <c r="E1668" s="10" t="s">
        <v>315</v>
      </c>
    </row>
    <row r="1669" spans="1:5" x14ac:dyDescent="0.35">
      <c r="A1669" s="3">
        <v>45498</v>
      </c>
      <c r="B1669" s="1">
        <f t="shared" si="31"/>
        <v>4</v>
      </c>
      <c r="C1669" s="10" t="s">
        <v>315</v>
      </c>
      <c r="D1669" s="10" t="s">
        <v>315</v>
      </c>
      <c r="E1669" s="10" t="s">
        <v>315</v>
      </c>
    </row>
    <row r="1670" spans="1:5" x14ac:dyDescent="0.35">
      <c r="A1670" s="3">
        <v>45499</v>
      </c>
      <c r="B1670" s="1">
        <f t="shared" si="31"/>
        <v>5</v>
      </c>
      <c r="C1670" s="10" t="s">
        <v>315</v>
      </c>
      <c r="D1670" s="10" t="s">
        <v>315</v>
      </c>
      <c r="E1670" s="10" t="s">
        <v>315</v>
      </c>
    </row>
    <row r="1671" spans="1:5" x14ac:dyDescent="0.35">
      <c r="A1671" s="3">
        <v>45500</v>
      </c>
      <c r="B1671" s="1">
        <f t="shared" si="31"/>
        <v>6</v>
      </c>
      <c r="C1671" s="10" t="s">
        <v>315</v>
      </c>
      <c r="D1671" s="10" t="s">
        <v>313</v>
      </c>
      <c r="E1671" s="10" t="s">
        <v>313</v>
      </c>
    </row>
    <row r="1672" spans="1:5" x14ac:dyDescent="0.35">
      <c r="A1672" s="3">
        <v>45501</v>
      </c>
      <c r="B1672" s="1">
        <f t="shared" si="31"/>
        <v>7</v>
      </c>
      <c r="C1672" s="10" t="s">
        <v>313</v>
      </c>
      <c r="D1672" s="10" t="s">
        <v>313</v>
      </c>
      <c r="E1672" s="10" t="s">
        <v>313</v>
      </c>
    </row>
    <row r="1673" spans="1:5" x14ac:dyDescent="0.35">
      <c r="A1673" s="3">
        <v>45502</v>
      </c>
      <c r="B1673" s="1">
        <f t="shared" si="31"/>
        <v>1</v>
      </c>
      <c r="C1673" s="10" t="s">
        <v>315</v>
      </c>
      <c r="D1673" s="10" t="s">
        <v>315</v>
      </c>
      <c r="E1673" s="10" t="s">
        <v>315</v>
      </c>
    </row>
    <row r="1674" spans="1:5" x14ac:dyDescent="0.35">
      <c r="A1674" s="3">
        <v>45503</v>
      </c>
      <c r="B1674" s="1">
        <f t="shared" si="31"/>
        <v>2</v>
      </c>
      <c r="C1674" s="10" t="s">
        <v>315</v>
      </c>
      <c r="D1674" s="10" t="s">
        <v>315</v>
      </c>
      <c r="E1674" s="10" t="s">
        <v>315</v>
      </c>
    </row>
    <row r="1675" spans="1:5" x14ac:dyDescent="0.35">
      <c r="A1675" s="3">
        <v>45504</v>
      </c>
      <c r="B1675" s="1">
        <f t="shared" si="31"/>
        <v>3</v>
      </c>
      <c r="C1675" s="10" t="s">
        <v>315</v>
      </c>
      <c r="D1675" s="10" t="s">
        <v>315</v>
      </c>
      <c r="E1675" s="10" t="s">
        <v>315</v>
      </c>
    </row>
    <row r="1676" spans="1:5" x14ac:dyDescent="0.35">
      <c r="A1676" s="3">
        <v>45505</v>
      </c>
      <c r="B1676" s="1">
        <f t="shared" si="31"/>
        <v>4</v>
      </c>
      <c r="C1676" s="10" t="s">
        <v>315</v>
      </c>
      <c r="D1676" s="10" t="s">
        <v>315</v>
      </c>
      <c r="E1676" s="10" t="s">
        <v>315</v>
      </c>
    </row>
    <row r="1677" spans="1:5" x14ac:dyDescent="0.35">
      <c r="A1677" s="3">
        <v>45506</v>
      </c>
      <c r="B1677" s="1">
        <f t="shared" si="31"/>
        <v>5</v>
      </c>
      <c r="C1677" s="10" t="s">
        <v>315</v>
      </c>
      <c r="D1677" s="10" t="s">
        <v>315</v>
      </c>
      <c r="E1677" s="10" t="s">
        <v>315</v>
      </c>
    </row>
    <row r="1678" spans="1:5" x14ac:dyDescent="0.35">
      <c r="A1678" s="3">
        <v>45507</v>
      </c>
      <c r="B1678" s="1">
        <f t="shared" si="31"/>
        <v>6</v>
      </c>
      <c r="C1678" s="10" t="s">
        <v>315</v>
      </c>
      <c r="D1678" s="10" t="s">
        <v>313</v>
      </c>
      <c r="E1678" s="10" t="s">
        <v>313</v>
      </c>
    </row>
    <row r="1679" spans="1:5" x14ac:dyDescent="0.35">
      <c r="A1679" s="3">
        <v>45508</v>
      </c>
      <c r="B1679" s="1">
        <f t="shared" si="31"/>
        <v>7</v>
      </c>
      <c r="C1679" s="10" t="s">
        <v>313</v>
      </c>
      <c r="D1679" s="10" t="s">
        <v>313</v>
      </c>
      <c r="E1679" s="10" t="s">
        <v>313</v>
      </c>
    </row>
    <row r="1680" spans="1:5" x14ac:dyDescent="0.35">
      <c r="A1680" s="3">
        <v>45509</v>
      </c>
      <c r="B1680" s="1">
        <f t="shared" si="31"/>
        <v>1</v>
      </c>
      <c r="C1680" s="10" t="s">
        <v>315</v>
      </c>
      <c r="D1680" s="10" t="s">
        <v>315</v>
      </c>
      <c r="E1680" s="10" t="s">
        <v>315</v>
      </c>
    </row>
    <row r="1681" spans="1:5" x14ac:dyDescent="0.35">
      <c r="A1681" s="3">
        <v>45510</v>
      </c>
      <c r="B1681" s="1">
        <f t="shared" si="31"/>
        <v>2</v>
      </c>
      <c r="C1681" s="10" t="s">
        <v>315</v>
      </c>
      <c r="D1681" s="10" t="s">
        <v>315</v>
      </c>
      <c r="E1681" s="10" t="s">
        <v>315</v>
      </c>
    </row>
    <row r="1682" spans="1:5" x14ac:dyDescent="0.35">
      <c r="A1682" s="3">
        <v>45511</v>
      </c>
      <c r="B1682" s="1">
        <f t="shared" si="31"/>
        <v>3</v>
      </c>
      <c r="C1682" s="10" t="s">
        <v>315</v>
      </c>
      <c r="D1682" s="10" t="s">
        <v>315</v>
      </c>
      <c r="E1682" s="10" t="s">
        <v>315</v>
      </c>
    </row>
    <row r="1683" spans="1:5" x14ac:dyDescent="0.35">
      <c r="A1683" s="3">
        <v>45512</v>
      </c>
      <c r="B1683" s="1">
        <f t="shared" si="31"/>
        <v>4</v>
      </c>
      <c r="C1683" s="10" t="s">
        <v>315</v>
      </c>
      <c r="D1683" s="10" t="s">
        <v>315</v>
      </c>
      <c r="E1683" s="10" t="s">
        <v>315</v>
      </c>
    </row>
    <row r="1684" spans="1:5" x14ac:dyDescent="0.35">
      <c r="A1684" s="3">
        <v>45513</v>
      </c>
      <c r="B1684" s="1">
        <f t="shared" si="31"/>
        <v>5</v>
      </c>
      <c r="C1684" s="10" t="s">
        <v>315</v>
      </c>
      <c r="D1684" s="10" t="s">
        <v>315</v>
      </c>
      <c r="E1684" s="10" t="s">
        <v>315</v>
      </c>
    </row>
    <row r="1685" spans="1:5" x14ac:dyDescent="0.35">
      <c r="A1685" s="3">
        <v>45514</v>
      </c>
      <c r="B1685" s="1">
        <f t="shared" si="31"/>
        <v>6</v>
      </c>
      <c r="C1685" s="10" t="s">
        <v>315</v>
      </c>
      <c r="D1685" s="10" t="s">
        <v>315</v>
      </c>
      <c r="E1685" s="10" t="s">
        <v>315</v>
      </c>
    </row>
    <row r="1686" spans="1:5" x14ac:dyDescent="0.35">
      <c r="A1686" s="3">
        <v>45515</v>
      </c>
      <c r="B1686" s="1">
        <f t="shared" si="31"/>
        <v>7</v>
      </c>
      <c r="C1686" s="10" t="s">
        <v>315</v>
      </c>
      <c r="D1686" s="10" t="s">
        <v>315</v>
      </c>
      <c r="E1686" s="10" t="s">
        <v>315</v>
      </c>
    </row>
    <row r="1687" spans="1:5" x14ac:dyDescent="0.35">
      <c r="A1687" s="3">
        <v>45516</v>
      </c>
      <c r="B1687" s="1">
        <f t="shared" si="31"/>
        <v>1</v>
      </c>
      <c r="C1687" s="10" t="s">
        <v>315</v>
      </c>
      <c r="D1687" s="10" t="s">
        <v>315</v>
      </c>
      <c r="E1687" s="10" t="s">
        <v>315</v>
      </c>
    </row>
    <row r="1688" spans="1:5" x14ac:dyDescent="0.35">
      <c r="A1688" s="3">
        <v>45517</v>
      </c>
      <c r="B1688" s="1">
        <f t="shared" si="31"/>
        <v>2</v>
      </c>
      <c r="C1688" s="10" t="s">
        <v>315</v>
      </c>
      <c r="D1688" s="10" t="s">
        <v>315</v>
      </c>
      <c r="E1688" s="10" t="s">
        <v>315</v>
      </c>
    </row>
    <row r="1689" spans="1:5" x14ac:dyDescent="0.35">
      <c r="A1689" s="3">
        <v>45518</v>
      </c>
      <c r="B1689" s="1">
        <f t="shared" si="31"/>
        <v>3</v>
      </c>
      <c r="C1689" s="10" t="s">
        <v>315</v>
      </c>
      <c r="D1689" s="10" t="s">
        <v>315</v>
      </c>
      <c r="E1689" s="10" t="s">
        <v>315</v>
      </c>
    </row>
    <row r="1690" spans="1:5" x14ac:dyDescent="0.35">
      <c r="A1690" s="3">
        <v>45519</v>
      </c>
      <c r="B1690" s="1">
        <f t="shared" si="31"/>
        <v>4</v>
      </c>
      <c r="C1690" s="10" t="s">
        <v>315</v>
      </c>
      <c r="D1690" s="10" t="s">
        <v>315</v>
      </c>
      <c r="E1690" s="10" t="s">
        <v>315</v>
      </c>
    </row>
    <row r="1691" spans="1:5" x14ac:dyDescent="0.35">
      <c r="A1691" s="3">
        <v>45520</v>
      </c>
      <c r="B1691" s="1">
        <f t="shared" si="31"/>
        <v>5</v>
      </c>
      <c r="C1691" s="10" t="s">
        <v>315</v>
      </c>
      <c r="D1691" s="10" t="s">
        <v>315</v>
      </c>
      <c r="E1691" s="10" t="s">
        <v>315</v>
      </c>
    </row>
    <row r="1692" spans="1:5" x14ac:dyDescent="0.35">
      <c r="A1692" s="3">
        <v>45521</v>
      </c>
      <c r="B1692" s="1">
        <f t="shared" si="31"/>
        <v>6</v>
      </c>
      <c r="C1692" s="10" t="s">
        <v>315</v>
      </c>
      <c r="D1692" s="10" t="s">
        <v>315</v>
      </c>
      <c r="E1692" s="10" t="s">
        <v>315</v>
      </c>
    </row>
    <row r="1693" spans="1:5" x14ac:dyDescent="0.35">
      <c r="A1693" s="3">
        <v>45522</v>
      </c>
      <c r="B1693" s="1">
        <f t="shared" si="31"/>
        <v>7</v>
      </c>
      <c r="C1693" s="10" t="s">
        <v>315</v>
      </c>
      <c r="D1693" s="10" t="s">
        <v>315</v>
      </c>
      <c r="E1693" s="10" t="s">
        <v>315</v>
      </c>
    </row>
    <row r="1694" spans="1:5" x14ac:dyDescent="0.35">
      <c r="A1694" s="3">
        <v>45523</v>
      </c>
      <c r="B1694" s="1">
        <f t="shared" si="31"/>
        <v>1</v>
      </c>
      <c r="C1694" s="10" t="s">
        <v>315</v>
      </c>
      <c r="D1694" s="10" t="s">
        <v>315</v>
      </c>
      <c r="E1694" s="10" t="s">
        <v>315</v>
      </c>
    </row>
    <row r="1695" spans="1:5" x14ac:dyDescent="0.35">
      <c r="A1695" s="3">
        <v>45524</v>
      </c>
      <c r="B1695" s="1">
        <f t="shared" si="31"/>
        <v>2</v>
      </c>
      <c r="C1695" s="10" t="s">
        <v>315</v>
      </c>
      <c r="D1695" s="10" t="s">
        <v>315</v>
      </c>
      <c r="E1695" s="10" t="s">
        <v>315</v>
      </c>
    </row>
    <row r="1696" spans="1:5" x14ac:dyDescent="0.35">
      <c r="A1696" s="3">
        <v>45525</v>
      </c>
      <c r="B1696" s="1">
        <f t="shared" ref="B1696:B1759" si="32">IF(A1696&gt;0,WEEKDAY(A1696,2),"")</f>
        <v>3</v>
      </c>
      <c r="C1696" s="10" t="s">
        <v>315</v>
      </c>
      <c r="D1696" s="10" t="s">
        <v>315</v>
      </c>
      <c r="E1696" s="10" t="s">
        <v>315</v>
      </c>
    </row>
    <row r="1697" spans="1:5" x14ac:dyDescent="0.35">
      <c r="A1697" s="3">
        <v>45526</v>
      </c>
      <c r="B1697" s="1">
        <f t="shared" si="32"/>
        <v>4</v>
      </c>
      <c r="C1697" s="10" t="s">
        <v>315</v>
      </c>
      <c r="D1697" s="10" t="s">
        <v>315</v>
      </c>
      <c r="E1697" s="10" t="s">
        <v>315</v>
      </c>
    </row>
    <row r="1698" spans="1:5" x14ac:dyDescent="0.35">
      <c r="A1698" s="3">
        <v>45527</v>
      </c>
      <c r="B1698" s="1">
        <f t="shared" si="32"/>
        <v>5</v>
      </c>
      <c r="C1698" s="10" t="s">
        <v>315</v>
      </c>
      <c r="D1698" s="10" t="s">
        <v>315</v>
      </c>
      <c r="E1698" s="10" t="s">
        <v>315</v>
      </c>
    </row>
    <row r="1699" spans="1:5" x14ac:dyDescent="0.35">
      <c r="A1699" s="3">
        <v>45528</v>
      </c>
      <c r="B1699" s="1">
        <f t="shared" si="32"/>
        <v>6</v>
      </c>
      <c r="C1699" s="10" t="s">
        <v>315</v>
      </c>
      <c r="D1699" s="10" t="s">
        <v>315</v>
      </c>
      <c r="E1699" s="10" t="s">
        <v>315</v>
      </c>
    </row>
    <row r="1700" spans="1:5" x14ac:dyDescent="0.35">
      <c r="A1700" s="3">
        <v>45529</v>
      </c>
      <c r="B1700" s="1">
        <f t="shared" si="32"/>
        <v>7</v>
      </c>
      <c r="C1700" s="10" t="s">
        <v>315</v>
      </c>
      <c r="D1700" s="10" t="s">
        <v>315</v>
      </c>
      <c r="E1700" s="10" t="s">
        <v>315</v>
      </c>
    </row>
    <row r="1701" spans="1:5" x14ac:dyDescent="0.35">
      <c r="A1701" s="3">
        <v>45530</v>
      </c>
      <c r="B1701" s="1">
        <f t="shared" si="32"/>
        <v>1</v>
      </c>
      <c r="C1701" s="10" t="s">
        <v>315</v>
      </c>
      <c r="D1701" s="10" t="s">
        <v>315</v>
      </c>
      <c r="E1701" s="10" t="s">
        <v>315</v>
      </c>
    </row>
    <row r="1702" spans="1:5" x14ac:dyDescent="0.35">
      <c r="A1702" s="3">
        <v>45531</v>
      </c>
      <c r="B1702" s="1">
        <f t="shared" si="32"/>
        <v>2</v>
      </c>
      <c r="C1702" s="10" t="s">
        <v>315</v>
      </c>
      <c r="D1702" s="10" t="s">
        <v>315</v>
      </c>
      <c r="E1702" s="10" t="s">
        <v>315</v>
      </c>
    </row>
    <row r="1703" spans="1:5" x14ac:dyDescent="0.35">
      <c r="A1703" s="3">
        <v>45532</v>
      </c>
      <c r="B1703" s="1">
        <f t="shared" si="32"/>
        <v>3</v>
      </c>
      <c r="C1703" s="10" t="s">
        <v>315</v>
      </c>
      <c r="D1703" s="10" t="s">
        <v>315</v>
      </c>
      <c r="E1703" s="10" t="s">
        <v>315</v>
      </c>
    </row>
    <row r="1704" spans="1:5" x14ac:dyDescent="0.35">
      <c r="A1704" s="3">
        <v>45533</v>
      </c>
      <c r="B1704" s="1">
        <f t="shared" si="32"/>
        <v>4</v>
      </c>
      <c r="C1704" s="10" t="s">
        <v>315</v>
      </c>
      <c r="D1704" s="10" t="s">
        <v>315</v>
      </c>
      <c r="E1704" s="10" t="s">
        <v>315</v>
      </c>
    </row>
    <row r="1705" spans="1:5" x14ac:dyDescent="0.35">
      <c r="A1705" s="3">
        <v>45534</v>
      </c>
      <c r="B1705" s="1">
        <f t="shared" si="32"/>
        <v>5</v>
      </c>
      <c r="C1705" s="10" t="s">
        <v>315</v>
      </c>
      <c r="D1705" s="10" t="s">
        <v>315</v>
      </c>
      <c r="E1705" s="10" t="s">
        <v>315</v>
      </c>
    </row>
    <row r="1706" spans="1:5" x14ac:dyDescent="0.35">
      <c r="A1706" s="3">
        <v>45535</v>
      </c>
      <c r="B1706" s="1">
        <f t="shared" si="32"/>
        <v>6</v>
      </c>
      <c r="C1706" s="10" t="s">
        <v>315</v>
      </c>
      <c r="D1706" s="10" t="s">
        <v>315</v>
      </c>
      <c r="E1706" s="10" t="s">
        <v>315</v>
      </c>
    </row>
    <row r="1707" spans="1:5" x14ac:dyDescent="0.35">
      <c r="A1707" s="3">
        <v>45536</v>
      </c>
      <c r="B1707" s="1">
        <f t="shared" si="32"/>
        <v>7</v>
      </c>
      <c r="C1707" s="10" t="s">
        <v>315</v>
      </c>
      <c r="D1707" s="10" t="s">
        <v>315</v>
      </c>
      <c r="E1707" s="10" t="s">
        <v>315</v>
      </c>
    </row>
    <row r="1708" spans="1:5" x14ac:dyDescent="0.35">
      <c r="A1708" s="3">
        <v>45537</v>
      </c>
      <c r="B1708" s="1">
        <f t="shared" si="32"/>
        <v>1</v>
      </c>
      <c r="C1708" s="10" t="s">
        <v>315</v>
      </c>
      <c r="D1708" s="10" t="s">
        <v>315</v>
      </c>
      <c r="E1708" s="10" t="s">
        <v>315</v>
      </c>
    </row>
    <row r="1709" spans="1:5" x14ac:dyDescent="0.35">
      <c r="A1709" s="3">
        <v>45538</v>
      </c>
      <c r="B1709" s="1">
        <f t="shared" si="32"/>
        <v>2</v>
      </c>
      <c r="C1709" s="10" t="s">
        <v>315</v>
      </c>
      <c r="D1709" s="10" t="s">
        <v>315</v>
      </c>
      <c r="E1709" s="10" t="s">
        <v>315</v>
      </c>
    </row>
    <row r="1710" spans="1:5" x14ac:dyDescent="0.35">
      <c r="A1710" s="3">
        <v>45539</v>
      </c>
      <c r="B1710" s="1">
        <f t="shared" si="32"/>
        <v>3</v>
      </c>
      <c r="C1710" s="10" t="s">
        <v>315</v>
      </c>
      <c r="D1710" s="10" t="s">
        <v>315</v>
      </c>
      <c r="E1710" s="10" t="s">
        <v>315</v>
      </c>
    </row>
    <row r="1711" spans="1:5" x14ac:dyDescent="0.35">
      <c r="A1711" s="3">
        <v>45540</v>
      </c>
      <c r="B1711" s="1">
        <f t="shared" si="32"/>
        <v>4</v>
      </c>
      <c r="C1711" s="10" t="s">
        <v>315</v>
      </c>
      <c r="D1711" s="10" t="s">
        <v>315</v>
      </c>
      <c r="E1711" s="10" t="s">
        <v>315</v>
      </c>
    </row>
    <row r="1712" spans="1:5" x14ac:dyDescent="0.35">
      <c r="A1712" s="3">
        <v>45541</v>
      </c>
      <c r="B1712" s="1">
        <f t="shared" si="32"/>
        <v>5</v>
      </c>
      <c r="C1712" s="10" t="s">
        <v>315</v>
      </c>
      <c r="D1712" s="10" t="s">
        <v>315</v>
      </c>
      <c r="E1712" s="10" t="s">
        <v>315</v>
      </c>
    </row>
    <row r="1713" spans="1:5" x14ac:dyDescent="0.35">
      <c r="A1713" s="3">
        <v>45542</v>
      </c>
      <c r="B1713" s="1">
        <f t="shared" si="32"/>
        <v>6</v>
      </c>
      <c r="C1713" s="10" t="s">
        <v>315</v>
      </c>
      <c r="D1713" s="10" t="s">
        <v>315</v>
      </c>
      <c r="E1713" s="10" t="s">
        <v>315</v>
      </c>
    </row>
    <row r="1714" spans="1:5" x14ac:dyDescent="0.35">
      <c r="A1714" s="3">
        <v>45543</v>
      </c>
      <c r="B1714" s="1">
        <f t="shared" si="32"/>
        <v>7</v>
      </c>
      <c r="C1714" s="10" t="s">
        <v>315</v>
      </c>
      <c r="D1714" s="10" t="s">
        <v>315</v>
      </c>
      <c r="E1714" s="10" t="s">
        <v>315</v>
      </c>
    </row>
    <row r="1715" spans="1:5" x14ac:dyDescent="0.35">
      <c r="A1715" s="3">
        <v>45544</v>
      </c>
      <c r="B1715" s="1">
        <f t="shared" si="32"/>
        <v>1</v>
      </c>
      <c r="C1715" s="10" t="s">
        <v>315</v>
      </c>
      <c r="D1715" s="10" t="s">
        <v>315</v>
      </c>
      <c r="E1715" s="10" t="s">
        <v>315</v>
      </c>
    </row>
    <row r="1716" spans="1:5" x14ac:dyDescent="0.35">
      <c r="A1716" s="3">
        <v>45545</v>
      </c>
      <c r="B1716" s="1">
        <f t="shared" si="32"/>
        <v>2</v>
      </c>
      <c r="C1716" s="10" t="s">
        <v>315</v>
      </c>
      <c r="D1716" s="10" t="s">
        <v>315</v>
      </c>
      <c r="E1716" s="10" t="s">
        <v>315</v>
      </c>
    </row>
    <row r="1717" spans="1:5" x14ac:dyDescent="0.35">
      <c r="A1717" s="3">
        <v>45546</v>
      </c>
      <c r="B1717" s="1">
        <f t="shared" si="32"/>
        <v>3</v>
      </c>
      <c r="C1717" s="10" t="s">
        <v>315</v>
      </c>
      <c r="D1717" s="10" t="s">
        <v>315</v>
      </c>
      <c r="E1717" s="10" t="s">
        <v>315</v>
      </c>
    </row>
    <row r="1718" spans="1:5" x14ac:dyDescent="0.35">
      <c r="A1718" s="3">
        <v>45547</v>
      </c>
      <c r="B1718" s="1">
        <f t="shared" si="32"/>
        <v>4</v>
      </c>
      <c r="C1718" s="10" t="s">
        <v>315</v>
      </c>
      <c r="D1718" s="10" t="s">
        <v>315</v>
      </c>
      <c r="E1718" s="10" t="s">
        <v>315</v>
      </c>
    </row>
    <row r="1719" spans="1:5" x14ac:dyDescent="0.35">
      <c r="A1719" s="3">
        <v>45548</v>
      </c>
      <c r="B1719" s="1">
        <f t="shared" si="32"/>
        <v>5</v>
      </c>
      <c r="C1719" s="10" t="s">
        <v>315</v>
      </c>
      <c r="D1719" s="10" t="s">
        <v>315</v>
      </c>
      <c r="E1719" s="10" t="s">
        <v>315</v>
      </c>
    </row>
    <row r="1720" spans="1:5" x14ac:dyDescent="0.35">
      <c r="A1720" s="3">
        <v>45549</v>
      </c>
      <c r="B1720" s="1">
        <f t="shared" si="32"/>
        <v>6</v>
      </c>
      <c r="C1720" s="10" t="s">
        <v>315</v>
      </c>
      <c r="D1720" s="10" t="s">
        <v>315</v>
      </c>
      <c r="E1720" s="10" t="s">
        <v>315</v>
      </c>
    </row>
    <row r="1721" spans="1:5" x14ac:dyDescent="0.35">
      <c r="A1721" s="3">
        <v>45550</v>
      </c>
      <c r="B1721" s="1">
        <f t="shared" si="32"/>
        <v>7</v>
      </c>
      <c r="C1721" s="10" t="s">
        <v>315</v>
      </c>
      <c r="D1721" s="10" t="s">
        <v>315</v>
      </c>
      <c r="E1721" s="10" t="s">
        <v>315</v>
      </c>
    </row>
    <row r="1722" spans="1:5" x14ac:dyDescent="0.35">
      <c r="A1722" s="3">
        <v>45551</v>
      </c>
      <c r="B1722" s="1">
        <f t="shared" si="32"/>
        <v>1</v>
      </c>
      <c r="C1722" s="10" t="s">
        <v>315</v>
      </c>
      <c r="D1722" s="10" t="s">
        <v>315</v>
      </c>
      <c r="E1722" s="10" t="s">
        <v>315</v>
      </c>
    </row>
    <row r="1723" spans="1:5" x14ac:dyDescent="0.35">
      <c r="A1723" s="3">
        <v>45552</v>
      </c>
      <c r="B1723" s="1">
        <f t="shared" si="32"/>
        <v>2</v>
      </c>
      <c r="C1723" s="10" t="s">
        <v>315</v>
      </c>
      <c r="D1723" s="10" t="s">
        <v>315</v>
      </c>
      <c r="E1723" s="10" t="s">
        <v>315</v>
      </c>
    </row>
    <row r="1724" spans="1:5" x14ac:dyDescent="0.35">
      <c r="A1724" s="3">
        <v>45553</v>
      </c>
      <c r="B1724" s="1">
        <f t="shared" si="32"/>
        <v>3</v>
      </c>
      <c r="C1724" s="10" t="s">
        <v>315</v>
      </c>
      <c r="D1724" s="10" t="s">
        <v>315</v>
      </c>
      <c r="E1724" s="10" t="s">
        <v>315</v>
      </c>
    </row>
    <row r="1725" spans="1:5" x14ac:dyDescent="0.35">
      <c r="A1725" s="3">
        <v>45554</v>
      </c>
      <c r="B1725" s="1">
        <f t="shared" si="32"/>
        <v>4</v>
      </c>
      <c r="C1725" s="10" t="s">
        <v>315</v>
      </c>
      <c r="D1725" s="10" t="s">
        <v>315</v>
      </c>
      <c r="E1725" s="10" t="s">
        <v>315</v>
      </c>
    </row>
    <row r="1726" spans="1:5" x14ac:dyDescent="0.35">
      <c r="A1726" s="3">
        <v>45555</v>
      </c>
      <c r="B1726" s="1">
        <f t="shared" si="32"/>
        <v>5</v>
      </c>
      <c r="C1726" s="10" t="s">
        <v>315</v>
      </c>
      <c r="D1726" s="10" t="s">
        <v>315</v>
      </c>
      <c r="E1726" s="10" t="s">
        <v>315</v>
      </c>
    </row>
    <row r="1727" spans="1:5" x14ac:dyDescent="0.35">
      <c r="A1727" s="3">
        <v>45556</v>
      </c>
      <c r="B1727" s="1">
        <f t="shared" si="32"/>
        <v>6</v>
      </c>
      <c r="C1727" s="10" t="s">
        <v>315</v>
      </c>
      <c r="D1727" s="10" t="s">
        <v>315</v>
      </c>
      <c r="E1727" s="10" t="s">
        <v>315</v>
      </c>
    </row>
    <row r="1728" spans="1:5" x14ac:dyDescent="0.35">
      <c r="A1728" s="3">
        <v>45557</v>
      </c>
      <c r="B1728" s="1">
        <f t="shared" si="32"/>
        <v>7</v>
      </c>
      <c r="C1728" s="10" t="s">
        <v>315</v>
      </c>
      <c r="D1728" s="10" t="s">
        <v>315</v>
      </c>
      <c r="E1728" s="10" t="s">
        <v>315</v>
      </c>
    </row>
    <row r="1729" spans="1:5" x14ac:dyDescent="0.35">
      <c r="A1729" s="3">
        <v>45558</v>
      </c>
      <c r="B1729" s="1">
        <f t="shared" si="32"/>
        <v>1</v>
      </c>
      <c r="C1729" s="10" t="s">
        <v>315</v>
      </c>
      <c r="D1729" s="10" t="s">
        <v>315</v>
      </c>
      <c r="E1729" s="10" t="s">
        <v>315</v>
      </c>
    </row>
    <row r="1730" spans="1:5" x14ac:dyDescent="0.35">
      <c r="A1730" s="3">
        <v>45559</v>
      </c>
      <c r="B1730" s="1">
        <f t="shared" si="32"/>
        <v>2</v>
      </c>
      <c r="C1730" s="10" t="s">
        <v>315</v>
      </c>
      <c r="D1730" s="10" t="s">
        <v>315</v>
      </c>
      <c r="E1730" s="10" t="s">
        <v>315</v>
      </c>
    </row>
    <row r="1731" spans="1:5" x14ac:dyDescent="0.35">
      <c r="A1731" s="3">
        <v>45560</v>
      </c>
      <c r="B1731" s="1">
        <f t="shared" si="32"/>
        <v>3</v>
      </c>
      <c r="C1731" s="10" t="s">
        <v>315</v>
      </c>
      <c r="D1731" s="10" t="s">
        <v>315</v>
      </c>
      <c r="E1731" s="10" t="s">
        <v>315</v>
      </c>
    </row>
    <row r="1732" spans="1:5" x14ac:dyDescent="0.35">
      <c r="A1732" s="3">
        <v>45561</v>
      </c>
      <c r="B1732" s="1">
        <f t="shared" si="32"/>
        <v>4</v>
      </c>
      <c r="C1732" s="10" t="s">
        <v>315</v>
      </c>
      <c r="D1732" s="10" t="s">
        <v>315</v>
      </c>
      <c r="E1732" s="10" t="s">
        <v>315</v>
      </c>
    </row>
    <row r="1733" spans="1:5" x14ac:dyDescent="0.35">
      <c r="A1733" s="3">
        <v>45562</v>
      </c>
      <c r="B1733" s="1">
        <f t="shared" si="32"/>
        <v>5</v>
      </c>
      <c r="C1733" s="10" t="s">
        <v>315</v>
      </c>
      <c r="D1733" s="10" t="s">
        <v>315</v>
      </c>
      <c r="E1733" s="10" t="s">
        <v>315</v>
      </c>
    </row>
    <row r="1734" spans="1:5" x14ac:dyDescent="0.35">
      <c r="A1734" s="3">
        <v>45563</v>
      </c>
      <c r="B1734" s="1">
        <f t="shared" si="32"/>
        <v>6</v>
      </c>
      <c r="C1734" s="10" t="s">
        <v>315</v>
      </c>
      <c r="D1734" s="10" t="s">
        <v>315</v>
      </c>
      <c r="E1734" s="10" t="s">
        <v>315</v>
      </c>
    </row>
    <row r="1735" spans="1:5" x14ac:dyDescent="0.35">
      <c r="A1735" s="3">
        <v>45564</v>
      </c>
      <c r="B1735" s="1">
        <f t="shared" si="32"/>
        <v>7</v>
      </c>
      <c r="C1735" s="10" t="s">
        <v>315</v>
      </c>
      <c r="D1735" s="10" t="s">
        <v>315</v>
      </c>
      <c r="E1735" s="10" t="s">
        <v>315</v>
      </c>
    </row>
    <row r="1736" spans="1:5" x14ac:dyDescent="0.35">
      <c r="A1736" s="3">
        <v>45565</v>
      </c>
      <c r="B1736" s="1">
        <f t="shared" si="32"/>
        <v>1</v>
      </c>
      <c r="C1736" s="10" t="s">
        <v>315</v>
      </c>
      <c r="D1736" s="10" t="s">
        <v>315</v>
      </c>
      <c r="E1736" s="10" t="s">
        <v>315</v>
      </c>
    </row>
    <row r="1737" spans="1:5" x14ac:dyDescent="0.35">
      <c r="A1737" s="3">
        <v>45566</v>
      </c>
      <c r="B1737" s="1">
        <f t="shared" si="32"/>
        <v>2</v>
      </c>
      <c r="C1737" s="10" t="s">
        <v>315</v>
      </c>
      <c r="D1737" s="10" t="s">
        <v>315</v>
      </c>
      <c r="E1737" s="10" t="s">
        <v>315</v>
      </c>
    </row>
    <row r="1738" spans="1:5" x14ac:dyDescent="0.35">
      <c r="A1738" s="3">
        <v>45567</v>
      </c>
      <c r="B1738" s="1">
        <f t="shared" si="32"/>
        <v>3</v>
      </c>
      <c r="C1738" s="10" t="s">
        <v>315</v>
      </c>
      <c r="D1738" s="10" t="s">
        <v>315</v>
      </c>
      <c r="E1738" s="10" t="s">
        <v>315</v>
      </c>
    </row>
    <row r="1739" spans="1:5" x14ac:dyDescent="0.35">
      <c r="A1739" s="3">
        <v>45568</v>
      </c>
      <c r="B1739" s="1">
        <f t="shared" si="32"/>
        <v>4</v>
      </c>
      <c r="C1739" s="10" t="s">
        <v>315</v>
      </c>
      <c r="D1739" s="10" t="s">
        <v>315</v>
      </c>
      <c r="E1739" s="10" t="s">
        <v>315</v>
      </c>
    </row>
    <row r="1740" spans="1:5" x14ac:dyDescent="0.35">
      <c r="A1740" s="3">
        <v>45569</v>
      </c>
      <c r="B1740" s="1">
        <f t="shared" si="32"/>
        <v>5</v>
      </c>
      <c r="C1740" s="10" t="s">
        <v>315</v>
      </c>
      <c r="D1740" s="10" t="s">
        <v>315</v>
      </c>
      <c r="E1740" s="10" t="s">
        <v>315</v>
      </c>
    </row>
    <row r="1741" spans="1:5" x14ac:dyDescent="0.35">
      <c r="A1741" s="3">
        <v>45570</v>
      </c>
      <c r="B1741" s="1">
        <f t="shared" si="32"/>
        <v>6</v>
      </c>
      <c r="C1741" s="10" t="s">
        <v>315</v>
      </c>
      <c r="D1741" s="10" t="s">
        <v>315</v>
      </c>
      <c r="E1741" s="10" t="s">
        <v>315</v>
      </c>
    </row>
    <row r="1742" spans="1:5" x14ac:dyDescent="0.35">
      <c r="A1742" s="3">
        <v>45571</v>
      </c>
      <c r="B1742" s="1">
        <f t="shared" si="32"/>
        <v>7</v>
      </c>
      <c r="C1742" s="10" t="s">
        <v>315</v>
      </c>
      <c r="D1742" s="10" t="s">
        <v>315</v>
      </c>
      <c r="E1742" s="10" t="s">
        <v>315</v>
      </c>
    </row>
    <row r="1743" spans="1:5" x14ac:dyDescent="0.35">
      <c r="A1743" s="3">
        <v>45572</v>
      </c>
      <c r="B1743" s="1">
        <f t="shared" si="32"/>
        <v>1</v>
      </c>
      <c r="C1743" s="10" t="s">
        <v>315</v>
      </c>
      <c r="D1743" s="10" t="s">
        <v>315</v>
      </c>
      <c r="E1743" s="10" t="s">
        <v>315</v>
      </c>
    </row>
    <row r="1744" spans="1:5" x14ac:dyDescent="0.35">
      <c r="A1744" s="3">
        <v>45573</v>
      </c>
      <c r="B1744" s="1">
        <f t="shared" si="32"/>
        <v>2</v>
      </c>
      <c r="C1744" s="10" t="s">
        <v>315</v>
      </c>
      <c r="D1744" s="10" t="s">
        <v>315</v>
      </c>
      <c r="E1744" s="10" t="s">
        <v>315</v>
      </c>
    </row>
    <row r="1745" spans="1:5" x14ac:dyDescent="0.35">
      <c r="A1745" s="3">
        <v>45574</v>
      </c>
      <c r="B1745" s="1">
        <f t="shared" si="32"/>
        <v>3</v>
      </c>
      <c r="C1745" s="10" t="s">
        <v>315</v>
      </c>
      <c r="D1745" s="10" t="s">
        <v>315</v>
      </c>
      <c r="E1745" s="10" t="s">
        <v>315</v>
      </c>
    </row>
    <row r="1746" spans="1:5" x14ac:dyDescent="0.35">
      <c r="A1746" s="3">
        <v>45575</v>
      </c>
      <c r="B1746" s="1">
        <f t="shared" si="32"/>
        <v>4</v>
      </c>
      <c r="C1746" s="10" t="s">
        <v>315</v>
      </c>
      <c r="D1746" s="10" t="s">
        <v>315</v>
      </c>
      <c r="E1746" s="10" t="s">
        <v>315</v>
      </c>
    </row>
    <row r="1747" spans="1:5" x14ac:dyDescent="0.35">
      <c r="A1747" s="3">
        <v>45576</v>
      </c>
      <c r="B1747" s="1">
        <f t="shared" si="32"/>
        <v>5</v>
      </c>
      <c r="C1747" s="10" t="s">
        <v>315</v>
      </c>
      <c r="D1747" s="10" t="s">
        <v>315</v>
      </c>
      <c r="E1747" s="10" t="s">
        <v>315</v>
      </c>
    </row>
    <row r="1748" spans="1:5" x14ac:dyDescent="0.35">
      <c r="A1748" s="3">
        <v>45577</v>
      </c>
      <c r="B1748" s="1">
        <f t="shared" si="32"/>
        <v>6</v>
      </c>
      <c r="C1748" s="10" t="s">
        <v>315</v>
      </c>
      <c r="D1748" s="10" t="s">
        <v>315</v>
      </c>
      <c r="E1748" s="10" t="s">
        <v>315</v>
      </c>
    </row>
    <row r="1749" spans="1:5" x14ac:dyDescent="0.35">
      <c r="A1749" s="3">
        <v>45578</v>
      </c>
      <c r="B1749" s="1">
        <f t="shared" si="32"/>
        <v>7</v>
      </c>
      <c r="C1749" s="10" t="s">
        <v>315</v>
      </c>
      <c r="D1749" s="10" t="s">
        <v>315</v>
      </c>
      <c r="E1749" s="10" t="s">
        <v>315</v>
      </c>
    </row>
    <row r="1750" spans="1:5" x14ac:dyDescent="0.35">
      <c r="A1750" s="3">
        <v>45579</v>
      </c>
      <c r="B1750" s="1">
        <f t="shared" si="32"/>
        <v>1</v>
      </c>
      <c r="C1750" s="10" t="s">
        <v>315</v>
      </c>
      <c r="D1750" s="10" t="s">
        <v>315</v>
      </c>
      <c r="E1750" s="10" t="s">
        <v>315</v>
      </c>
    </row>
    <row r="1751" spans="1:5" x14ac:dyDescent="0.35">
      <c r="A1751" s="3">
        <v>45580</v>
      </c>
      <c r="B1751" s="1">
        <f t="shared" si="32"/>
        <v>2</v>
      </c>
      <c r="C1751" s="10" t="s">
        <v>315</v>
      </c>
      <c r="D1751" s="10" t="s">
        <v>315</v>
      </c>
      <c r="E1751" s="10" t="s">
        <v>315</v>
      </c>
    </row>
    <row r="1752" spans="1:5" x14ac:dyDescent="0.35">
      <c r="A1752" s="3">
        <v>45581</v>
      </c>
      <c r="B1752" s="1">
        <f t="shared" si="32"/>
        <v>3</v>
      </c>
      <c r="C1752" s="10" t="s">
        <v>315</v>
      </c>
      <c r="D1752" s="10" t="s">
        <v>315</v>
      </c>
      <c r="E1752" s="10" t="s">
        <v>315</v>
      </c>
    </row>
    <row r="1753" spans="1:5" x14ac:dyDescent="0.35">
      <c r="A1753" s="3">
        <v>45582</v>
      </c>
      <c r="B1753" s="1">
        <f t="shared" si="32"/>
        <v>4</v>
      </c>
      <c r="C1753" s="10" t="s">
        <v>315</v>
      </c>
      <c r="D1753" s="10" t="s">
        <v>315</v>
      </c>
      <c r="E1753" s="10" t="s">
        <v>315</v>
      </c>
    </row>
    <row r="1754" spans="1:5" x14ac:dyDescent="0.35">
      <c r="A1754" s="3">
        <v>45583</v>
      </c>
      <c r="B1754" s="1">
        <f t="shared" si="32"/>
        <v>5</v>
      </c>
      <c r="C1754" s="10" t="s">
        <v>315</v>
      </c>
      <c r="D1754" s="10" t="s">
        <v>315</v>
      </c>
      <c r="E1754" s="10" t="s">
        <v>315</v>
      </c>
    </row>
    <row r="1755" spans="1:5" x14ac:dyDescent="0.35">
      <c r="A1755" s="3">
        <v>45584</v>
      </c>
      <c r="B1755" s="1">
        <f t="shared" si="32"/>
        <v>6</v>
      </c>
      <c r="C1755" s="10" t="s">
        <v>315</v>
      </c>
      <c r="D1755" s="10" t="s">
        <v>315</v>
      </c>
      <c r="E1755" s="10" t="s">
        <v>315</v>
      </c>
    </row>
    <row r="1756" spans="1:5" x14ac:dyDescent="0.35">
      <c r="A1756" s="3">
        <v>45585</v>
      </c>
      <c r="B1756" s="1">
        <f t="shared" si="32"/>
        <v>7</v>
      </c>
      <c r="C1756" s="10" t="s">
        <v>315</v>
      </c>
      <c r="D1756" s="10" t="s">
        <v>315</v>
      </c>
      <c r="E1756" s="10" t="s">
        <v>315</v>
      </c>
    </row>
    <row r="1757" spans="1:5" x14ac:dyDescent="0.35">
      <c r="A1757" s="3">
        <v>45586</v>
      </c>
      <c r="B1757" s="1">
        <f t="shared" si="32"/>
        <v>1</v>
      </c>
      <c r="C1757" s="10" t="s">
        <v>315</v>
      </c>
      <c r="D1757" s="10" t="s">
        <v>315</v>
      </c>
      <c r="E1757" s="10" t="s">
        <v>315</v>
      </c>
    </row>
    <row r="1758" spans="1:5" x14ac:dyDescent="0.35">
      <c r="A1758" s="3">
        <v>45587</v>
      </c>
      <c r="B1758" s="1">
        <f t="shared" si="32"/>
        <v>2</v>
      </c>
      <c r="C1758" s="10" t="s">
        <v>315</v>
      </c>
      <c r="D1758" s="10" t="s">
        <v>315</v>
      </c>
      <c r="E1758" s="10" t="s">
        <v>315</v>
      </c>
    </row>
    <row r="1759" spans="1:5" x14ac:dyDescent="0.35">
      <c r="A1759" s="3">
        <v>45588</v>
      </c>
      <c r="B1759" s="1">
        <f t="shared" si="32"/>
        <v>3</v>
      </c>
      <c r="C1759" s="10" t="s">
        <v>315</v>
      </c>
      <c r="D1759" s="10" t="s">
        <v>315</v>
      </c>
      <c r="E1759" s="10" t="s">
        <v>315</v>
      </c>
    </row>
    <row r="1760" spans="1:5" x14ac:dyDescent="0.35">
      <c r="A1760" s="3">
        <v>45589</v>
      </c>
      <c r="B1760" s="1">
        <f t="shared" ref="B1760:B1823" si="33">IF(A1760&gt;0,WEEKDAY(A1760,2),"")</f>
        <v>4</v>
      </c>
      <c r="C1760" s="10" t="s">
        <v>315</v>
      </c>
      <c r="D1760" s="10" t="s">
        <v>315</v>
      </c>
      <c r="E1760" s="10" t="s">
        <v>315</v>
      </c>
    </row>
    <row r="1761" spans="1:5" x14ac:dyDescent="0.35">
      <c r="A1761" s="3">
        <v>45590</v>
      </c>
      <c r="B1761" s="1">
        <f t="shared" si="33"/>
        <v>5</v>
      </c>
      <c r="C1761" s="10" t="s">
        <v>315</v>
      </c>
      <c r="D1761" s="10" t="s">
        <v>315</v>
      </c>
      <c r="E1761" s="10" t="s">
        <v>315</v>
      </c>
    </row>
    <row r="1762" spans="1:5" x14ac:dyDescent="0.35">
      <c r="A1762" s="3">
        <v>45591</v>
      </c>
      <c r="B1762" s="1">
        <f t="shared" si="33"/>
        <v>6</v>
      </c>
      <c r="C1762" s="10" t="s">
        <v>315</v>
      </c>
      <c r="D1762" s="10" t="s">
        <v>315</v>
      </c>
      <c r="E1762" s="10" t="s">
        <v>315</v>
      </c>
    </row>
    <row r="1763" spans="1:5" x14ac:dyDescent="0.35">
      <c r="A1763" s="3">
        <v>45592</v>
      </c>
      <c r="B1763" s="1">
        <f t="shared" si="33"/>
        <v>7</v>
      </c>
      <c r="C1763" s="10" t="s">
        <v>315</v>
      </c>
      <c r="D1763" s="10" t="s">
        <v>315</v>
      </c>
      <c r="E1763" s="10" t="s">
        <v>315</v>
      </c>
    </row>
    <row r="1764" spans="1:5" x14ac:dyDescent="0.35">
      <c r="A1764" s="3">
        <v>45593</v>
      </c>
      <c r="B1764" s="1">
        <f t="shared" si="33"/>
        <v>1</v>
      </c>
      <c r="C1764" s="10" t="s">
        <v>315</v>
      </c>
      <c r="D1764" s="10" t="s">
        <v>315</v>
      </c>
      <c r="E1764" s="10" t="s">
        <v>315</v>
      </c>
    </row>
    <row r="1765" spans="1:5" x14ac:dyDescent="0.35">
      <c r="A1765" s="3">
        <v>45594</v>
      </c>
      <c r="B1765" s="1">
        <f t="shared" si="33"/>
        <v>2</v>
      </c>
      <c r="C1765" s="10" t="s">
        <v>315</v>
      </c>
      <c r="D1765" s="10" t="s">
        <v>315</v>
      </c>
      <c r="E1765" s="10" t="s">
        <v>315</v>
      </c>
    </row>
    <row r="1766" spans="1:5" x14ac:dyDescent="0.35">
      <c r="A1766" s="3">
        <v>45595</v>
      </c>
      <c r="B1766" s="1">
        <f t="shared" si="33"/>
        <v>3</v>
      </c>
      <c r="C1766" s="10" t="s">
        <v>315</v>
      </c>
      <c r="D1766" s="10" t="s">
        <v>315</v>
      </c>
      <c r="E1766" s="10" t="s">
        <v>315</v>
      </c>
    </row>
    <row r="1767" spans="1:5" x14ac:dyDescent="0.35">
      <c r="A1767" s="3">
        <v>45596</v>
      </c>
      <c r="B1767" s="1">
        <f t="shared" si="33"/>
        <v>4</v>
      </c>
      <c r="C1767" s="10" t="s">
        <v>315</v>
      </c>
      <c r="D1767" s="10" t="s">
        <v>315</v>
      </c>
      <c r="E1767" s="10" t="s">
        <v>315</v>
      </c>
    </row>
    <row r="1768" spans="1:5" x14ac:dyDescent="0.35">
      <c r="A1768" s="3">
        <v>45597</v>
      </c>
      <c r="B1768" s="1">
        <f t="shared" si="33"/>
        <v>5</v>
      </c>
      <c r="C1768" s="10" t="s">
        <v>315</v>
      </c>
      <c r="D1768" s="10" t="s">
        <v>315</v>
      </c>
      <c r="E1768" s="10" t="s">
        <v>315</v>
      </c>
    </row>
    <row r="1769" spans="1:5" x14ac:dyDescent="0.35">
      <c r="A1769" s="3">
        <v>45598</v>
      </c>
      <c r="B1769" s="1">
        <f t="shared" si="33"/>
        <v>6</v>
      </c>
      <c r="C1769" s="10" t="s">
        <v>315</v>
      </c>
      <c r="D1769" s="10" t="s">
        <v>315</v>
      </c>
      <c r="E1769" s="10" t="s">
        <v>315</v>
      </c>
    </row>
    <row r="1770" spans="1:5" x14ac:dyDescent="0.35">
      <c r="A1770" s="3">
        <v>45599</v>
      </c>
      <c r="B1770" s="1">
        <f t="shared" si="33"/>
        <v>7</v>
      </c>
      <c r="C1770" s="10" t="s">
        <v>315</v>
      </c>
      <c r="D1770" s="10" t="s">
        <v>315</v>
      </c>
      <c r="E1770" s="10" t="s">
        <v>315</v>
      </c>
    </row>
    <row r="1771" spans="1:5" x14ac:dyDescent="0.35">
      <c r="A1771" s="3">
        <v>45600</v>
      </c>
      <c r="B1771" s="1">
        <f t="shared" si="33"/>
        <v>1</v>
      </c>
      <c r="C1771" s="10" t="s">
        <v>315</v>
      </c>
      <c r="D1771" s="10" t="s">
        <v>315</v>
      </c>
      <c r="E1771" s="10" t="s">
        <v>315</v>
      </c>
    </row>
    <row r="1772" spans="1:5" x14ac:dyDescent="0.35">
      <c r="A1772" s="3">
        <v>45601</v>
      </c>
      <c r="B1772" s="1">
        <f t="shared" si="33"/>
        <v>2</v>
      </c>
      <c r="C1772" s="10" t="s">
        <v>315</v>
      </c>
      <c r="D1772" s="10" t="s">
        <v>315</v>
      </c>
      <c r="E1772" s="10" t="s">
        <v>315</v>
      </c>
    </row>
    <row r="1773" spans="1:5" x14ac:dyDescent="0.35">
      <c r="A1773" s="3">
        <v>45602</v>
      </c>
      <c r="B1773" s="1">
        <f t="shared" si="33"/>
        <v>3</v>
      </c>
      <c r="C1773" s="10" t="s">
        <v>315</v>
      </c>
      <c r="D1773" s="10" t="s">
        <v>315</v>
      </c>
      <c r="E1773" s="10" t="s">
        <v>315</v>
      </c>
    </row>
    <row r="1774" spans="1:5" x14ac:dyDescent="0.35">
      <c r="A1774" s="3">
        <v>45603</v>
      </c>
      <c r="B1774" s="1">
        <f t="shared" si="33"/>
        <v>4</v>
      </c>
      <c r="C1774" s="10" t="s">
        <v>315</v>
      </c>
      <c r="D1774" s="10" t="s">
        <v>315</v>
      </c>
      <c r="E1774" s="10" t="s">
        <v>315</v>
      </c>
    </row>
    <row r="1775" spans="1:5" x14ac:dyDescent="0.35">
      <c r="A1775" s="3">
        <v>45604</v>
      </c>
      <c r="B1775" s="1">
        <f t="shared" si="33"/>
        <v>5</v>
      </c>
      <c r="C1775" s="10" t="s">
        <v>315</v>
      </c>
      <c r="D1775" s="10" t="s">
        <v>315</v>
      </c>
      <c r="E1775" s="10" t="s">
        <v>315</v>
      </c>
    </row>
    <row r="1776" spans="1:5" x14ac:dyDescent="0.35">
      <c r="A1776" s="3">
        <v>45605</v>
      </c>
      <c r="B1776" s="1">
        <f t="shared" si="33"/>
        <v>6</v>
      </c>
      <c r="C1776" s="10" t="s">
        <v>315</v>
      </c>
      <c r="D1776" s="10" t="s">
        <v>315</v>
      </c>
      <c r="E1776" s="10" t="s">
        <v>315</v>
      </c>
    </row>
    <row r="1777" spans="1:5" x14ac:dyDescent="0.35">
      <c r="A1777" s="3">
        <v>45606</v>
      </c>
      <c r="B1777" s="1">
        <f t="shared" si="33"/>
        <v>7</v>
      </c>
      <c r="C1777" s="10" t="s">
        <v>315</v>
      </c>
      <c r="D1777" s="10" t="s">
        <v>315</v>
      </c>
      <c r="E1777" s="10" t="s">
        <v>315</v>
      </c>
    </row>
    <row r="1778" spans="1:5" x14ac:dyDescent="0.35">
      <c r="A1778" s="3">
        <v>45607</v>
      </c>
      <c r="B1778" s="1">
        <f t="shared" si="33"/>
        <v>1</v>
      </c>
      <c r="C1778" s="10" t="s">
        <v>315</v>
      </c>
      <c r="D1778" s="10" t="s">
        <v>315</v>
      </c>
      <c r="E1778" s="10" t="s">
        <v>315</v>
      </c>
    </row>
    <row r="1779" spans="1:5" x14ac:dyDescent="0.35">
      <c r="A1779" s="3">
        <v>45608</v>
      </c>
      <c r="B1779" s="1">
        <f t="shared" si="33"/>
        <v>2</v>
      </c>
      <c r="C1779" s="10" t="s">
        <v>315</v>
      </c>
      <c r="D1779" s="10" t="s">
        <v>315</v>
      </c>
      <c r="E1779" s="10" t="s">
        <v>315</v>
      </c>
    </row>
    <row r="1780" spans="1:5" x14ac:dyDescent="0.35">
      <c r="A1780" s="3">
        <v>45609</v>
      </c>
      <c r="B1780" s="1">
        <f t="shared" si="33"/>
        <v>3</v>
      </c>
      <c r="C1780" s="10" t="s">
        <v>315</v>
      </c>
      <c r="D1780" s="10" t="s">
        <v>315</v>
      </c>
      <c r="E1780" s="10" t="s">
        <v>315</v>
      </c>
    </row>
    <row r="1781" spans="1:5" x14ac:dyDescent="0.35">
      <c r="A1781" s="3">
        <v>45610</v>
      </c>
      <c r="B1781" s="1">
        <f t="shared" si="33"/>
        <v>4</v>
      </c>
      <c r="C1781" s="10" t="s">
        <v>315</v>
      </c>
      <c r="D1781" s="10" t="s">
        <v>315</v>
      </c>
      <c r="E1781" s="10" t="s">
        <v>315</v>
      </c>
    </row>
    <row r="1782" spans="1:5" x14ac:dyDescent="0.35">
      <c r="A1782" s="3">
        <v>45611</v>
      </c>
      <c r="B1782" s="1">
        <f t="shared" si="33"/>
        <v>5</v>
      </c>
      <c r="C1782" s="10" t="s">
        <v>315</v>
      </c>
      <c r="D1782" s="10" t="s">
        <v>315</v>
      </c>
      <c r="E1782" s="10" t="s">
        <v>315</v>
      </c>
    </row>
    <row r="1783" spans="1:5" x14ac:dyDescent="0.35">
      <c r="A1783" s="3">
        <v>45612</v>
      </c>
      <c r="B1783" s="1">
        <f t="shared" si="33"/>
        <v>6</v>
      </c>
      <c r="C1783" s="10" t="s">
        <v>315</v>
      </c>
      <c r="D1783" s="10" t="s">
        <v>315</v>
      </c>
      <c r="E1783" s="10" t="s">
        <v>315</v>
      </c>
    </row>
    <row r="1784" spans="1:5" x14ac:dyDescent="0.35">
      <c r="A1784" s="3">
        <v>45613</v>
      </c>
      <c r="B1784" s="1">
        <f t="shared" si="33"/>
        <v>7</v>
      </c>
      <c r="C1784" s="10" t="s">
        <v>315</v>
      </c>
      <c r="D1784" s="10" t="s">
        <v>315</v>
      </c>
      <c r="E1784" s="10" t="s">
        <v>315</v>
      </c>
    </row>
    <row r="1785" spans="1:5" x14ac:dyDescent="0.35">
      <c r="A1785" s="3">
        <v>45614</v>
      </c>
      <c r="B1785" s="1">
        <f t="shared" si="33"/>
        <v>1</v>
      </c>
      <c r="C1785" s="10" t="s">
        <v>315</v>
      </c>
      <c r="D1785" s="10" t="s">
        <v>315</v>
      </c>
      <c r="E1785" s="10" t="s">
        <v>315</v>
      </c>
    </row>
    <row r="1786" spans="1:5" x14ac:dyDescent="0.35">
      <c r="A1786" s="3">
        <v>45615</v>
      </c>
      <c r="B1786" s="1">
        <f t="shared" si="33"/>
        <v>2</v>
      </c>
      <c r="C1786" s="10" t="s">
        <v>315</v>
      </c>
      <c r="D1786" s="10" t="s">
        <v>315</v>
      </c>
      <c r="E1786" s="10" t="s">
        <v>315</v>
      </c>
    </row>
    <row r="1787" spans="1:5" x14ac:dyDescent="0.35">
      <c r="A1787" s="3">
        <v>45616</v>
      </c>
      <c r="B1787" s="1">
        <f t="shared" si="33"/>
        <v>3</v>
      </c>
      <c r="C1787" s="10" t="s">
        <v>315</v>
      </c>
      <c r="D1787" s="10" t="s">
        <v>315</v>
      </c>
      <c r="E1787" s="10" t="s">
        <v>315</v>
      </c>
    </row>
    <row r="1788" spans="1:5" x14ac:dyDescent="0.35">
      <c r="A1788" s="3">
        <v>45617</v>
      </c>
      <c r="B1788" s="1">
        <f t="shared" si="33"/>
        <v>4</v>
      </c>
      <c r="C1788" s="10" t="s">
        <v>315</v>
      </c>
      <c r="D1788" s="10" t="s">
        <v>315</v>
      </c>
      <c r="E1788" s="10" t="s">
        <v>315</v>
      </c>
    </row>
    <row r="1789" spans="1:5" x14ac:dyDescent="0.35">
      <c r="A1789" s="3">
        <v>45618</v>
      </c>
      <c r="B1789" s="1">
        <f t="shared" si="33"/>
        <v>5</v>
      </c>
      <c r="C1789" s="10" t="s">
        <v>315</v>
      </c>
      <c r="D1789" s="10" t="s">
        <v>315</v>
      </c>
      <c r="E1789" s="10" t="s">
        <v>315</v>
      </c>
    </row>
    <row r="1790" spans="1:5" x14ac:dyDescent="0.35">
      <c r="A1790" s="3">
        <v>45619</v>
      </c>
      <c r="B1790" s="1">
        <f t="shared" si="33"/>
        <v>6</v>
      </c>
      <c r="C1790" s="10" t="s">
        <v>315</v>
      </c>
      <c r="D1790" s="10" t="s">
        <v>315</v>
      </c>
      <c r="E1790" s="10" t="s">
        <v>315</v>
      </c>
    </row>
    <row r="1791" spans="1:5" x14ac:dyDescent="0.35">
      <c r="A1791" s="3">
        <v>45620</v>
      </c>
      <c r="B1791" s="1">
        <f t="shared" si="33"/>
        <v>7</v>
      </c>
      <c r="C1791" s="10" t="s">
        <v>315</v>
      </c>
      <c r="D1791" s="10" t="s">
        <v>315</v>
      </c>
      <c r="E1791" s="10" t="s">
        <v>315</v>
      </c>
    </row>
    <row r="1792" spans="1:5" x14ac:dyDescent="0.35">
      <c r="A1792" s="3">
        <v>45621</v>
      </c>
      <c r="B1792" s="1">
        <f t="shared" si="33"/>
        <v>1</v>
      </c>
      <c r="C1792" s="10" t="s">
        <v>315</v>
      </c>
      <c r="D1792" s="10" t="s">
        <v>315</v>
      </c>
      <c r="E1792" s="10" t="s">
        <v>315</v>
      </c>
    </row>
    <row r="1793" spans="1:5" x14ac:dyDescent="0.35">
      <c r="A1793" s="3">
        <v>45622</v>
      </c>
      <c r="B1793" s="1">
        <f t="shared" si="33"/>
        <v>2</v>
      </c>
      <c r="C1793" s="10" t="s">
        <v>315</v>
      </c>
      <c r="D1793" s="10" t="s">
        <v>315</v>
      </c>
      <c r="E1793" s="10" t="s">
        <v>315</v>
      </c>
    </row>
    <row r="1794" spans="1:5" x14ac:dyDescent="0.35">
      <c r="A1794" s="3">
        <v>45623</v>
      </c>
      <c r="B1794" s="1">
        <f t="shared" si="33"/>
        <v>3</v>
      </c>
      <c r="C1794" s="10" t="s">
        <v>315</v>
      </c>
      <c r="D1794" s="10" t="s">
        <v>315</v>
      </c>
      <c r="E1794" s="10" t="s">
        <v>315</v>
      </c>
    </row>
    <row r="1795" spans="1:5" x14ac:dyDescent="0.35">
      <c r="A1795" s="3">
        <v>45624</v>
      </c>
      <c r="B1795" s="1">
        <f t="shared" si="33"/>
        <v>4</v>
      </c>
      <c r="C1795" s="10" t="s">
        <v>315</v>
      </c>
      <c r="D1795" s="10" t="s">
        <v>315</v>
      </c>
      <c r="E1795" s="10" t="s">
        <v>315</v>
      </c>
    </row>
    <row r="1796" spans="1:5" x14ac:dyDescent="0.35">
      <c r="A1796" s="3">
        <v>45625</v>
      </c>
      <c r="B1796" s="1">
        <f t="shared" si="33"/>
        <v>5</v>
      </c>
      <c r="C1796" s="10" t="s">
        <v>315</v>
      </c>
      <c r="D1796" s="10" t="s">
        <v>315</v>
      </c>
      <c r="E1796" s="10" t="s">
        <v>315</v>
      </c>
    </row>
    <row r="1797" spans="1:5" x14ac:dyDescent="0.35">
      <c r="A1797" s="3">
        <v>45626</v>
      </c>
      <c r="B1797" s="1">
        <f t="shared" si="33"/>
        <v>6</v>
      </c>
      <c r="C1797" s="10" t="s">
        <v>315</v>
      </c>
      <c r="D1797" s="10" t="s">
        <v>315</v>
      </c>
      <c r="E1797" s="10" t="s">
        <v>315</v>
      </c>
    </row>
    <row r="1798" spans="1:5" x14ac:dyDescent="0.35">
      <c r="A1798" s="3">
        <v>45627</v>
      </c>
      <c r="B1798" s="1">
        <f t="shared" si="33"/>
        <v>7</v>
      </c>
      <c r="C1798" s="10" t="s">
        <v>315</v>
      </c>
      <c r="D1798" s="10" t="s">
        <v>315</v>
      </c>
      <c r="E1798" s="10" t="s">
        <v>315</v>
      </c>
    </row>
    <row r="1799" spans="1:5" x14ac:dyDescent="0.35">
      <c r="A1799" s="3">
        <v>45628</v>
      </c>
      <c r="B1799" s="1">
        <f t="shared" si="33"/>
        <v>1</v>
      </c>
      <c r="C1799" s="10" t="s">
        <v>315</v>
      </c>
      <c r="D1799" s="10" t="s">
        <v>315</v>
      </c>
      <c r="E1799" s="10" t="s">
        <v>315</v>
      </c>
    </row>
    <row r="1800" spans="1:5" x14ac:dyDescent="0.35">
      <c r="A1800" s="3">
        <v>45629</v>
      </c>
      <c r="B1800" s="1">
        <f t="shared" si="33"/>
        <v>2</v>
      </c>
      <c r="C1800" s="10" t="s">
        <v>315</v>
      </c>
      <c r="D1800" s="10" t="s">
        <v>315</v>
      </c>
      <c r="E1800" s="10" t="s">
        <v>315</v>
      </c>
    </row>
    <row r="1801" spans="1:5" x14ac:dyDescent="0.35">
      <c r="A1801" s="3">
        <v>45630</v>
      </c>
      <c r="B1801" s="1">
        <f t="shared" si="33"/>
        <v>3</v>
      </c>
      <c r="C1801" s="10" t="s">
        <v>315</v>
      </c>
      <c r="D1801" s="10" t="s">
        <v>315</v>
      </c>
      <c r="E1801" s="10" t="s">
        <v>315</v>
      </c>
    </row>
    <row r="1802" spans="1:5" x14ac:dyDescent="0.35">
      <c r="A1802" s="3">
        <v>45631</v>
      </c>
      <c r="B1802" s="1">
        <f t="shared" si="33"/>
        <v>4</v>
      </c>
      <c r="C1802" s="10" t="s">
        <v>315</v>
      </c>
      <c r="D1802" s="10" t="s">
        <v>315</v>
      </c>
      <c r="E1802" s="10" t="s">
        <v>315</v>
      </c>
    </row>
    <row r="1803" spans="1:5" x14ac:dyDescent="0.35">
      <c r="A1803" s="3">
        <v>45632</v>
      </c>
      <c r="B1803" s="1">
        <f t="shared" si="33"/>
        <v>5</v>
      </c>
      <c r="C1803" s="10" t="s">
        <v>315</v>
      </c>
      <c r="D1803" s="10" t="s">
        <v>315</v>
      </c>
      <c r="E1803" s="10" t="s">
        <v>315</v>
      </c>
    </row>
    <row r="1804" spans="1:5" x14ac:dyDescent="0.35">
      <c r="A1804" s="3">
        <v>45633</v>
      </c>
      <c r="B1804" s="1">
        <f t="shared" si="33"/>
        <v>6</v>
      </c>
      <c r="C1804" s="10" t="s">
        <v>315</v>
      </c>
      <c r="D1804" s="10" t="s">
        <v>315</v>
      </c>
      <c r="E1804" s="10" t="s">
        <v>315</v>
      </c>
    </row>
    <row r="1805" spans="1:5" x14ac:dyDescent="0.35">
      <c r="A1805" s="3">
        <v>45634</v>
      </c>
      <c r="B1805" s="1">
        <f t="shared" si="33"/>
        <v>7</v>
      </c>
      <c r="C1805" s="10" t="s">
        <v>315</v>
      </c>
      <c r="D1805" s="10" t="s">
        <v>315</v>
      </c>
      <c r="E1805" s="10" t="s">
        <v>315</v>
      </c>
    </row>
    <row r="1806" spans="1:5" x14ac:dyDescent="0.35">
      <c r="A1806" s="3">
        <v>45635</v>
      </c>
      <c r="B1806" s="1">
        <f t="shared" si="33"/>
        <v>1</v>
      </c>
      <c r="C1806" s="10" t="s">
        <v>315</v>
      </c>
      <c r="D1806" s="10" t="s">
        <v>315</v>
      </c>
      <c r="E1806" s="10" t="s">
        <v>315</v>
      </c>
    </row>
    <row r="1807" spans="1:5" x14ac:dyDescent="0.35">
      <c r="A1807" s="3">
        <v>45636</v>
      </c>
      <c r="B1807" s="1">
        <f t="shared" si="33"/>
        <v>2</v>
      </c>
      <c r="C1807" s="10" t="s">
        <v>315</v>
      </c>
      <c r="D1807" s="10" t="s">
        <v>315</v>
      </c>
      <c r="E1807" s="10" t="s">
        <v>315</v>
      </c>
    </row>
    <row r="1808" spans="1:5" x14ac:dyDescent="0.35">
      <c r="A1808" s="3">
        <v>45637</v>
      </c>
      <c r="B1808" s="1">
        <f t="shared" si="33"/>
        <v>3</v>
      </c>
      <c r="C1808" s="10" t="s">
        <v>315</v>
      </c>
      <c r="D1808" s="10" t="s">
        <v>315</v>
      </c>
      <c r="E1808" s="10" t="s">
        <v>315</v>
      </c>
    </row>
    <row r="1809" spans="1:5" x14ac:dyDescent="0.35">
      <c r="A1809" s="3">
        <v>45638</v>
      </c>
      <c r="B1809" s="1">
        <f t="shared" si="33"/>
        <v>4</v>
      </c>
      <c r="C1809" s="10" t="s">
        <v>315</v>
      </c>
      <c r="D1809" s="10" t="s">
        <v>315</v>
      </c>
      <c r="E1809" s="10" t="s">
        <v>315</v>
      </c>
    </row>
    <row r="1810" spans="1:5" x14ac:dyDescent="0.35">
      <c r="A1810" s="3">
        <v>45639</v>
      </c>
      <c r="B1810" s="1">
        <f t="shared" si="33"/>
        <v>5</v>
      </c>
      <c r="C1810" s="10" t="s">
        <v>315</v>
      </c>
      <c r="D1810" s="10" t="s">
        <v>315</v>
      </c>
      <c r="E1810" s="10" t="s">
        <v>315</v>
      </c>
    </row>
    <row r="1811" spans="1:5" x14ac:dyDescent="0.35">
      <c r="A1811" s="3">
        <v>45640</v>
      </c>
      <c r="B1811" s="1">
        <f t="shared" si="33"/>
        <v>6</v>
      </c>
      <c r="C1811" s="10" t="s">
        <v>315</v>
      </c>
      <c r="D1811" s="10" t="s">
        <v>315</v>
      </c>
      <c r="E1811" s="10" t="s">
        <v>315</v>
      </c>
    </row>
    <row r="1812" spans="1:5" x14ac:dyDescent="0.35">
      <c r="A1812" s="3">
        <v>45641</v>
      </c>
      <c r="B1812" s="1">
        <f t="shared" si="33"/>
        <v>7</v>
      </c>
      <c r="C1812" s="10" t="s">
        <v>315</v>
      </c>
      <c r="D1812" s="10" t="s">
        <v>315</v>
      </c>
      <c r="E1812" s="10" t="s">
        <v>315</v>
      </c>
    </row>
    <row r="1813" spans="1:5" x14ac:dyDescent="0.35">
      <c r="A1813" s="3">
        <v>45642</v>
      </c>
      <c r="B1813" s="1">
        <f t="shared" si="33"/>
        <v>1</v>
      </c>
      <c r="C1813" s="10" t="s">
        <v>315</v>
      </c>
      <c r="D1813" s="10" t="s">
        <v>315</v>
      </c>
      <c r="E1813" s="10" t="s">
        <v>315</v>
      </c>
    </row>
    <row r="1814" spans="1:5" x14ac:dyDescent="0.35">
      <c r="A1814" s="3">
        <v>45643</v>
      </c>
      <c r="B1814" s="1">
        <f t="shared" si="33"/>
        <v>2</v>
      </c>
      <c r="C1814" s="10" t="s">
        <v>315</v>
      </c>
      <c r="D1814" s="10" t="s">
        <v>315</v>
      </c>
      <c r="E1814" s="10" t="s">
        <v>315</v>
      </c>
    </row>
    <row r="1815" spans="1:5" x14ac:dyDescent="0.35">
      <c r="A1815" s="3">
        <v>45644</v>
      </c>
      <c r="B1815" s="1">
        <f t="shared" si="33"/>
        <v>3</v>
      </c>
      <c r="C1815" s="10" t="s">
        <v>315</v>
      </c>
      <c r="D1815" s="10" t="s">
        <v>315</v>
      </c>
      <c r="E1815" s="10" t="s">
        <v>315</v>
      </c>
    </row>
    <row r="1816" spans="1:5" x14ac:dyDescent="0.35">
      <c r="A1816" s="3">
        <v>45645</v>
      </c>
      <c r="B1816" s="1">
        <f t="shared" si="33"/>
        <v>4</v>
      </c>
      <c r="C1816" s="10" t="s">
        <v>315</v>
      </c>
      <c r="D1816" s="10" t="s">
        <v>315</v>
      </c>
      <c r="E1816" s="10" t="s">
        <v>315</v>
      </c>
    </row>
    <row r="1817" spans="1:5" x14ac:dyDescent="0.35">
      <c r="A1817" s="3">
        <v>45646</v>
      </c>
      <c r="B1817" s="1">
        <f t="shared" si="33"/>
        <v>5</v>
      </c>
      <c r="C1817" s="10" t="s">
        <v>315</v>
      </c>
      <c r="D1817" s="10" t="s">
        <v>315</v>
      </c>
      <c r="E1817" s="10" t="s">
        <v>315</v>
      </c>
    </row>
    <row r="1818" spans="1:5" x14ac:dyDescent="0.35">
      <c r="A1818" s="3">
        <v>45647</v>
      </c>
      <c r="B1818" s="1">
        <f t="shared" si="33"/>
        <v>6</v>
      </c>
      <c r="C1818" s="10" t="s">
        <v>315</v>
      </c>
      <c r="D1818" s="10" t="s">
        <v>315</v>
      </c>
      <c r="E1818" s="10" t="s">
        <v>315</v>
      </c>
    </row>
    <row r="1819" spans="1:5" x14ac:dyDescent="0.35">
      <c r="A1819" s="3">
        <v>45648</v>
      </c>
      <c r="B1819" s="1">
        <f t="shared" si="33"/>
        <v>7</v>
      </c>
      <c r="C1819" s="10" t="s">
        <v>315</v>
      </c>
      <c r="D1819" s="10" t="s">
        <v>315</v>
      </c>
      <c r="E1819" s="10" t="s">
        <v>315</v>
      </c>
    </row>
    <row r="1820" spans="1:5" x14ac:dyDescent="0.35">
      <c r="A1820" s="3">
        <v>45649</v>
      </c>
      <c r="B1820" s="1">
        <f t="shared" si="33"/>
        <v>1</v>
      </c>
      <c r="C1820" s="10" t="s">
        <v>315</v>
      </c>
      <c r="D1820" s="10" t="s">
        <v>315</v>
      </c>
      <c r="E1820" s="10" t="s">
        <v>315</v>
      </c>
    </row>
    <row r="1821" spans="1:5" x14ac:dyDescent="0.35">
      <c r="A1821" s="3">
        <v>45650</v>
      </c>
      <c r="B1821" s="1">
        <f t="shared" si="33"/>
        <v>2</v>
      </c>
      <c r="C1821" s="10" t="s">
        <v>315</v>
      </c>
      <c r="D1821" s="10" t="s">
        <v>315</v>
      </c>
      <c r="E1821" s="10" t="s">
        <v>315</v>
      </c>
    </row>
    <row r="1822" spans="1:5" x14ac:dyDescent="0.35">
      <c r="A1822" s="3">
        <v>45651</v>
      </c>
      <c r="B1822" s="1">
        <f t="shared" si="33"/>
        <v>3</v>
      </c>
      <c r="C1822" s="10" t="s">
        <v>315</v>
      </c>
      <c r="D1822" s="10" t="s">
        <v>315</v>
      </c>
      <c r="E1822" s="10" t="s">
        <v>315</v>
      </c>
    </row>
    <row r="1823" spans="1:5" x14ac:dyDescent="0.35">
      <c r="A1823" s="3">
        <v>45652</v>
      </c>
      <c r="B1823" s="1">
        <f t="shared" si="33"/>
        <v>4</v>
      </c>
      <c r="C1823" s="10" t="s">
        <v>315</v>
      </c>
      <c r="D1823" s="10" t="s">
        <v>315</v>
      </c>
      <c r="E1823" s="10" t="s">
        <v>315</v>
      </c>
    </row>
    <row r="1824" spans="1:5" x14ac:dyDescent="0.35">
      <c r="A1824" s="3">
        <v>45653</v>
      </c>
      <c r="B1824" s="1">
        <f t="shared" ref="B1824:B1887" si="34">IF(A1824&gt;0,WEEKDAY(A1824,2),"")</f>
        <v>5</v>
      </c>
      <c r="C1824" s="10" t="s">
        <v>315</v>
      </c>
      <c r="D1824" s="10" t="s">
        <v>315</v>
      </c>
      <c r="E1824" s="10" t="s">
        <v>315</v>
      </c>
    </row>
    <row r="1825" spans="1:5" x14ac:dyDescent="0.35">
      <c r="A1825" s="3">
        <v>45654</v>
      </c>
      <c r="B1825" s="1">
        <f t="shared" si="34"/>
        <v>6</v>
      </c>
      <c r="C1825" s="10" t="s">
        <v>315</v>
      </c>
      <c r="D1825" s="10" t="s">
        <v>315</v>
      </c>
      <c r="E1825" s="10" t="s">
        <v>315</v>
      </c>
    </row>
    <row r="1826" spans="1:5" x14ac:dyDescent="0.35">
      <c r="A1826" s="3">
        <v>45655</v>
      </c>
      <c r="B1826" s="1">
        <f t="shared" si="34"/>
        <v>7</v>
      </c>
      <c r="C1826" s="10" t="s">
        <v>315</v>
      </c>
      <c r="D1826" s="10" t="s">
        <v>315</v>
      </c>
      <c r="E1826" s="10" t="s">
        <v>315</v>
      </c>
    </row>
    <row r="1827" spans="1:5" x14ac:dyDescent="0.35">
      <c r="A1827" s="3">
        <v>45656</v>
      </c>
      <c r="B1827" s="1">
        <f t="shared" si="34"/>
        <v>1</v>
      </c>
      <c r="C1827" s="10" t="s">
        <v>315</v>
      </c>
      <c r="D1827" s="10" t="s">
        <v>315</v>
      </c>
      <c r="E1827" s="10" t="s">
        <v>315</v>
      </c>
    </row>
    <row r="1828" spans="1:5" x14ac:dyDescent="0.35">
      <c r="A1828" s="3">
        <v>45657</v>
      </c>
      <c r="B1828" s="1">
        <f t="shared" si="34"/>
        <v>2</v>
      </c>
      <c r="C1828" s="10" t="s">
        <v>315</v>
      </c>
      <c r="D1828" s="10" t="s">
        <v>315</v>
      </c>
      <c r="E1828" s="10" t="s">
        <v>315</v>
      </c>
    </row>
    <row r="1829" spans="1:5" x14ac:dyDescent="0.35">
      <c r="A1829" s="3">
        <v>45658</v>
      </c>
      <c r="B1829" s="1">
        <f t="shared" si="34"/>
        <v>3</v>
      </c>
      <c r="C1829" s="10" t="s">
        <v>315</v>
      </c>
      <c r="D1829" s="10" t="s">
        <v>315</v>
      </c>
      <c r="E1829" s="10" t="s">
        <v>315</v>
      </c>
    </row>
    <row r="1830" spans="1:5" x14ac:dyDescent="0.35">
      <c r="A1830" s="3">
        <v>45659</v>
      </c>
      <c r="B1830" s="1">
        <f t="shared" si="34"/>
        <v>4</v>
      </c>
      <c r="C1830" s="10" t="s">
        <v>315</v>
      </c>
      <c r="D1830" s="10" t="s">
        <v>315</v>
      </c>
      <c r="E1830" s="10" t="s">
        <v>315</v>
      </c>
    </row>
    <row r="1831" spans="1:5" x14ac:dyDescent="0.35">
      <c r="A1831" s="3">
        <v>45660</v>
      </c>
      <c r="B1831" s="1">
        <f t="shared" si="34"/>
        <v>5</v>
      </c>
      <c r="C1831" s="10" t="s">
        <v>315</v>
      </c>
      <c r="D1831" s="10" t="s">
        <v>315</v>
      </c>
      <c r="E1831" s="10" t="s">
        <v>315</v>
      </c>
    </row>
    <row r="1832" spans="1:5" x14ac:dyDescent="0.35">
      <c r="A1832" s="3">
        <v>45661</v>
      </c>
      <c r="B1832" s="1">
        <f t="shared" si="34"/>
        <v>6</v>
      </c>
      <c r="C1832" s="10" t="s">
        <v>315</v>
      </c>
      <c r="D1832" s="10" t="s">
        <v>315</v>
      </c>
      <c r="E1832" s="10" t="s">
        <v>315</v>
      </c>
    </row>
    <row r="1833" spans="1:5" x14ac:dyDescent="0.35">
      <c r="A1833" s="3">
        <v>45662</v>
      </c>
      <c r="B1833" s="1">
        <f t="shared" si="34"/>
        <v>7</v>
      </c>
      <c r="C1833" s="10" t="s">
        <v>315</v>
      </c>
      <c r="D1833" s="10" t="s">
        <v>315</v>
      </c>
      <c r="E1833" s="10" t="s">
        <v>315</v>
      </c>
    </row>
    <row r="1834" spans="1:5" x14ac:dyDescent="0.35">
      <c r="A1834" s="3">
        <v>45663</v>
      </c>
      <c r="B1834" s="1">
        <f t="shared" si="34"/>
        <v>1</v>
      </c>
      <c r="C1834" s="10" t="s">
        <v>315</v>
      </c>
      <c r="D1834" s="10" t="s">
        <v>315</v>
      </c>
      <c r="E1834" s="10" t="s">
        <v>315</v>
      </c>
    </row>
    <row r="1835" spans="1:5" x14ac:dyDescent="0.35">
      <c r="A1835" s="3">
        <v>45664</v>
      </c>
      <c r="B1835" s="1">
        <f t="shared" si="34"/>
        <v>2</v>
      </c>
      <c r="C1835" s="10" t="s">
        <v>315</v>
      </c>
      <c r="D1835" s="10" t="s">
        <v>315</v>
      </c>
      <c r="E1835" s="10" t="s">
        <v>315</v>
      </c>
    </row>
    <row r="1836" spans="1:5" x14ac:dyDescent="0.35">
      <c r="A1836" s="3">
        <v>45665</v>
      </c>
      <c r="B1836" s="1">
        <f t="shared" si="34"/>
        <v>3</v>
      </c>
      <c r="C1836" s="10" t="s">
        <v>315</v>
      </c>
      <c r="D1836" s="10" t="s">
        <v>315</v>
      </c>
      <c r="E1836" s="10" t="s">
        <v>315</v>
      </c>
    </row>
    <row r="1837" spans="1:5" x14ac:dyDescent="0.35">
      <c r="A1837" s="3">
        <v>45666</v>
      </c>
      <c r="B1837" s="1">
        <f t="shared" si="34"/>
        <v>4</v>
      </c>
      <c r="C1837" s="10" t="s">
        <v>315</v>
      </c>
      <c r="D1837" s="10" t="s">
        <v>315</v>
      </c>
      <c r="E1837" s="10" t="s">
        <v>315</v>
      </c>
    </row>
    <row r="1838" spans="1:5" x14ac:dyDescent="0.35">
      <c r="A1838" s="3">
        <v>45667</v>
      </c>
      <c r="B1838" s="1">
        <f t="shared" si="34"/>
        <v>5</v>
      </c>
      <c r="C1838" s="10" t="s">
        <v>315</v>
      </c>
      <c r="D1838" s="10" t="s">
        <v>315</v>
      </c>
      <c r="E1838" s="10" t="s">
        <v>315</v>
      </c>
    </row>
    <row r="1839" spans="1:5" x14ac:dyDescent="0.35">
      <c r="A1839" s="3">
        <v>45668</v>
      </c>
      <c r="B1839" s="1">
        <f t="shared" si="34"/>
        <v>6</v>
      </c>
      <c r="C1839" s="10" t="s">
        <v>315</v>
      </c>
      <c r="D1839" s="10" t="s">
        <v>315</v>
      </c>
      <c r="E1839" s="10" t="s">
        <v>315</v>
      </c>
    </row>
    <row r="1840" spans="1:5" x14ac:dyDescent="0.35">
      <c r="A1840" s="3">
        <v>45669</v>
      </c>
      <c r="B1840" s="1">
        <f t="shared" si="34"/>
        <v>7</v>
      </c>
      <c r="C1840" s="10" t="s">
        <v>315</v>
      </c>
      <c r="D1840" s="10" t="s">
        <v>315</v>
      </c>
      <c r="E1840" s="10" t="s">
        <v>315</v>
      </c>
    </row>
    <row r="1841" spans="1:5" x14ac:dyDescent="0.35">
      <c r="A1841" s="3">
        <v>45670</v>
      </c>
      <c r="B1841" s="1">
        <f t="shared" si="34"/>
        <v>1</v>
      </c>
      <c r="C1841" s="10" t="s">
        <v>315</v>
      </c>
      <c r="D1841" s="10" t="s">
        <v>315</v>
      </c>
      <c r="E1841" s="10" t="s">
        <v>315</v>
      </c>
    </row>
    <row r="1842" spans="1:5" x14ac:dyDescent="0.35">
      <c r="A1842" s="3">
        <v>45671</v>
      </c>
      <c r="B1842" s="1">
        <f t="shared" si="34"/>
        <v>2</v>
      </c>
      <c r="C1842" s="10" t="s">
        <v>315</v>
      </c>
      <c r="D1842" s="10" t="s">
        <v>315</v>
      </c>
      <c r="E1842" s="10" t="s">
        <v>315</v>
      </c>
    </row>
    <row r="1843" spans="1:5" x14ac:dyDescent="0.35">
      <c r="A1843" s="3">
        <v>45672</v>
      </c>
      <c r="B1843" s="1">
        <f t="shared" si="34"/>
        <v>3</v>
      </c>
      <c r="C1843" s="10" t="s">
        <v>315</v>
      </c>
      <c r="D1843" s="10" t="s">
        <v>315</v>
      </c>
      <c r="E1843" s="10" t="s">
        <v>315</v>
      </c>
    </row>
    <row r="1844" spans="1:5" x14ac:dyDescent="0.35">
      <c r="A1844" s="3">
        <v>45673</v>
      </c>
      <c r="B1844" s="1">
        <f t="shared" si="34"/>
        <v>4</v>
      </c>
      <c r="C1844" s="10" t="s">
        <v>315</v>
      </c>
      <c r="D1844" s="10" t="s">
        <v>315</v>
      </c>
      <c r="E1844" s="10" t="s">
        <v>315</v>
      </c>
    </row>
    <row r="1845" spans="1:5" x14ac:dyDescent="0.35">
      <c r="A1845" s="3">
        <v>45674</v>
      </c>
      <c r="B1845" s="1">
        <f t="shared" si="34"/>
        <v>5</v>
      </c>
      <c r="C1845" s="10" t="s">
        <v>315</v>
      </c>
      <c r="D1845" s="10" t="s">
        <v>315</v>
      </c>
      <c r="E1845" s="10" t="s">
        <v>315</v>
      </c>
    </row>
    <row r="1846" spans="1:5" x14ac:dyDescent="0.35">
      <c r="A1846" s="3">
        <v>45675</v>
      </c>
      <c r="B1846" s="1">
        <f t="shared" si="34"/>
        <v>6</v>
      </c>
      <c r="C1846" s="10" t="s">
        <v>315</v>
      </c>
      <c r="D1846" s="10" t="s">
        <v>315</v>
      </c>
      <c r="E1846" s="10" t="s">
        <v>315</v>
      </c>
    </row>
    <row r="1847" spans="1:5" x14ac:dyDescent="0.35">
      <c r="A1847" s="3">
        <v>45676</v>
      </c>
      <c r="B1847" s="1">
        <f t="shared" si="34"/>
        <v>7</v>
      </c>
      <c r="C1847" s="10" t="s">
        <v>315</v>
      </c>
      <c r="D1847" s="10" t="s">
        <v>315</v>
      </c>
      <c r="E1847" s="10" t="s">
        <v>315</v>
      </c>
    </row>
    <row r="1848" spans="1:5" x14ac:dyDescent="0.35">
      <c r="A1848" s="3">
        <v>45677</v>
      </c>
      <c r="B1848" s="1">
        <f t="shared" si="34"/>
        <v>1</v>
      </c>
      <c r="C1848" s="10" t="s">
        <v>315</v>
      </c>
      <c r="D1848" s="10" t="s">
        <v>315</v>
      </c>
      <c r="E1848" s="10" t="s">
        <v>315</v>
      </c>
    </row>
    <row r="1849" spans="1:5" x14ac:dyDescent="0.35">
      <c r="A1849" s="3">
        <v>45678</v>
      </c>
      <c r="B1849" s="1">
        <f t="shared" si="34"/>
        <v>2</v>
      </c>
      <c r="C1849" s="10" t="s">
        <v>315</v>
      </c>
      <c r="D1849" s="10" t="s">
        <v>315</v>
      </c>
      <c r="E1849" s="10" t="s">
        <v>315</v>
      </c>
    </row>
    <row r="1850" spans="1:5" x14ac:dyDescent="0.35">
      <c r="A1850" s="3">
        <v>45679</v>
      </c>
      <c r="B1850" s="1">
        <f t="shared" si="34"/>
        <v>3</v>
      </c>
      <c r="C1850" s="10" t="s">
        <v>315</v>
      </c>
      <c r="D1850" s="10" t="s">
        <v>315</v>
      </c>
      <c r="E1850" s="10" t="s">
        <v>315</v>
      </c>
    </row>
    <row r="1851" spans="1:5" x14ac:dyDescent="0.35">
      <c r="A1851" s="3">
        <v>45680</v>
      </c>
      <c r="B1851" s="1">
        <f t="shared" si="34"/>
        <v>4</v>
      </c>
      <c r="C1851" s="10" t="s">
        <v>315</v>
      </c>
      <c r="D1851" s="10" t="s">
        <v>315</v>
      </c>
      <c r="E1851" s="10" t="s">
        <v>315</v>
      </c>
    </row>
    <row r="1852" spans="1:5" x14ac:dyDescent="0.35">
      <c r="A1852" s="3">
        <v>45681</v>
      </c>
      <c r="B1852" s="1">
        <f t="shared" si="34"/>
        <v>5</v>
      </c>
      <c r="C1852" s="10" t="s">
        <v>315</v>
      </c>
      <c r="D1852" s="10" t="s">
        <v>315</v>
      </c>
      <c r="E1852" s="10" t="s">
        <v>315</v>
      </c>
    </row>
    <row r="1853" spans="1:5" x14ac:dyDescent="0.35">
      <c r="A1853" s="3">
        <v>45682</v>
      </c>
      <c r="B1853" s="1">
        <f t="shared" si="34"/>
        <v>6</v>
      </c>
      <c r="C1853" s="10" t="s">
        <v>315</v>
      </c>
      <c r="D1853" s="10" t="s">
        <v>315</v>
      </c>
      <c r="E1853" s="10" t="s">
        <v>315</v>
      </c>
    </row>
    <row r="1854" spans="1:5" x14ac:dyDescent="0.35">
      <c r="A1854" s="3">
        <v>45683</v>
      </c>
      <c r="B1854" s="1">
        <f t="shared" si="34"/>
        <v>7</v>
      </c>
      <c r="C1854" s="10" t="s">
        <v>315</v>
      </c>
      <c r="D1854" s="10" t="s">
        <v>315</v>
      </c>
      <c r="E1854" s="10" t="s">
        <v>315</v>
      </c>
    </row>
    <row r="1855" spans="1:5" x14ac:dyDescent="0.35">
      <c r="A1855" s="3">
        <v>45684</v>
      </c>
      <c r="B1855" s="1">
        <f t="shared" si="34"/>
        <v>1</v>
      </c>
      <c r="C1855" s="10" t="s">
        <v>315</v>
      </c>
      <c r="D1855" s="10" t="s">
        <v>315</v>
      </c>
      <c r="E1855" s="10" t="s">
        <v>315</v>
      </c>
    </row>
    <row r="1856" spans="1:5" x14ac:dyDescent="0.35">
      <c r="A1856" s="3">
        <v>45685</v>
      </c>
      <c r="B1856" s="1">
        <f t="shared" si="34"/>
        <v>2</v>
      </c>
      <c r="C1856" s="10" t="s">
        <v>315</v>
      </c>
      <c r="D1856" s="10" t="s">
        <v>315</v>
      </c>
      <c r="E1856" s="10" t="s">
        <v>315</v>
      </c>
    </row>
    <row r="1857" spans="1:5" x14ac:dyDescent="0.35">
      <c r="A1857" s="3">
        <v>45686</v>
      </c>
      <c r="B1857" s="1">
        <f t="shared" si="34"/>
        <v>3</v>
      </c>
      <c r="C1857" s="10" t="s">
        <v>315</v>
      </c>
      <c r="D1857" s="10" t="s">
        <v>315</v>
      </c>
      <c r="E1857" s="10" t="s">
        <v>315</v>
      </c>
    </row>
    <row r="1858" spans="1:5" x14ac:dyDescent="0.35">
      <c r="A1858" s="3">
        <v>45687</v>
      </c>
      <c r="B1858" s="1">
        <f t="shared" si="34"/>
        <v>4</v>
      </c>
      <c r="C1858" s="10" t="s">
        <v>315</v>
      </c>
      <c r="D1858" s="10" t="s">
        <v>315</v>
      </c>
      <c r="E1858" s="10" t="s">
        <v>315</v>
      </c>
    </row>
    <row r="1859" spans="1:5" x14ac:dyDescent="0.35">
      <c r="A1859" s="3">
        <v>45688</v>
      </c>
      <c r="B1859" s="1">
        <f t="shared" si="34"/>
        <v>5</v>
      </c>
      <c r="C1859" s="10" t="s">
        <v>315</v>
      </c>
      <c r="D1859" s="10" t="s">
        <v>315</v>
      </c>
      <c r="E1859" s="10" t="s">
        <v>315</v>
      </c>
    </row>
    <row r="1860" spans="1:5" x14ac:dyDescent="0.35">
      <c r="A1860" s="3">
        <v>45689</v>
      </c>
      <c r="B1860" s="1">
        <f t="shared" si="34"/>
        <v>6</v>
      </c>
      <c r="C1860" s="10" t="s">
        <v>315</v>
      </c>
      <c r="D1860" s="10" t="s">
        <v>315</v>
      </c>
      <c r="E1860" s="10" t="s">
        <v>313</v>
      </c>
    </row>
    <row r="1861" spans="1:5" x14ac:dyDescent="0.35">
      <c r="A1861" s="3">
        <v>45690</v>
      </c>
      <c r="B1861" s="1">
        <f t="shared" si="34"/>
        <v>7</v>
      </c>
      <c r="C1861" s="10" t="s">
        <v>313</v>
      </c>
      <c r="D1861" s="10" t="s">
        <v>313</v>
      </c>
      <c r="E1861" s="10" t="s">
        <v>313</v>
      </c>
    </row>
    <row r="1862" spans="1:5" x14ac:dyDescent="0.35">
      <c r="A1862" s="3">
        <v>45691</v>
      </c>
      <c r="B1862" s="1">
        <f t="shared" si="34"/>
        <v>1</v>
      </c>
      <c r="C1862" s="10" t="s">
        <v>315</v>
      </c>
      <c r="D1862" s="10" t="s">
        <v>315</v>
      </c>
      <c r="E1862" s="10" t="s">
        <v>315</v>
      </c>
    </row>
    <row r="1863" spans="1:5" x14ac:dyDescent="0.35">
      <c r="A1863" s="3">
        <v>45692</v>
      </c>
      <c r="B1863" s="1">
        <f t="shared" si="34"/>
        <v>2</v>
      </c>
      <c r="C1863" s="10" t="s">
        <v>315</v>
      </c>
      <c r="D1863" s="10" t="s">
        <v>315</v>
      </c>
      <c r="E1863" s="10" t="s">
        <v>315</v>
      </c>
    </row>
    <row r="1864" spans="1:5" x14ac:dyDescent="0.35">
      <c r="A1864" s="3">
        <v>45693</v>
      </c>
      <c r="B1864" s="1">
        <f t="shared" si="34"/>
        <v>3</v>
      </c>
      <c r="C1864" s="10" t="s">
        <v>315</v>
      </c>
      <c r="D1864" s="10" t="s">
        <v>315</v>
      </c>
      <c r="E1864" s="10" t="s">
        <v>315</v>
      </c>
    </row>
    <row r="1865" spans="1:5" x14ac:dyDescent="0.35">
      <c r="A1865" s="3">
        <v>45694</v>
      </c>
      <c r="B1865" s="1">
        <f t="shared" si="34"/>
        <v>4</v>
      </c>
      <c r="C1865" s="10" t="s">
        <v>315</v>
      </c>
      <c r="D1865" s="10" t="s">
        <v>315</v>
      </c>
      <c r="E1865" s="10" t="s">
        <v>315</v>
      </c>
    </row>
    <row r="1866" spans="1:5" x14ac:dyDescent="0.35">
      <c r="A1866" s="3">
        <v>45695</v>
      </c>
      <c r="B1866" s="1">
        <f t="shared" si="34"/>
        <v>5</v>
      </c>
      <c r="C1866" s="10" t="s">
        <v>315</v>
      </c>
      <c r="D1866" s="10" t="s">
        <v>315</v>
      </c>
      <c r="E1866" s="10" t="s">
        <v>315</v>
      </c>
    </row>
    <row r="1867" spans="1:5" x14ac:dyDescent="0.35">
      <c r="A1867" s="3">
        <v>45696</v>
      </c>
      <c r="B1867" s="1">
        <f t="shared" si="34"/>
        <v>6</v>
      </c>
      <c r="C1867" s="10" t="s">
        <v>315</v>
      </c>
      <c r="D1867" s="10" t="s">
        <v>315</v>
      </c>
      <c r="E1867" s="10" t="s">
        <v>315</v>
      </c>
    </row>
    <row r="1868" spans="1:5" x14ac:dyDescent="0.35">
      <c r="A1868" s="3">
        <v>45697</v>
      </c>
      <c r="B1868" s="1">
        <f t="shared" si="34"/>
        <v>7</v>
      </c>
      <c r="C1868" s="10" t="s">
        <v>315</v>
      </c>
      <c r="D1868" s="10" t="s">
        <v>315</v>
      </c>
      <c r="E1868" s="10" t="s">
        <v>315</v>
      </c>
    </row>
    <row r="1869" spans="1:5" x14ac:dyDescent="0.35">
      <c r="A1869" s="3">
        <v>45698</v>
      </c>
      <c r="B1869" s="1">
        <f t="shared" si="34"/>
        <v>1</v>
      </c>
      <c r="C1869" s="10" t="s">
        <v>315</v>
      </c>
      <c r="D1869" s="10" t="s">
        <v>315</v>
      </c>
      <c r="E1869" s="10" t="s">
        <v>315</v>
      </c>
    </row>
    <row r="1870" spans="1:5" x14ac:dyDescent="0.35">
      <c r="A1870" s="3">
        <v>45699</v>
      </c>
      <c r="B1870" s="1">
        <f t="shared" si="34"/>
        <v>2</v>
      </c>
      <c r="C1870" s="10" t="s">
        <v>315</v>
      </c>
      <c r="D1870" s="10" t="s">
        <v>315</v>
      </c>
      <c r="E1870" s="10" t="s">
        <v>315</v>
      </c>
    </row>
    <row r="1871" spans="1:5" x14ac:dyDescent="0.35">
      <c r="A1871" s="3">
        <v>45700</v>
      </c>
      <c r="B1871" s="1">
        <f t="shared" si="34"/>
        <v>3</v>
      </c>
      <c r="C1871" s="10" t="s">
        <v>315</v>
      </c>
      <c r="D1871" s="10" t="s">
        <v>315</v>
      </c>
      <c r="E1871" s="10" t="s">
        <v>315</v>
      </c>
    </row>
    <row r="1872" spans="1:5" x14ac:dyDescent="0.35">
      <c r="A1872" s="3">
        <v>45701</v>
      </c>
      <c r="B1872" s="1">
        <f t="shared" si="34"/>
        <v>4</v>
      </c>
      <c r="C1872" s="10" t="s">
        <v>315</v>
      </c>
      <c r="D1872" s="10" t="s">
        <v>315</v>
      </c>
      <c r="E1872" s="10" t="s">
        <v>315</v>
      </c>
    </row>
    <row r="1873" spans="1:5" x14ac:dyDescent="0.35">
      <c r="A1873" s="3">
        <v>45702</v>
      </c>
      <c r="B1873" s="1">
        <f t="shared" si="34"/>
        <v>5</v>
      </c>
      <c r="C1873" s="10" t="s">
        <v>315</v>
      </c>
      <c r="D1873" s="10" t="s">
        <v>315</v>
      </c>
      <c r="E1873" s="10" t="s">
        <v>315</v>
      </c>
    </row>
    <row r="1874" spans="1:5" x14ac:dyDescent="0.35">
      <c r="A1874" s="3">
        <v>45703</v>
      </c>
      <c r="B1874" s="1">
        <f t="shared" si="34"/>
        <v>6</v>
      </c>
      <c r="C1874" s="10" t="s">
        <v>315</v>
      </c>
      <c r="D1874" s="10" t="s">
        <v>315</v>
      </c>
      <c r="E1874" s="10" t="s">
        <v>315</v>
      </c>
    </row>
    <row r="1875" spans="1:5" x14ac:dyDescent="0.35">
      <c r="A1875" s="3">
        <v>45704</v>
      </c>
      <c r="B1875" s="1">
        <f t="shared" si="34"/>
        <v>7</v>
      </c>
      <c r="C1875" s="10" t="s">
        <v>315</v>
      </c>
      <c r="D1875" s="10" t="s">
        <v>315</v>
      </c>
      <c r="E1875" s="10" t="s">
        <v>315</v>
      </c>
    </row>
    <row r="1876" spans="1:5" x14ac:dyDescent="0.35">
      <c r="A1876" s="3">
        <v>45705</v>
      </c>
      <c r="B1876" s="1">
        <f t="shared" si="34"/>
        <v>1</v>
      </c>
      <c r="C1876" s="10" t="s">
        <v>315</v>
      </c>
      <c r="D1876" s="10" t="s">
        <v>315</v>
      </c>
      <c r="E1876" s="10" t="s">
        <v>315</v>
      </c>
    </row>
    <row r="1877" spans="1:5" x14ac:dyDescent="0.35">
      <c r="A1877" s="3">
        <v>45706</v>
      </c>
      <c r="B1877" s="1">
        <f t="shared" si="34"/>
        <v>2</v>
      </c>
      <c r="C1877" s="10" t="s">
        <v>315</v>
      </c>
      <c r="D1877" s="10" t="s">
        <v>315</v>
      </c>
      <c r="E1877" s="10" t="s">
        <v>315</v>
      </c>
    </row>
    <row r="1878" spans="1:5" x14ac:dyDescent="0.35">
      <c r="A1878" s="3">
        <v>45707</v>
      </c>
      <c r="B1878" s="1">
        <f t="shared" si="34"/>
        <v>3</v>
      </c>
      <c r="C1878" s="10" t="s">
        <v>315</v>
      </c>
      <c r="D1878" s="10" t="s">
        <v>315</v>
      </c>
      <c r="E1878" s="10" t="s">
        <v>315</v>
      </c>
    </row>
    <row r="1879" spans="1:5" x14ac:dyDescent="0.35">
      <c r="A1879" s="3">
        <v>45708</v>
      </c>
      <c r="B1879" s="1">
        <f t="shared" si="34"/>
        <v>4</v>
      </c>
      <c r="C1879" s="10" t="s">
        <v>315</v>
      </c>
      <c r="D1879" s="10" t="s">
        <v>315</v>
      </c>
      <c r="E1879" s="10" t="s">
        <v>315</v>
      </c>
    </row>
    <row r="1880" spans="1:5" x14ac:dyDescent="0.35">
      <c r="A1880" s="3">
        <v>45709</v>
      </c>
      <c r="B1880" s="1">
        <f t="shared" si="34"/>
        <v>5</v>
      </c>
      <c r="C1880" s="10" t="s">
        <v>315</v>
      </c>
      <c r="D1880" s="10" t="s">
        <v>315</v>
      </c>
      <c r="E1880" s="10" t="s">
        <v>315</v>
      </c>
    </row>
    <row r="1881" spans="1:5" x14ac:dyDescent="0.35">
      <c r="A1881" s="3">
        <v>45710</v>
      </c>
      <c r="B1881" s="1">
        <f t="shared" si="34"/>
        <v>6</v>
      </c>
      <c r="C1881" s="10" t="s">
        <v>315</v>
      </c>
      <c r="D1881" s="10" t="s">
        <v>315</v>
      </c>
      <c r="E1881" s="10" t="s">
        <v>315</v>
      </c>
    </row>
    <row r="1882" spans="1:5" x14ac:dyDescent="0.35">
      <c r="A1882" s="3">
        <v>45711</v>
      </c>
      <c r="B1882" s="1">
        <f t="shared" si="34"/>
        <v>7</v>
      </c>
      <c r="C1882" s="10" t="s">
        <v>315</v>
      </c>
      <c r="D1882" s="10" t="s">
        <v>315</v>
      </c>
      <c r="E1882" s="10" t="s">
        <v>315</v>
      </c>
    </row>
    <row r="1883" spans="1:5" x14ac:dyDescent="0.35">
      <c r="A1883" s="3">
        <v>45712</v>
      </c>
      <c r="B1883" s="1">
        <f t="shared" si="34"/>
        <v>1</v>
      </c>
      <c r="C1883" s="10" t="s">
        <v>315</v>
      </c>
      <c r="D1883" s="10" t="s">
        <v>315</v>
      </c>
      <c r="E1883" s="10" t="s">
        <v>315</v>
      </c>
    </row>
    <row r="1884" spans="1:5" x14ac:dyDescent="0.35">
      <c r="A1884" s="3">
        <v>45713</v>
      </c>
      <c r="B1884" s="1">
        <f t="shared" si="34"/>
        <v>2</v>
      </c>
      <c r="C1884" s="10" t="s">
        <v>315</v>
      </c>
      <c r="D1884" s="10" t="s">
        <v>315</v>
      </c>
      <c r="E1884" s="10" t="s">
        <v>315</v>
      </c>
    </row>
    <row r="1885" spans="1:5" x14ac:dyDescent="0.35">
      <c r="A1885" s="3">
        <v>45714</v>
      </c>
      <c r="B1885" s="1">
        <f t="shared" si="34"/>
        <v>3</v>
      </c>
      <c r="C1885" s="10" t="s">
        <v>315</v>
      </c>
      <c r="D1885" s="10" t="s">
        <v>315</v>
      </c>
      <c r="E1885" s="10" t="s">
        <v>315</v>
      </c>
    </row>
    <row r="1886" spans="1:5" x14ac:dyDescent="0.35">
      <c r="A1886" s="3">
        <v>45715</v>
      </c>
      <c r="B1886" s="1">
        <f t="shared" si="34"/>
        <v>4</v>
      </c>
      <c r="C1886" s="10" t="s">
        <v>315</v>
      </c>
      <c r="D1886" s="10" t="s">
        <v>315</v>
      </c>
      <c r="E1886" s="10" t="s">
        <v>315</v>
      </c>
    </row>
    <row r="1887" spans="1:5" x14ac:dyDescent="0.35">
      <c r="A1887" s="3">
        <v>45716</v>
      </c>
      <c r="B1887" s="1">
        <f t="shared" si="34"/>
        <v>5</v>
      </c>
      <c r="C1887" s="10" t="s">
        <v>315</v>
      </c>
      <c r="D1887" s="10" t="s">
        <v>315</v>
      </c>
      <c r="E1887" s="10" t="s">
        <v>315</v>
      </c>
    </row>
    <row r="1888" spans="1:5" x14ac:dyDescent="0.35">
      <c r="A1888" s="3">
        <v>45717</v>
      </c>
      <c r="B1888" s="1">
        <f t="shared" ref="B1888:B1951" si="35">IF(A1888&gt;0,WEEKDAY(A1888,2),"")</f>
        <v>6</v>
      </c>
      <c r="C1888" s="10" t="s">
        <v>315</v>
      </c>
      <c r="D1888" s="10" t="s">
        <v>315</v>
      </c>
      <c r="E1888" s="10" t="s">
        <v>315</v>
      </c>
    </row>
    <row r="1889" spans="1:5" x14ac:dyDescent="0.35">
      <c r="A1889" s="3">
        <v>45718</v>
      </c>
      <c r="B1889" s="1">
        <f t="shared" si="35"/>
        <v>7</v>
      </c>
      <c r="C1889" s="10" t="s">
        <v>315</v>
      </c>
      <c r="D1889" s="10" t="s">
        <v>315</v>
      </c>
      <c r="E1889" s="10" t="s">
        <v>315</v>
      </c>
    </row>
    <row r="1890" spans="1:5" x14ac:dyDescent="0.35">
      <c r="A1890" s="3">
        <v>45719</v>
      </c>
      <c r="B1890" s="1">
        <f t="shared" si="35"/>
        <v>1</v>
      </c>
      <c r="C1890" s="10" t="s">
        <v>315</v>
      </c>
      <c r="D1890" s="10" t="s">
        <v>315</v>
      </c>
      <c r="E1890" s="10" t="s">
        <v>315</v>
      </c>
    </row>
    <row r="1891" spans="1:5" x14ac:dyDescent="0.35">
      <c r="A1891" s="3">
        <v>45720</v>
      </c>
      <c r="B1891" s="1">
        <f t="shared" si="35"/>
        <v>2</v>
      </c>
      <c r="C1891" s="10" t="s">
        <v>315</v>
      </c>
      <c r="D1891" s="10" t="s">
        <v>315</v>
      </c>
      <c r="E1891" s="10" t="s">
        <v>315</v>
      </c>
    </row>
    <row r="1892" spans="1:5" x14ac:dyDescent="0.35">
      <c r="A1892" s="3">
        <v>45721</v>
      </c>
      <c r="B1892" s="1">
        <f t="shared" si="35"/>
        <v>3</v>
      </c>
      <c r="C1892" s="10" t="s">
        <v>315</v>
      </c>
      <c r="D1892" s="10" t="s">
        <v>315</v>
      </c>
      <c r="E1892" s="10" t="s">
        <v>315</v>
      </c>
    </row>
    <row r="1893" spans="1:5" x14ac:dyDescent="0.35">
      <c r="A1893" s="3">
        <v>45722</v>
      </c>
      <c r="B1893" s="1">
        <f t="shared" si="35"/>
        <v>4</v>
      </c>
      <c r="C1893" s="10" t="s">
        <v>315</v>
      </c>
      <c r="D1893" s="10" t="s">
        <v>315</v>
      </c>
      <c r="E1893" s="10" t="s">
        <v>315</v>
      </c>
    </row>
    <row r="1894" spans="1:5" x14ac:dyDescent="0.35">
      <c r="A1894" s="3">
        <v>45723</v>
      </c>
      <c r="B1894" s="1">
        <f t="shared" si="35"/>
        <v>5</v>
      </c>
      <c r="C1894" s="10" t="s">
        <v>315</v>
      </c>
      <c r="D1894" s="10" t="s">
        <v>315</v>
      </c>
      <c r="E1894" s="10" t="s">
        <v>315</v>
      </c>
    </row>
    <row r="1895" spans="1:5" x14ac:dyDescent="0.35">
      <c r="A1895" s="3">
        <v>45724</v>
      </c>
      <c r="B1895" s="1">
        <f t="shared" si="35"/>
        <v>6</v>
      </c>
      <c r="C1895" s="10" t="s">
        <v>315</v>
      </c>
      <c r="D1895" s="10" t="s">
        <v>313</v>
      </c>
      <c r="E1895" s="10" t="s">
        <v>313</v>
      </c>
    </row>
    <row r="1896" spans="1:5" x14ac:dyDescent="0.35">
      <c r="A1896" s="3">
        <v>45725</v>
      </c>
      <c r="B1896" s="1">
        <f t="shared" si="35"/>
        <v>7</v>
      </c>
      <c r="C1896" s="10" t="s">
        <v>313</v>
      </c>
      <c r="D1896" s="10" t="s">
        <v>313</v>
      </c>
      <c r="E1896" s="10" t="s">
        <v>313</v>
      </c>
    </row>
    <row r="1897" spans="1:5" x14ac:dyDescent="0.35">
      <c r="A1897" s="3">
        <v>45726</v>
      </c>
      <c r="B1897" s="1">
        <f t="shared" si="35"/>
        <v>1</v>
      </c>
      <c r="C1897" s="10" t="s">
        <v>315</v>
      </c>
      <c r="D1897" s="10" t="s">
        <v>313</v>
      </c>
      <c r="E1897" s="10" t="s">
        <v>315</v>
      </c>
    </row>
    <row r="1898" spans="1:5" x14ac:dyDescent="0.35">
      <c r="A1898" s="3">
        <v>45727</v>
      </c>
      <c r="B1898" s="1">
        <f t="shared" si="35"/>
        <v>2</v>
      </c>
      <c r="C1898" s="10" t="s">
        <v>315</v>
      </c>
      <c r="D1898" s="10" t="s">
        <v>315</v>
      </c>
      <c r="E1898" s="10" t="s">
        <v>315</v>
      </c>
    </row>
    <row r="1899" spans="1:5" x14ac:dyDescent="0.35">
      <c r="A1899" s="3">
        <v>45728</v>
      </c>
      <c r="B1899" s="1">
        <f t="shared" si="35"/>
        <v>3</v>
      </c>
      <c r="C1899" s="10" t="s">
        <v>315</v>
      </c>
      <c r="D1899" s="10" t="s">
        <v>315</v>
      </c>
      <c r="E1899" s="10" t="s">
        <v>315</v>
      </c>
    </row>
    <row r="1900" spans="1:5" x14ac:dyDescent="0.35">
      <c r="A1900" s="3">
        <v>45729</v>
      </c>
      <c r="B1900" s="1">
        <f t="shared" si="35"/>
        <v>4</v>
      </c>
      <c r="C1900" s="10" t="s">
        <v>315</v>
      </c>
      <c r="D1900" s="10" t="s">
        <v>315</v>
      </c>
      <c r="E1900" s="10" t="s">
        <v>315</v>
      </c>
    </row>
    <row r="1901" spans="1:5" x14ac:dyDescent="0.35">
      <c r="A1901" s="3">
        <v>45730</v>
      </c>
      <c r="B1901" s="1">
        <f t="shared" si="35"/>
        <v>5</v>
      </c>
      <c r="C1901" s="10" t="s">
        <v>315</v>
      </c>
      <c r="D1901" s="10" t="s">
        <v>315</v>
      </c>
      <c r="E1901" s="10" t="s">
        <v>315</v>
      </c>
    </row>
    <row r="1902" spans="1:5" x14ac:dyDescent="0.35">
      <c r="A1902" s="3">
        <v>45731</v>
      </c>
      <c r="B1902" s="1">
        <f t="shared" si="35"/>
        <v>6</v>
      </c>
      <c r="C1902" s="10" t="s">
        <v>315</v>
      </c>
      <c r="D1902" s="10" t="s">
        <v>313</v>
      </c>
      <c r="E1902" s="10" t="s">
        <v>313</v>
      </c>
    </row>
    <row r="1903" spans="1:5" x14ac:dyDescent="0.35">
      <c r="A1903" s="3">
        <v>45732</v>
      </c>
      <c r="B1903" s="1">
        <f t="shared" si="35"/>
        <v>7</v>
      </c>
      <c r="C1903" s="10" t="s">
        <v>313</v>
      </c>
      <c r="D1903" s="10" t="s">
        <v>313</v>
      </c>
      <c r="E1903" s="10" t="s">
        <v>313</v>
      </c>
    </row>
    <row r="1904" spans="1:5" x14ac:dyDescent="0.35">
      <c r="A1904" s="3">
        <v>45733</v>
      </c>
      <c r="B1904" s="1">
        <f t="shared" si="35"/>
        <v>1</v>
      </c>
      <c r="C1904" s="10" t="s">
        <v>315</v>
      </c>
      <c r="D1904" s="10" t="s">
        <v>315</v>
      </c>
      <c r="E1904" s="10" t="s">
        <v>315</v>
      </c>
    </row>
    <row r="1905" spans="1:5" x14ac:dyDescent="0.35">
      <c r="A1905" s="3">
        <v>45734</v>
      </c>
      <c r="B1905" s="1">
        <f t="shared" si="35"/>
        <v>2</v>
      </c>
      <c r="C1905" s="10" t="s">
        <v>315</v>
      </c>
      <c r="D1905" s="10" t="s">
        <v>315</v>
      </c>
      <c r="E1905" s="10" t="s">
        <v>315</v>
      </c>
    </row>
    <row r="1906" spans="1:5" x14ac:dyDescent="0.35">
      <c r="A1906" s="3">
        <v>45735</v>
      </c>
      <c r="B1906" s="1">
        <f t="shared" si="35"/>
        <v>3</v>
      </c>
      <c r="C1906" s="10" t="s">
        <v>315</v>
      </c>
      <c r="D1906" s="10" t="s">
        <v>315</v>
      </c>
      <c r="E1906" s="10" t="s">
        <v>315</v>
      </c>
    </row>
    <row r="1907" spans="1:5" x14ac:dyDescent="0.35">
      <c r="A1907" s="3">
        <v>45736</v>
      </c>
      <c r="B1907" s="1">
        <f t="shared" si="35"/>
        <v>4</v>
      </c>
      <c r="C1907" s="10" t="s">
        <v>315</v>
      </c>
      <c r="D1907" s="10" t="s">
        <v>315</v>
      </c>
      <c r="E1907" s="10" t="s">
        <v>315</v>
      </c>
    </row>
    <row r="1908" spans="1:5" x14ac:dyDescent="0.35">
      <c r="A1908" s="3">
        <v>45737</v>
      </c>
      <c r="B1908" s="1">
        <f t="shared" si="35"/>
        <v>5</v>
      </c>
      <c r="C1908" s="10" t="s">
        <v>315</v>
      </c>
      <c r="D1908" s="10" t="s">
        <v>315</v>
      </c>
      <c r="E1908" s="10" t="s">
        <v>315</v>
      </c>
    </row>
    <row r="1909" spans="1:5" x14ac:dyDescent="0.35">
      <c r="A1909" s="3">
        <v>45738</v>
      </c>
      <c r="B1909" s="1">
        <f t="shared" si="35"/>
        <v>6</v>
      </c>
      <c r="C1909" s="10" t="s">
        <v>315</v>
      </c>
      <c r="D1909" s="10" t="s">
        <v>315</v>
      </c>
      <c r="E1909" s="10" t="s">
        <v>315</v>
      </c>
    </row>
    <row r="1910" spans="1:5" x14ac:dyDescent="0.35">
      <c r="A1910" s="3">
        <v>45739</v>
      </c>
      <c r="B1910" s="1">
        <f t="shared" si="35"/>
        <v>7</v>
      </c>
      <c r="C1910" s="10" t="s">
        <v>315</v>
      </c>
      <c r="D1910" s="10" t="s">
        <v>315</v>
      </c>
      <c r="E1910" s="10" t="s">
        <v>315</v>
      </c>
    </row>
    <row r="1911" spans="1:5" x14ac:dyDescent="0.35">
      <c r="A1911" s="3">
        <v>45740</v>
      </c>
      <c r="B1911" s="1">
        <f t="shared" si="35"/>
        <v>1</v>
      </c>
      <c r="C1911" s="10" t="s">
        <v>315</v>
      </c>
      <c r="D1911" s="10" t="s">
        <v>315</v>
      </c>
      <c r="E1911" s="10" t="s">
        <v>315</v>
      </c>
    </row>
    <row r="1912" spans="1:5" x14ac:dyDescent="0.35">
      <c r="A1912" s="3">
        <v>45741</v>
      </c>
      <c r="B1912" s="1">
        <f t="shared" si="35"/>
        <v>2</v>
      </c>
      <c r="C1912" s="10" t="s">
        <v>315</v>
      </c>
      <c r="D1912" s="10" t="s">
        <v>315</v>
      </c>
      <c r="E1912" s="10" t="s">
        <v>315</v>
      </c>
    </row>
    <row r="1913" spans="1:5" x14ac:dyDescent="0.35">
      <c r="A1913" s="3">
        <v>45742</v>
      </c>
      <c r="B1913" s="1">
        <f t="shared" si="35"/>
        <v>3</v>
      </c>
      <c r="C1913" s="10" t="s">
        <v>315</v>
      </c>
      <c r="D1913" s="10" t="s">
        <v>315</v>
      </c>
      <c r="E1913" s="10" t="s">
        <v>315</v>
      </c>
    </row>
    <row r="1914" spans="1:5" x14ac:dyDescent="0.35">
      <c r="A1914" s="3">
        <v>45743</v>
      </c>
      <c r="B1914" s="1">
        <f t="shared" si="35"/>
        <v>4</v>
      </c>
      <c r="C1914" s="10" t="s">
        <v>315</v>
      </c>
      <c r="D1914" s="10" t="s">
        <v>315</v>
      </c>
      <c r="E1914" s="10" t="s">
        <v>315</v>
      </c>
    </row>
    <row r="1915" spans="1:5" x14ac:dyDescent="0.35">
      <c r="A1915" s="3">
        <v>45744</v>
      </c>
      <c r="B1915" s="1">
        <f t="shared" si="35"/>
        <v>5</v>
      </c>
      <c r="C1915" s="10" t="s">
        <v>315</v>
      </c>
      <c r="D1915" s="10" t="s">
        <v>315</v>
      </c>
      <c r="E1915" s="10" t="s">
        <v>315</v>
      </c>
    </row>
    <row r="1916" spans="1:5" x14ac:dyDescent="0.35">
      <c r="A1916" s="3">
        <v>45745</v>
      </c>
      <c r="B1916" s="1">
        <f t="shared" si="35"/>
        <v>6</v>
      </c>
      <c r="C1916" s="10" t="s">
        <v>315</v>
      </c>
      <c r="D1916" s="10" t="s">
        <v>315</v>
      </c>
      <c r="E1916" s="10" t="s">
        <v>315</v>
      </c>
    </row>
    <row r="1917" spans="1:5" x14ac:dyDescent="0.35">
      <c r="A1917" s="3">
        <v>45746</v>
      </c>
      <c r="B1917" s="1">
        <f t="shared" si="35"/>
        <v>7</v>
      </c>
      <c r="C1917" s="10" t="s">
        <v>315</v>
      </c>
      <c r="D1917" s="10" t="s">
        <v>315</v>
      </c>
      <c r="E1917" s="10" t="s">
        <v>315</v>
      </c>
    </row>
    <row r="1918" spans="1:5" x14ac:dyDescent="0.35">
      <c r="A1918" s="3">
        <v>45747</v>
      </c>
      <c r="B1918" s="1">
        <f t="shared" si="35"/>
        <v>1</v>
      </c>
      <c r="C1918" s="10" t="s">
        <v>315</v>
      </c>
      <c r="D1918" s="10" t="s">
        <v>315</v>
      </c>
      <c r="E1918" s="10" t="s">
        <v>315</v>
      </c>
    </row>
    <row r="1919" spans="1:5" x14ac:dyDescent="0.35">
      <c r="A1919" s="3">
        <v>45748</v>
      </c>
      <c r="B1919" s="1">
        <f t="shared" si="35"/>
        <v>2</v>
      </c>
      <c r="C1919" s="10" t="s">
        <v>315</v>
      </c>
      <c r="D1919" s="10" t="s">
        <v>315</v>
      </c>
      <c r="E1919" s="10" t="s">
        <v>315</v>
      </c>
    </row>
    <row r="1920" spans="1:5" x14ac:dyDescent="0.35">
      <c r="A1920" s="3">
        <v>45749</v>
      </c>
      <c r="B1920" s="1">
        <f t="shared" si="35"/>
        <v>3</v>
      </c>
      <c r="C1920" s="10" t="s">
        <v>315</v>
      </c>
      <c r="D1920" s="10" t="s">
        <v>315</v>
      </c>
      <c r="E1920" s="10" t="s">
        <v>315</v>
      </c>
    </row>
    <row r="1921" spans="1:5" x14ac:dyDescent="0.35">
      <c r="A1921" s="3">
        <v>45750</v>
      </c>
      <c r="B1921" s="1">
        <f t="shared" si="35"/>
        <v>4</v>
      </c>
      <c r="C1921" s="10" t="s">
        <v>315</v>
      </c>
      <c r="D1921" s="10" t="s">
        <v>315</v>
      </c>
      <c r="E1921" s="10" t="s">
        <v>315</v>
      </c>
    </row>
    <row r="1922" spans="1:5" x14ac:dyDescent="0.35">
      <c r="A1922" s="3">
        <v>45751</v>
      </c>
      <c r="B1922" s="1">
        <f t="shared" si="35"/>
        <v>5</v>
      </c>
      <c r="C1922" s="10" t="s">
        <v>315</v>
      </c>
      <c r="D1922" s="10" t="s">
        <v>315</v>
      </c>
      <c r="E1922" s="10" t="s">
        <v>315</v>
      </c>
    </row>
    <row r="1923" spans="1:5" x14ac:dyDescent="0.35">
      <c r="A1923" s="3">
        <v>45752</v>
      </c>
      <c r="B1923" s="1">
        <f t="shared" si="35"/>
        <v>6</v>
      </c>
      <c r="C1923" s="10" t="s">
        <v>315</v>
      </c>
      <c r="D1923" s="10" t="s">
        <v>315</v>
      </c>
      <c r="E1923" s="10" t="s">
        <v>315</v>
      </c>
    </row>
    <row r="1924" spans="1:5" x14ac:dyDescent="0.35">
      <c r="A1924" s="3">
        <v>45753</v>
      </c>
      <c r="B1924" s="1">
        <f t="shared" si="35"/>
        <v>7</v>
      </c>
      <c r="C1924" s="10" t="s">
        <v>315</v>
      </c>
      <c r="D1924" s="10" t="s">
        <v>315</v>
      </c>
      <c r="E1924" s="10" t="s">
        <v>315</v>
      </c>
    </row>
    <row r="1925" spans="1:5" x14ac:dyDescent="0.35">
      <c r="A1925" s="3">
        <v>45754</v>
      </c>
      <c r="B1925" s="1">
        <f t="shared" si="35"/>
        <v>1</v>
      </c>
      <c r="C1925" s="10" t="s">
        <v>315</v>
      </c>
      <c r="D1925" s="10" t="s">
        <v>315</v>
      </c>
      <c r="E1925" s="10" t="s">
        <v>315</v>
      </c>
    </row>
    <row r="1926" spans="1:5" x14ac:dyDescent="0.35">
      <c r="A1926" s="3">
        <v>45755</v>
      </c>
      <c r="B1926" s="1">
        <f t="shared" si="35"/>
        <v>2</v>
      </c>
      <c r="C1926" s="10" t="s">
        <v>315</v>
      </c>
      <c r="D1926" s="10" t="s">
        <v>315</v>
      </c>
      <c r="E1926" s="10" t="s">
        <v>315</v>
      </c>
    </row>
    <row r="1927" spans="1:5" x14ac:dyDescent="0.35">
      <c r="A1927" s="3">
        <v>45756</v>
      </c>
      <c r="B1927" s="1">
        <f t="shared" si="35"/>
        <v>3</v>
      </c>
      <c r="C1927" s="10" t="s">
        <v>315</v>
      </c>
      <c r="D1927" s="10" t="s">
        <v>315</v>
      </c>
      <c r="E1927" s="10" t="s">
        <v>315</v>
      </c>
    </row>
    <row r="1928" spans="1:5" x14ac:dyDescent="0.35">
      <c r="A1928" s="3">
        <v>45757</v>
      </c>
      <c r="B1928" s="1">
        <f t="shared" si="35"/>
        <v>4</v>
      </c>
      <c r="C1928" s="10" t="s">
        <v>315</v>
      </c>
      <c r="D1928" s="10" t="s">
        <v>315</v>
      </c>
      <c r="E1928" s="10" t="s">
        <v>315</v>
      </c>
    </row>
    <row r="1929" spans="1:5" x14ac:dyDescent="0.35">
      <c r="A1929" s="3">
        <v>45758</v>
      </c>
      <c r="B1929" s="1">
        <f t="shared" si="35"/>
        <v>5</v>
      </c>
      <c r="C1929" s="10" t="s">
        <v>315</v>
      </c>
      <c r="D1929" s="10" t="s">
        <v>315</v>
      </c>
      <c r="E1929" s="10" t="s">
        <v>315</v>
      </c>
    </row>
    <row r="1930" spans="1:5" x14ac:dyDescent="0.35">
      <c r="A1930" s="3">
        <v>45759</v>
      </c>
      <c r="B1930" s="1">
        <f t="shared" si="35"/>
        <v>6</v>
      </c>
      <c r="C1930" s="10" t="s">
        <v>315</v>
      </c>
      <c r="D1930" s="10" t="s">
        <v>315</v>
      </c>
      <c r="E1930" s="10" t="s">
        <v>315</v>
      </c>
    </row>
    <row r="1931" spans="1:5" x14ac:dyDescent="0.35">
      <c r="A1931" s="3">
        <v>45760</v>
      </c>
      <c r="B1931" s="1">
        <f t="shared" si="35"/>
        <v>7</v>
      </c>
      <c r="C1931" s="10" t="s">
        <v>315</v>
      </c>
      <c r="D1931" s="10" t="s">
        <v>315</v>
      </c>
      <c r="E1931" s="10" t="s">
        <v>315</v>
      </c>
    </row>
    <row r="1932" spans="1:5" x14ac:dyDescent="0.35">
      <c r="A1932" s="3">
        <v>45761</v>
      </c>
      <c r="B1932" s="1">
        <f t="shared" si="35"/>
        <v>1</v>
      </c>
      <c r="C1932" s="10" t="s">
        <v>315</v>
      </c>
      <c r="D1932" s="10" t="s">
        <v>315</v>
      </c>
      <c r="E1932" s="10" t="s">
        <v>315</v>
      </c>
    </row>
    <row r="1933" spans="1:5" x14ac:dyDescent="0.35">
      <c r="A1933" s="3">
        <v>45762</v>
      </c>
      <c r="B1933" s="1">
        <f t="shared" si="35"/>
        <v>2</v>
      </c>
      <c r="C1933" s="10" t="s">
        <v>315</v>
      </c>
      <c r="D1933" s="10" t="s">
        <v>315</v>
      </c>
      <c r="E1933" s="10" t="s">
        <v>315</v>
      </c>
    </row>
    <row r="1934" spans="1:5" x14ac:dyDescent="0.35">
      <c r="A1934" s="3">
        <v>45763</v>
      </c>
      <c r="B1934" s="1">
        <f t="shared" si="35"/>
        <v>3</v>
      </c>
      <c r="C1934" s="10" t="s">
        <v>315</v>
      </c>
      <c r="D1934" s="10" t="s">
        <v>315</v>
      </c>
      <c r="E1934" s="10" t="s">
        <v>315</v>
      </c>
    </row>
    <row r="1935" spans="1:5" x14ac:dyDescent="0.35">
      <c r="A1935" s="3">
        <v>45764</v>
      </c>
      <c r="B1935" s="1">
        <f t="shared" si="35"/>
        <v>4</v>
      </c>
      <c r="C1935" s="10" t="s">
        <v>315</v>
      </c>
      <c r="D1935" s="10" t="s">
        <v>315</v>
      </c>
      <c r="E1935" s="10" t="s">
        <v>315</v>
      </c>
    </row>
    <row r="1936" spans="1:5" x14ac:dyDescent="0.35">
      <c r="A1936" s="3">
        <v>45765</v>
      </c>
      <c r="B1936" s="1">
        <f t="shared" si="35"/>
        <v>5</v>
      </c>
      <c r="C1936" s="10" t="s">
        <v>315</v>
      </c>
      <c r="D1936" s="10" t="s">
        <v>315</v>
      </c>
      <c r="E1936" s="10" t="s">
        <v>315</v>
      </c>
    </row>
    <row r="1937" spans="1:5" x14ac:dyDescent="0.35">
      <c r="A1937" s="3">
        <v>45766</v>
      </c>
      <c r="B1937" s="1">
        <f t="shared" si="35"/>
        <v>6</v>
      </c>
      <c r="C1937" s="10" t="s">
        <v>315</v>
      </c>
      <c r="D1937" s="10" t="s">
        <v>315</v>
      </c>
      <c r="E1937" s="10" t="s">
        <v>315</v>
      </c>
    </row>
    <row r="1938" spans="1:5" x14ac:dyDescent="0.35">
      <c r="A1938" s="3">
        <v>45767</v>
      </c>
      <c r="B1938" s="1">
        <f t="shared" si="35"/>
        <v>7</v>
      </c>
      <c r="C1938" s="10" t="s">
        <v>315</v>
      </c>
      <c r="D1938" s="10" t="s">
        <v>315</v>
      </c>
      <c r="E1938" s="10" t="s">
        <v>315</v>
      </c>
    </row>
    <row r="1939" spans="1:5" x14ac:dyDescent="0.35">
      <c r="A1939" s="3">
        <v>45768</v>
      </c>
      <c r="B1939" s="1">
        <f t="shared" si="35"/>
        <v>1</v>
      </c>
      <c r="C1939" s="10" t="s">
        <v>315</v>
      </c>
      <c r="D1939" s="10" t="s">
        <v>315</v>
      </c>
      <c r="E1939" s="10" t="s">
        <v>315</v>
      </c>
    </row>
    <row r="1940" spans="1:5" x14ac:dyDescent="0.35">
      <c r="A1940" s="3">
        <v>45769</v>
      </c>
      <c r="B1940" s="1">
        <f t="shared" si="35"/>
        <v>2</v>
      </c>
      <c r="C1940" s="10" t="s">
        <v>315</v>
      </c>
      <c r="D1940" s="10" t="s">
        <v>315</v>
      </c>
      <c r="E1940" s="10" t="s">
        <v>315</v>
      </c>
    </row>
    <row r="1941" spans="1:5" x14ac:dyDescent="0.35">
      <c r="A1941" s="3">
        <v>45770</v>
      </c>
      <c r="B1941" s="1">
        <f t="shared" si="35"/>
        <v>3</v>
      </c>
      <c r="C1941" s="10" t="s">
        <v>315</v>
      </c>
      <c r="D1941" s="10" t="s">
        <v>315</v>
      </c>
      <c r="E1941" s="10" t="s">
        <v>315</v>
      </c>
    </row>
    <row r="1942" spans="1:5" x14ac:dyDescent="0.35">
      <c r="A1942" s="3">
        <v>45771</v>
      </c>
      <c r="B1942" s="1">
        <f t="shared" si="35"/>
        <v>4</v>
      </c>
      <c r="C1942" s="10" t="s">
        <v>315</v>
      </c>
      <c r="D1942" s="10" t="s">
        <v>315</v>
      </c>
      <c r="E1942" s="10" t="s">
        <v>315</v>
      </c>
    </row>
    <row r="1943" spans="1:5" x14ac:dyDescent="0.35">
      <c r="A1943" s="3">
        <v>45772</v>
      </c>
      <c r="B1943" s="1">
        <f t="shared" si="35"/>
        <v>5</v>
      </c>
      <c r="C1943" s="10" t="s">
        <v>315</v>
      </c>
      <c r="D1943" s="10" t="s">
        <v>315</v>
      </c>
      <c r="E1943" s="10" t="s">
        <v>315</v>
      </c>
    </row>
    <row r="1944" spans="1:5" x14ac:dyDescent="0.35">
      <c r="A1944" s="3">
        <v>45773</v>
      </c>
      <c r="B1944" s="1">
        <f t="shared" si="35"/>
        <v>6</v>
      </c>
      <c r="C1944" s="10" t="s">
        <v>315</v>
      </c>
      <c r="D1944" s="10" t="s">
        <v>315</v>
      </c>
      <c r="E1944" s="10" t="s">
        <v>315</v>
      </c>
    </row>
    <row r="1945" spans="1:5" x14ac:dyDescent="0.35">
      <c r="A1945" s="3">
        <v>45774</v>
      </c>
      <c r="B1945" s="1">
        <f t="shared" si="35"/>
        <v>7</v>
      </c>
      <c r="C1945" s="10" t="s">
        <v>315</v>
      </c>
      <c r="D1945" s="10" t="s">
        <v>315</v>
      </c>
      <c r="E1945" s="10" t="s">
        <v>315</v>
      </c>
    </row>
    <row r="1946" spans="1:5" x14ac:dyDescent="0.35">
      <c r="A1946" s="3">
        <v>45775</v>
      </c>
      <c r="B1946" s="1">
        <f t="shared" si="35"/>
        <v>1</v>
      </c>
      <c r="C1946" s="10" t="s">
        <v>315</v>
      </c>
      <c r="D1946" s="10" t="s">
        <v>315</v>
      </c>
      <c r="E1946" s="10" t="s">
        <v>315</v>
      </c>
    </row>
    <row r="1947" spans="1:5" x14ac:dyDescent="0.35">
      <c r="A1947" s="3">
        <v>45776</v>
      </c>
      <c r="B1947" s="1">
        <f t="shared" si="35"/>
        <v>2</v>
      </c>
      <c r="C1947" s="10" t="s">
        <v>315</v>
      </c>
      <c r="D1947" s="10" t="s">
        <v>315</v>
      </c>
      <c r="E1947" s="10" t="s">
        <v>315</v>
      </c>
    </row>
    <row r="1948" spans="1:5" x14ac:dyDescent="0.35">
      <c r="A1948" s="3">
        <v>45777</v>
      </c>
      <c r="B1948" s="1">
        <f t="shared" si="35"/>
        <v>3</v>
      </c>
      <c r="C1948" s="10" t="s">
        <v>315</v>
      </c>
      <c r="D1948" s="10" t="s">
        <v>315</v>
      </c>
      <c r="E1948" s="10" t="s">
        <v>315</v>
      </c>
    </row>
    <row r="1949" spans="1:5" x14ac:dyDescent="0.35">
      <c r="A1949" s="3">
        <v>45778</v>
      </c>
      <c r="B1949" s="1">
        <f t="shared" si="35"/>
        <v>4</v>
      </c>
      <c r="C1949" s="10" t="s">
        <v>315</v>
      </c>
      <c r="D1949" s="10" t="s">
        <v>315</v>
      </c>
      <c r="E1949" s="10" t="s">
        <v>315</v>
      </c>
    </row>
    <row r="1950" spans="1:5" x14ac:dyDescent="0.35">
      <c r="A1950" s="3">
        <v>45779</v>
      </c>
      <c r="B1950" s="1">
        <f t="shared" si="35"/>
        <v>5</v>
      </c>
      <c r="C1950" s="10" t="s">
        <v>315</v>
      </c>
      <c r="D1950" s="10" t="s">
        <v>315</v>
      </c>
      <c r="E1950" s="10" t="s">
        <v>315</v>
      </c>
    </row>
    <row r="1951" spans="1:5" x14ac:dyDescent="0.35">
      <c r="A1951" s="3">
        <v>45780</v>
      </c>
      <c r="B1951" s="1">
        <f t="shared" si="35"/>
        <v>6</v>
      </c>
      <c r="C1951" s="10" t="s">
        <v>315</v>
      </c>
      <c r="D1951" s="10" t="s">
        <v>315</v>
      </c>
      <c r="E1951" s="10" t="s">
        <v>315</v>
      </c>
    </row>
    <row r="1952" spans="1:5" x14ac:dyDescent="0.35">
      <c r="A1952" s="3">
        <v>45781</v>
      </c>
      <c r="B1952" s="1">
        <f t="shared" ref="B1952:B2015" si="36">IF(A1952&gt;0,WEEKDAY(A1952,2),"")</f>
        <v>7</v>
      </c>
      <c r="C1952" s="10" t="s">
        <v>315</v>
      </c>
      <c r="D1952" s="10" t="s">
        <v>315</v>
      </c>
      <c r="E1952" s="10" t="s">
        <v>315</v>
      </c>
    </row>
    <row r="1953" spans="1:5" x14ac:dyDescent="0.35">
      <c r="A1953" s="3">
        <v>45782</v>
      </c>
      <c r="B1953" s="1">
        <f t="shared" si="36"/>
        <v>1</v>
      </c>
      <c r="C1953" s="10" t="s">
        <v>315</v>
      </c>
      <c r="D1953" s="10" t="s">
        <v>315</v>
      </c>
      <c r="E1953" s="10" t="s">
        <v>315</v>
      </c>
    </row>
    <row r="1954" spans="1:5" x14ac:dyDescent="0.35">
      <c r="A1954" s="3">
        <v>45783</v>
      </c>
      <c r="B1954" s="1">
        <f t="shared" si="36"/>
        <v>2</v>
      </c>
      <c r="C1954" s="10" t="s">
        <v>315</v>
      </c>
      <c r="D1954" s="10" t="s">
        <v>315</v>
      </c>
      <c r="E1954" s="10" t="s">
        <v>315</v>
      </c>
    </row>
    <row r="1955" spans="1:5" x14ac:dyDescent="0.35">
      <c r="A1955" s="3">
        <v>45784</v>
      </c>
      <c r="B1955" s="1">
        <f t="shared" si="36"/>
        <v>3</v>
      </c>
      <c r="C1955" s="10" t="s">
        <v>315</v>
      </c>
      <c r="D1955" s="10" t="s">
        <v>315</v>
      </c>
      <c r="E1955" s="10" t="s">
        <v>315</v>
      </c>
    </row>
    <row r="1956" spans="1:5" x14ac:dyDescent="0.35">
      <c r="A1956" s="3">
        <v>45785</v>
      </c>
      <c r="B1956" s="1">
        <f t="shared" si="36"/>
        <v>4</v>
      </c>
      <c r="C1956" s="10" t="s">
        <v>315</v>
      </c>
      <c r="D1956" s="10" t="s">
        <v>315</v>
      </c>
      <c r="E1956" s="10" t="s">
        <v>315</v>
      </c>
    </row>
    <row r="1957" spans="1:5" x14ac:dyDescent="0.35">
      <c r="A1957" s="3">
        <v>45786</v>
      </c>
      <c r="B1957" s="1">
        <f t="shared" si="36"/>
        <v>5</v>
      </c>
      <c r="C1957" s="10" t="s">
        <v>315</v>
      </c>
      <c r="D1957" s="10" t="s">
        <v>315</v>
      </c>
      <c r="E1957" s="10" t="s">
        <v>315</v>
      </c>
    </row>
    <row r="1958" spans="1:5" x14ac:dyDescent="0.35">
      <c r="A1958" s="3">
        <v>45787</v>
      </c>
      <c r="B1958" s="1">
        <f t="shared" si="36"/>
        <v>6</v>
      </c>
      <c r="C1958" s="10" t="s">
        <v>315</v>
      </c>
      <c r="D1958" s="10" t="s">
        <v>315</v>
      </c>
      <c r="E1958" s="10" t="s">
        <v>315</v>
      </c>
    </row>
    <row r="1959" spans="1:5" x14ac:dyDescent="0.35">
      <c r="A1959" s="3">
        <v>45788</v>
      </c>
      <c r="B1959" s="1">
        <f t="shared" si="36"/>
        <v>7</v>
      </c>
      <c r="C1959" s="10" t="s">
        <v>315</v>
      </c>
      <c r="D1959" s="10" t="s">
        <v>315</v>
      </c>
      <c r="E1959" s="10" t="s">
        <v>315</v>
      </c>
    </row>
    <row r="1960" spans="1:5" x14ac:dyDescent="0.35">
      <c r="A1960" s="3">
        <v>45789</v>
      </c>
      <c r="B1960" s="1">
        <f t="shared" si="36"/>
        <v>1</v>
      </c>
      <c r="C1960" s="10" t="s">
        <v>315</v>
      </c>
      <c r="D1960" s="10" t="s">
        <v>315</v>
      </c>
      <c r="E1960" s="10" t="s">
        <v>315</v>
      </c>
    </row>
    <row r="1961" spans="1:5" x14ac:dyDescent="0.35">
      <c r="A1961" s="3">
        <v>45790</v>
      </c>
      <c r="B1961" s="1">
        <f t="shared" si="36"/>
        <v>2</v>
      </c>
      <c r="C1961" s="10" t="s">
        <v>315</v>
      </c>
      <c r="D1961" s="10" t="s">
        <v>315</v>
      </c>
      <c r="E1961" s="10" t="s">
        <v>315</v>
      </c>
    </row>
    <row r="1962" spans="1:5" x14ac:dyDescent="0.35">
      <c r="A1962" s="3">
        <v>45791</v>
      </c>
      <c r="B1962" s="1">
        <f t="shared" si="36"/>
        <v>3</v>
      </c>
      <c r="C1962" s="10" t="s">
        <v>315</v>
      </c>
      <c r="D1962" s="10" t="s">
        <v>315</v>
      </c>
      <c r="E1962" s="10" t="s">
        <v>315</v>
      </c>
    </row>
    <row r="1963" spans="1:5" x14ac:dyDescent="0.35">
      <c r="A1963" s="3">
        <v>45792</v>
      </c>
      <c r="B1963" s="1">
        <f t="shared" si="36"/>
        <v>4</v>
      </c>
      <c r="C1963" s="10" t="s">
        <v>315</v>
      </c>
      <c r="D1963" s="10" t="s">
        <v>315</v>
      </c>
      <c r="E1963" s="10" t="s">
        <v>315</v>
      </c>
    </row>
    <row r="1964" spans="1:5" x14ac:dyDescent="0.35">
      <c r="A1964" s="3">
        <v>45793</v>
      </c>
      <c r="B1964" s="1">
        <f t="shared" si="36"/>
        <v>5</v>
      </c>
      <c r="C1964" s="10" t="s">
        <v>315</v>
      </c>
      <c r="D1964" s="10" t="s">
        <v>315</v>
      </c>
      <c r="E1964" s="10" t="s">
        <v>315</v>
      </c>
    </row>
    <row r="1965" spans="1:5" x14ac:dyDescent="0.35">
      <c r="A1965" s="3">
        <v>45794</v>
      </c>
      <c r="B1965" s="1">
        <f t="shared" si="36"/>
        <v>6</v>
      </c>
      <c r="C1965" s="10" t="s">
        <v>315</v>
      </c>
      <c r="D1965" s="10" t="s">
        <v>315</v>
      </c>
      <c r="E1965" s="10" t="s">
        <v>315</v>
      </c>
    </row>
    <row r="1966" spans="1:5" x14ac:dyDescent="0.35">
      <c r="A1966" s="3">
        <v>45795</v>
      </c>
      <c r="B1966" s="1">
        <f t="shared" si="36"/>
        <v>7</v>
      </c>
      <c r="C1966" s="10" t="s">
        <v>315</v>
      </c>
      <c r="D1966" s="10" t="s">
        <v>315</v>
      </c>
      <c r="E1966" s="10" t="s">
        <v>315</v>
      </c>
    </row>
    <row r="1967" spans="1:5" x14ac:dyDescent="0.35">
      <c r="A1967" s="3">
        <v>45796</v>
      </c>
      <c r="B1967" s="1">
        <f t="shared" si="36"/>
        <v>1</v>
      </c>
      <c r="C1967" s="10" t="s">
        <v>315</v>
      </c>
      <c r="D1967" s="10" t="s">
        <v>315</v>
      </c>
      <c r="E1967" s="10" t="s">
        <v>315</v>
      </c>
    </row>
    <row r="1968" spans="1:5" x14ac:dyDescent="0.35">
      <c r="A1968" s="3">
        <v>45797</v>
      </c>
      <c r="B1968" s="1">
        <f t="shared" si="36"/>
        <v>2</v>
      </c>
      <c r="C1968" s="10" t="s">
        <v>315</v>
      </c>
      <c r="D1968" s="10" t="s">
        <v>315</v>
      </c>
      <c r="E1968" s="10" t="s">
        <v>315</v>
      </c>
    </row>
    <row r="1969" spans="1:5" x14ac:dyDescent="0.35">
      <c r="A1969" s="3">
        <v>45798</v>
      </c>
      <c r="B1969" s="1">
        <f t="shared" si="36"/>
        <v>3</v>
      </c>
      <c r="C1969" s="10" t="s">
        <v>315</v>
      </c>
      <c r="D1969" s="10" t="s">
        <v>315</v>
      </c>
      <c r="E1969" s="10" t="s">
        <v>315</v>
      </c>
    </row>
    <row r="1970" spans="1:5" x14ac:dyDescent="0.35">
      <c r="A1970" s="3">
        <v>45799</v>
      </c>
      <c r="B1970" s="1">
        <f t="shared" si="36"/>
        <v>4</v>
      </c>
      <c r="C1970" s="10" t="s">
        <v>315</v>
      </c>
      <c r="D1970" s="10" t="s">
        <v>315</v>
      </c>
      <c r="E1970" s="10" t="s">
        <v>315</v>
      </c>
    </row>
    <row r="1971" spans="1:5" x14ac:dyDescent="0.35">
      <c r="A1971" s="3">
        <v>45800</v>
      </c>
      <c r="B1971" s="1">
        <f t="shared" si="36"/>
        <v>5</v>
      </c>
      <c r="C1971" s="10" t="s">
        <v>315</v>
      </c>
      <c r="D1971" s="10" t="s">
        <v>315</v>
      </c>
      <c r="E1971" s="10" t="s">
        <v>315</v>
      </c>
    </row>
    <row r="1972" spans="1:5" x14ac:dyDescent="0.35">
      <c r="A1972" s="3">
        <v>45801</v>
      </c>
      <c r="B1972" s="1">
        <f t="shared" si="36"/>
        <v>6</v>
      </c>
      <c r="C1972" s="10" t="s">
        <v>315</v>
      </c>
      <c r="D1972" s="10" t="s">
        <v>315</v>
      </c>
      <c r="E1972" s="10" t="s">
        <v>315</v>
      </c>
    </row>
    <row r="1973" spans="1:5" x14ac:dyDescent="0.35">
      <c r="A1973" s="3">
        <v>45802</v>
      </c>
      <c r="B1973" s="1">
        <f t="shared" si="36"/>
        <v>7</v>
      </c>
      <c r="C1973" s="10" t="s">
        <v>315</v>
      </c>
      <c r="D1973" s="10" t="s">
        <v>315</v>
      </c>
      <c r="E1973" s="10" t="s">
        <v>315</v>
      </c>
    </row>
    <row r="1974" spans="1:5" x14ac:dyDescent="0.35">
      <c r="A1974" s="3">
        <v>45803</v>
      </c>
      <c r="B1974" s="1">
        <f t="shared" si="36"/>
        <v>1</v>
      </c>
      <c r="C1974" s="10" t="s">
        <v>315</v>
      </c>
      <c r="D1974" s="10" t="s">
        <v>315</v>
      </c>
      <c r="E1974" s="10" t="s">
        <v>315</v>
      </c>
    </row>
    <row r="1975" spans="1:5" x14ac:dyDescent="0.35">
      <c r="A1975" s="3">
        <v>45804</v>
      </c>
      <c r="B1975" s="1">
        <f t="shared" si="36"/>
        <v>2</v>
      </c>
      <c r="C1975" s="10" t="s">
        <v>315</v>
      </c>
      <c r="D1975" s="10" t="s">
        <v>315</v>
      </c>
      <c r="E1975" s="10" t="s">
        <v>315</v>
      </c>
    </row>
    <row r="1976" spans="1:5" x14ac:dyDescent="0.35">
      <c r="A1976" s="3">
        <v>45805</v>
      </c>
      <c r="B1976" s="1">
        <f t="shared" si="36"/>
        <v>3</v>
      </c>
      <c r="C1976" s="10" t="s">
        <v>315</v>
      </c>
      <c r="D1976" s="10" t="s">
        <v>315</v>
      </c>
      <c r="E1976" s="10" t="s">
        <v>315</v>
      </c>
    </row>
    <row r="1977" spans="1:5" x14ac:dyDescent="0.35">
      <c r="A1977" s="3">
        <v>45806</v>
      </c>
      <c r="B1977" s="1">
        <f t="shared" si="36"/>
        <v>4</v>
      </c>
      <c r="C1977" s="10" t="s">
        <v>315</v>
      </c>
      <c r="D1977" s="10" t="s">
        <v>315</v>
      </c>
      <c r="E1977" s="10" t="s">
        <v>315</v>
      </c>
    </row>
    <row r="1978" spans="1:5" x14ac:dyDescent="0.35">
      <c r="A1978" s="3">
        <v>45807</v>
      </c>
      <c r="B1978" s="1">
        <f t="shared" si="36"/>
        <v>5</v>
      </c>
      <c r="C1978" s="10" t="s">
        <v>315</v>
      </c>
      <c r="D1978" s="10" t="s">
        <v>315</v>
      </c>
      <c r="E1978" s="10" t="s">
        <v>315</v>
      </c>
    </row>
    <row r="1979" spans="1:5" x14ac:dyDescent="0.35">
      <c r="A1979" s="3">
        <v>45808</v>
      </c>
      <c r="B1979" s="1">
        <f t="shared" si="36"/>
        <v>6</v>
      </c>
      <c r="C1979" s="10" t="s">
        <v>315</v>
      </c>
      <c r="D1979" s="10" t="s">
        <v>315</v>
      </c>
      <c r="E1979" s="10" t="s">
        <v>315</v>
      </c>
    </row>
    <row r="1980" spans="1:5" x14ac:dyDescent="0.35">
      <c r="A1980" s="3">
        <v>45809</v>
      </c>
      <c r="B1980" s="1">
        <f t="shared" si="36"/>
        <v>7</v>
      </c>
      <c r="C1980" s="10" t="s">
        <v>315</v>
      </c>
      <c r="D1980" s="10" t="s">
        <v>315</v>
      </c>
      <c r="E1980" s="10" t="s">
        <v>315</v>
      </c>
    </row>
    <row r="1981" spans="1:5" x14ac:dyDescent="0.35">
      <c r="A1981" s="3">
        <v>45810</v>
      </c>
      <c r="B1981" s="1">
        <f t="shared" si="36"/>
        <v>1</v>
      </c>
      <c r="C1981" s="10" t="s">
        <v>315</v>
      </c>
      <c r="D1981" s="10" t="s">
        <v>315</v>
      </c>
      <c r="E1981" s="10" t="s">
        <v>315</v>
      </c>
    </row>
    <row r="1982" spans="1:5" x14ac:dyDescent="0.35">
      <c r="A1982" s="3">
        <v>45811</v>
      </c>
      <c r="B1982" s="1">
        <f t="shared" si="36"/>
        <v>2</v>
      </c>
      <c r="C1982" s="10" t="s">
        <v>315</v>
      </c>
      <c r="D1982" s="10" t="s">
        <v>315</v>
      </c>
      <c r="E1982" s="10" t="s">
        <v>315</v>
      </c>
    </row>
    <row r="1983" spans="1:5" x14ac:dyDescent="0.35">
      <c r="A1983" s="3">
        <v>45812</v>
      </c>
      <c r="B1983" s="1">
        <f t="shared" si="36"/>
        <v>3</v>
      </c>
      <c r="C1983" s="10" t="s">
        <v>315</v>
      </c>
      <c r="D1983" s="10" t="s">
        <v>315</v>
      </c>
      <c r="E1983" s="10" t="s">
        <v>315</v>
      </c>
    </row>
    <row r="1984" spans="1:5" x14ac:dyDescent="0.35">
      <c r="A1984" s="3">
        <v>45813</v>
      </c>
      <c r="B1984" s="1">
        <f t="shared" si="36"/>
        <v>4</v>
      </c>
      <c r="C1984" s="10" t="s">
        <v>315</v>
      </c>
      <c r="D1984" s="10" t="s">
        <v>315</v>
      </c>
      <c r="E1984" s="10" t="s">
        <v>315</v>
      </c>
    </row>
    <row r="1985" spans="1:5" x14ac:dyDescent="0.35">
      <c r="A1985" s="3">
        <v>45814</v>
      </c>
      <c r="B1985" s="1">
        <f t="shared" si="36"/>
        <v>5</v>
      </c>
      <c r="C1985" s="10" t="s">
        <v>315</v>
      </c>
      <c r="D1985" s="10" t="s">
        <v>315</v>
      </c>
      <c r="E1985" s="10" t="s">
        <v>315</v>
      </c>
    </row>
    <row r="1986" spans="1:5" x14ac:dyDescent="0.35">
      <c r="A1986" s="3">
        <v>45815</v>
      </c>
      <c r="B1986" s="1">
        <f t="shared" si="36"/>
        <v>6</v>
      </c>
      <c r="C1986" s="10" t="s">
        <v>315</v>
      </c>
      <c r="D1986" s="10" t="s">
        <v>315</v>
      </c>
      <c r="E1986" s="10" t="s">
        <v>315</v>
      </c>
    </row>
    <row r="1987" spans="1:5" x14ac:dyDescent="0.35">
      <c r="A1987" s="3">
        <v>45816</v>
      </c>
      <c r="B1987" s="1">
        <f t="shared" si="36"/>
        <v>7</v>
      </c>
      <c r="C1987" s="10" t="s">
        <v>315</v>
      </c>
      <c r="D1987" s="10" t="s">
        <v>315</v>
      </c>
      <c r="E1987" s="10" t="s">
        <v>315</v>
      </c>
    </row>
    <row r="1988" spans="1:5" x14ac:dyDescent="0.35">
      <c r="A1988" s="3">
        <v>45817</v>
      </c>
      <c r="B1988" s="1">
        <f t="shared" si="36"/>
        <v>1</v>
      </c>
      <c r="C1988" s="10" t="s">
        <v>315</v>
      </c>
      <c r="D1988" s="10" t="s">
        <v>315</v>
      </c>
      <c r="E1988" s="10" t="s">
        <v>315</v>
      </c>
    </row>
    <row r="1989" spans="1:5" x14ac:dyDescent="0.35">
      <c r="A1989" s="3">
        <v>45818</v>
      </c>
      <c r="B1989" s="1">
        <f t="shared" si="36"/>
        <v>2</v>
      </c>
      <c r="C1989" s="10" t="s">
        <v>315</v>
      </c>
      <c r="D1989" s="10" t="s">
        <v>315</v>
      </c>
      <c r="E1989" s="10" t="s">
        <v>315</v>
      </c>
    </row>
    <row r="1990" spans="1:5" x14ac:dyDescent="0.35">
      <c r="A1990" s="3">
        <v>45819</v>
      </c>
      <c r="B1990" s="1">
        <f t="shared" si="36"/>
        <v>3</v>
      </c>
      <c r="C1990" s="10" t="s">
        <v>315</v>
      </c>
      <c r="D1990" s="10" t="s">
        <v>315</v>
      </c>
      <c r="E1990" s="10" t="s">
        <v>315</v>
      </c>
    </row>
    <row r="1991" spans="1:5" x14ac:dyDescent="0.35">
      <c r="A1991" s="3">
        <v>45820</v>
      </c>
      <c r="B1991" s="1">
        <f t="shared" si="36"/>
        <v>4</v>
      </c>
      <c r="C1991" s="10" t="s">
        <v>315</v>
      </c>
      <c r="D1991" s="10" t="s">
        <v>315</v>
      </c>
      <c r="E1991" s="10" t="s">
        <v>315</v>
      </c>
    </row>
    <row r="1992" spans="1:5" x14ac:dyDescent="0.35">
      <c r="A1992" s="3">
        <v>45821</v>
      </c>
      <c r="B1992" s="1">
        <f t="shared" si="36"/>
        <v>5</v>
      </c>
      <c r="C1992" s="10" t="s">
        <v>315</v>
      </c>
      <c r="D1992" s="10" t="s">
        <v>315</v>
      </c>
      <c r="E1992" s="10" t="s">
        <v>315</v>
      </c>
    </row>
    <row r="1993" spans="1:5" x14ac:dyDescent="0.35">
      <c r="A1993" s="3">
        <v>45822</v>
      </c>
      <c r="B1993" s="1">
        <f t="shared" si="36"/>
        <v>6</v>
      </c>
      <c r="C1993" s="10" t="s">
        <v>315</v>
      </c>
      <c r="D1993" s="10" t="s">
        <v>315</v>
      </c>
      <c r="E1993" s="10" t="s">
        <v>315</v>
      </c>
    </row>
    <row r="1994" spans="1:5" x14ac:dyDescent="0.35">
      <c r="A1994" s="3">
        <v>45823</v>
      </c>
      <c r="B1994" s="1">
        <f t="shared" si="36"/>
        <v>7</v>
      </c>
      <c r="C1994" s="10" t="s">
        <v>315</v>
      </c>
      <c r="D1994" s="10" t="s">
        <v>315</v>
      </c>
      <c r="E1994" s="10" t="s">
        <v>315</v>
      </c>
    </row>
    <row r="1995" spans="1:5" x14ac:dyDescent="0.35">
      <c r="A1995" s="3">
        <v>45824</v>
      </c>
      <c r="B1995" s="1">
        <f t="shared" si="36"/>
        <v>1</v>
      </c>
      <c r="C1995" s="10" t="s">
        <v>315</v>
      </c>
      <c r="D1995" s="10" t="s">
        <v>315</v>
      </c>
      <c r="E1995" s="10" t="s">
        <v>315</v>
      </c>
    </row>
    <row r="1996" spans="1:5" x14ac:dyDescent="0.35">
      <c r="A1996" s="3">
        <v>45825</v>
      </c>
      <c r="B1996" s="1">
        <f t="shared" si="36"/>
        <v>2</v>
      </c>
      <c r="C1996" s="10" t="s">
        <v>315</v>
      </c>
      <c r="D1996" s="10" t="s">
        <v>315</v>
      </c>
      <c r="E1996" s="10" t="s">
        <v>315</v>
      </c>
    </row>
    <row r="1997" spans="1:5" x14ac:dyDescent="0.35">
      <c r="A1997" s="3">
        <v>45826</v>
      </c>
      <c r="B1997" s="1">
        <f t="shared" si="36"/>
        <v>3</v>
      </c>
      <c r="C1997" s="10" t="s">
        <v>315</v>
      </c>
      <c r="D1997" s="10" t="s">
        <v>315</v>
      </c>
      <c r="E1997" s="10" t="s">
        <v>315</v>
      </c>
    </row>
    <row r="1998" spans="1:5" x14ac:dyDescent="0.35">
      <c r="A1998" s="3">
        <v>45827</v>
      </c>
      <c r="B1998" s="1">
        <f t="shared" si="36"/>
        <v>4</v>
      </c>
      <c r="C1998" s="10" t="s">
        <v>315</v>
      </c>
      <c r="D1998" s="10" t="s">
        <v>315</v>
      </c>
      <c r="E1998" s="10" t="s">
        <v>315</v>
      </c>
    </row>
    <row r="1999" spans="1:5" x14ac:dyDescent="0.35">
      <c r="A1999" s="3">
        <v>45828</v>
      </c>
      <c r="B1999" s="1">
        <f t="shared" si="36"/>
        <v>5</v>
      </c>
      <c r="C1999" s="10" t="s">
        <v>315</v>
      </c>
      <c r="D1999" s="10" t="s">
        <v>315</v>
      </c>
      <c r="E1999" s="10" t="s">
        <v>315</v>
      </c>
    </row>
    <row r="2000" spans="1:5" x14ac:dyDescent="0.35">
      <c r="A2000" s="3">
        <v>45829</v>
      </c>
      <c r="B2000" s="1">
        <f t="shared" si="36"/>
        <v>6</v>
      </c>
      <c r="C2000" s="10" t="s">
        <v>315</v>
      </c>
      <c r="D2000" s="10" t="s">
        <v>315</v>
      </c>
      <c r="E2000" s="10" t="s">
        <v>315</v>
      </c>
    </row>
    <row r="2001" spans="1:5" x14ac:dyDescent="0.35">
      <c r="A2001" s="3">
        <v>45830</v>
      </c>
      <c r="B2001" s="1">
        <f t="shared" si="36"/>
        <v>7</v>
      </c>
      <c r="C2001" s="10" t="s">
        <v>315</v>
      </c>
      <c r="D2001" s="10" t="s">
        <v>315</v>
      </c>
      <c r="E2001" s="10" t="s">
        <v>315</v>
      </c>
    </row>
    <row r="2002" spans="1:5" x14ac:dyDescent="0.35">
      <c r="A2002" s="3">
        <v>45831</v>
      </c>
      <c r="B2002" s="1">
        <f t="shared" si="36"/>
        <v>1</v>
      </c>
      <c r="C2002" s="10" t="s">
        <v>315</v>
      </c>
      <c r="D2002" s="10" t="s">
        <v>315</v>
      </c>
      <c r="E2002" s="10" t="s">
        <v>315</v>
      </c>
    </row>
    <row r="2003" spans="1:5" x14ac:dyDescent="0.35">
      <c r="A2003" s="3">
        <v>45832</v>
      </c>
      <c r="B2003" s="1">
        <f t="shared" si="36"/>
        <v>2</v>
      </c>
      <c r="C2003" s="10" t="s">
        <v>315</v>
      </c>
      <c r="D2003" s="10" t="s">
        <v>315</v>
      </c>
      <c r="E2003" s="10" t="s">
        <v>315</v>
      </c>
    </row>
    <row r="2004" spans="1:5" x14ac:dyDescent="0.35">
      <c r="A2004" s="3">
        <v>45833</v>
      </c>
      <c r="B2004" s="1">
        <f t="shared" si="36"/>
        <v>3</v>
      </c>
      <c r="C2004" s="10" t="s">
        <v>315</v>
      </c>
      <c r="D2004" s="10" t="s">
        <v>315</v>
      </c>
      <c r="E2004" s="10" t="s">
        <v>315</v>
      </c>
    </row>
    <row r="2005" spans="1:5" x14ac:dyDescent="0.35">
      <c r="A2005" s="3">
        <v>45834</v>
      </c>
      <c r="B2005" s="1">
        <f t="shared" si="36"/>
        <v>4</v>
      </c>
      <c r="C2005" s="10" t="s">
        <v>315</v>
      </c>
      <c r="D2005" s="10" t="s">
        <v>315</v>
      </c>
      <c r="E2005" s="10" t="s">
        <v>315</v>
      </c>
    </row>
    <row r="2006" spans="1:5" x14ac:dyDescent="0.35">
      <c r="A2006" s="3">
        <v>45835</v>
      </c>
      <c r="B2006" s="1">
        <f t="shared" si="36"/>
        <v>5</v>
      </c>
      <c r="C2006" s="10" t="s">
        <v>315</v>
      </c>
      <c r="D2006" s="10" t="s">
        <v>315</v>
      </c>
      <c r="E2006" s="10" t="s">
        <v>315</v>
      </c>
    </row>
    <row r="2007" spans="1:5" x14ac:dyDescent="0.35">
      <c r="A2007" s="3">
        <v>45836</v>
      </c>
      <c r="B2007" s="1">
        <f t="shared" si="36"/>
        <v>6</v>
      </c>
      <c r="C2007" s="10" t="s">
        <v>315</v>
      </c>
      <c r="D2007" s="10" t="s">
        <v>315</v>
      </c>
      <c r="E2007" s="10" t="s">
        <v>315</v>
      </c>
    </row>
    <row r="2008" spans="1:5" x14ac:dyDescent="0.35">
      <c r="A2008" s="3">
        <v>45837</v>
      </c>
      <c r="B2008" s="1">
        <f t="shared" si="36"/>
        <v>7</v>
      </c>
      <c r="C2008" s="10" t="s">
        <v>315</v>
      </c>
      <c r="D2008" s="10" t="s">
        <v>315</v>
      </c>
      <c r="E2008" s="10" t="s">
        <v>315</v>
      </c>
    </row>
    <row r="2009" spans="1:5" x14ac:dyDescent="0.35">
      <c r="A2009" s="3">
        <v>45838</v>
      </c>
      <c r="B2009" s="1">
        <f t="shared" si="36"/>
        <v>1</v>
      </c>
      <c r="C2009" s="10" t="s">
        <v>315</v>
      </c>
      <c r="D2009" s="10" t="s">
        <v>315</v>
      </c>
      <c r="E2009" s="10" t="s">
        <v>315</v>
      </c>
    </row>
    <row r="2010" spans="1:5" x14ac:dyDescent="0.35">
      <c r="A2010" s="3">
        <v>45839</v>
      </c>
      <c r="B2010" s="1">
        <f t="shared" si="36"/>
        <v>2</v>
      </c>
      <c r="C2010" s="10" t="s">
        <v>315</v>
      </c>
      <c r="D2010" s="10" t="s">
        <v>315</v>
      </c>
      <c r="E2010" s="10" t="s">
        <v>315</v>
      </c>
    </row>
    <row r="2011" spans="1:5" x14ac:dyDescent="0.35">
      <c r="A2011" s="3">
        <v>45840</v>
      </c>
      <c r="B2011" s="1">
        <f t="shared" si="36"/>
        <v>3</v>
      </c>
      <c r="C2011" s="10" t="s">
        <v>315</v>
      </c>
      <c r="D2011" s="10" t="s">
        <v>315</v>
      </c>
      <c r="E2011" s="10" t="s">
        <v>315</v>
      </c>
    </row>
    <row r="2012" spans="1:5" x14ac:dyDescent="0.35">
      <c r="A2012" s="3">
        <v>45841</v>
      </c>
      <c r="B2012" s="1">
        <f t="shared" si="36"/>
        <v>4</v>
      </c>
      <c r="C2012" s="10" t="s">
        <v>315</v>
      </c>
      <c r="D2012" s="10" t="s">
        <v>315</v>
      </c>
      <c r="E2012" s="10" t="s">
        <v>315</v>
      </c>
    </row>
    <row r="2013" spans="1:5" x14ac:dyDescent="0.35">
      <c r="A2013" s="3">
        <v>45842</v>
      </c>
      <c r="B2013" s="1">
        <f t="shared" si="36"/>
        <v>5</v>
      </c>
      <c r="C2013" s="10" t="s">
        <v>315</v>
      </c>
      <c r="D2013" s="10" t="s">
        <v>315</v>
      </c>
      <c r="E2013" s="10" t="s">
        <v>315</v>
      </c>
    </row>
    <row r="2014" spans="1:5" x14ac:dyDescent="0.35">
      <c r="A2014" s="3">
        <v>45843</v>
      </c>
      <c r="B2014" s="1">
        <f t="shared" si="36"/>
        <v>6</v>
      </c>
      <c r="C2014" s="10" t="s">
        <v>315</v>
      </c>
      <c r="D2014" s="10" t="s">
        <v>315</v>
      </c>
      <c r="E2014" s="10" t="s">
        <v>315</v>
      </c>
    </row>
    <row r="2015" spans="1:5" x14ac:dyDescent="0.35">
      <c r="A2015" s="3">
        <v>45844</v>
      </c>
      <c r="B2015" s="1">
        <f t="shared" si="36"/>
        <v>7</v>
      </c>
      <c r="C2015" s="10" t="s">
        <v>315</v>
      </c>
      <c r="D2015" s="10" t="s">
        <v>315</v>
      </c>
      <c r="E2015" s="10" t="s">
        <v>315</v>
      </c>
    </row>
    <row r="2016" spans="1:5" x14ac:dyDescent="0.35">
      <c r="A2016" s="3">
        <v>45845</v>
      </c>
      <c r="B2016" s="1">
        <f t="shared" ref="B2016:B2079" si="37">IF(A2016&gt;0,WEEKDAY(A2016,2),"")</f>
        <v>1</v>
      </c>
      <c r="C2016" s="10" t="s">
        <v>315</v>
      </c>
      <c r="D2016" s="10" t="s">
        <v>315</v>
      </c>
      <c r="E2016" s="10" t="s">
        <v>315</v>
      </c>
    </row>
    <row r="2017" spans="1:5" x14ac:dyDescent="0.35">
      <c r="A2017" s="3">
        <v>45846</v>
      </c>
      <c r="B2017" s="1">
        <f t="shared" si="37"/>
        <v>2</v>
      </c>
      <c r="C2017" s="10" t="s">
        <v>315</v>
      </c>
      <c r="D2017" s="10" t="s">
        <v>315</v>
      </c>
      <c r="E2017" s="10" t="s">
        <v>315</v>
      </c>
    </row>
    <row r="2018" spans="1:5" x14ac:dyDescent="0.35">
      <c r="A2018" s="3">
        <v>45847</v>
      </c>
      <c r="B2018" s="1">
        <f t="shared" si="37"/>
        <v>3</v>
      </c>
      <c r="C2018" s="10" t="s">
        <v>315</v>
      </c>
      <c r="D2018" s="10" t="s">
        <v>315</v>
      </c>
      <c r="E2018" s="10" t="s">
        <v>315</v>
      </c>
    </row>
    <row r="2019" spans="1:5" x14ac:dyDescent="0.35">
      <c r="A2019" s="3">
        <v>45848</v>
      </c>
      <c r="B2019" s="1">
        <f t="shared" si="37"/>
        <v>4</v>
      </c>
      <c r="C2019" s="10" t="s">
        <v>315</v>
      </c>
      <c r="D2019" s="10" t="s">
        <v>315</v>
      </c>
      <c r="E2019" s="10" t="s">
        <v>315</v>
      </c>
    </row>
    <row r="2020" spans="1:5" x14ac:dyDescent="0.35">
      <c r="A2020" s="3">
        <v>45849</v>
      </c>
      <c r="B2020" s="1">
        <f t="shared" si="37"/>
        <v>5</v>
      </c>
      <c r="C2020" s="10" t="s">
        <v>315</v>
      </c>
      <c r="D2020" s="10" t="s">
        <v>315</v>
      </c>
      <c r="E2020" s="10" t="s">
        <v>315</v>
      </c>
    </row>
    <row r="2021" spans="1:5" x14ac:dyDescent="0.35">
      <c r="A2021" s="3">
        <v>45850</v>
      </c>
      <c r="B2021" s="1">
        <f t="shared" si="37"/>
        <v>6</v>
      </c>
      <c r="C2021" s="10" t="s">
        <v>315</v>
      </c>
      <c r="D2021" s="10" t="s">
        <v>315</v>
      </c>
      <c r="E2021" s="10" t="s">
        <v>315</v>
      </c>
    </row>
    <row r="2022" spans="1:5" x14ac:dyDescent="0.35">
      <c r="A2022" s="3">
        <v>45851</v>
      </c>
      <c r="B2022" s="1">
        <f t="shared" si="37"/>
        <v>7</v>
      </c>
      <c r="C2022" s="10" t="s">
        <v>315</v>
      </c>
      <c r="D2022" s="10" t="s">
        <v>315</v>
      </c>
      <c r="E2022" s="10" t="s">
        <v>315</v>
      </c>
    </row>
    <row r="2023" spans="1:5" x14ac:dyDescent="0.35">
      <c r="A2023" s="3">
        <v>45852</v>
      </c>
      <c r="B2023" s="1">
        <f t="shared" si="37"/>
        <v>1</v>
      </c>
      <c r="C2023" s="10" t="s">
        <v>315</v>
      </c>
      <c r="D2023" s="10" t="s">
        <v>315</v>
      </c>
      <c r="E2023" s="10" t="s">
        <v>315</v>
      </c>
    </row>
    <row r="2024" spans="1:5" x14ac:dyDescent="0.35">
      <c r="A2024" s="3">
        <v>45853</v>
      </c>
      <c r="B2024" s="1">
        <f t="shared" si="37"/>
        <v>2</v>
      </c>
      <c r="C2024" s="10" t="s">
        <v>315</v>
      </c>
      <c r="D2024" s="10" t="s">
        <v>315</v>
      </c>
      <c r="E2024" s="10" t="s">
        <v>315</v>
      </c>
    </row>
    <row r="2025" spans="1:5" x14ac:dyDescent="0.35">
      <c r="A2025" s="3">
        <v>45854</v>
      </c>
      <c r="B2025" s="1">
        <f t="shared" si="37"/>
        <v>3</v>
      </c>
      <c r="C2025" s="10" t="s">
        <v>315</v>
      </c>
      <c r="D2025" s="10" t="s">
        <v>315</v>
      </c>
      <c r="E2025" s="10" t="s">
        <v>315</v>
      </c>
    </row>
    <row r="2026" spans="1:5" x14ac:dyDescent="0.35">
      <c r="A2026" s="3">
        <v>45855</v>
      </c>
      <c r="B2026" s="1">
        <f t="shared" si="37"/>
        <v>4</v>
      </c>
      <c r="C2026" s="10" t="s">
        <v>315</v>
      </c>
      <c r="D2026" s="10" t="s">
        <v>315</v>
      </c>
      <c r="E2026" s="10" t="s">
        <v>315</v>
      </c>
    </row>
    <row r="2027" spans="1:5" x14ac:dyDescent="0.35">
      <c r="A2027" s="3">
        <v>45856</v>
      </c>
      <c r="B2027" s="1">
        <f t="shared" si="37"/>
        <v>5</v>
      </c>
      <c r="C2027" s="10" t="s">
        <v>315</v>
      </c>
      <c r="D2027" s="10" t="s">
        <v>315</v>
      </c>
      <c r="E2027" s="10" t="s">
        <v>315</v>
      </c>
    </row>
    <row r="2028" spans="1:5" x14ac:dyDescent="0.35">
      <c r="A2028" s="3">
        <v>45857</v>
      </c>
      <c r="B2028" s="1">
        <f t="shared" si="37"/>
        <v>6</v>
      </c>
      <c r="C2028" s="10" t="s">
        <v>315</v>
      </c>
      <c r="D2028" s="10" t="s">
        <v>315</v>
      </c>
      <c r="E2028" s="10" t="s">
        <v>315</v>
      </c>
    </row>
    <row r="2029" spans="1:5" x14ac:dyDescent="0.35">
      <c r="A2029" s="3">
        <v>45858</v>
      </c>
      <c r="B2029" s="1">
        <f t="shared" si="37"/>
        <v>7</v>
      </c>
      <c r="C2029" s="10" t="s">
        <v>315</v>
      </c>
      <c r="D2029" s="10" t="s">
        <v>315</v>
      </c>
      <c r="E2029" s="10" t="s">
        <v>315</v>
      </c>
    </row>
    <row r="2030" spans="1:5" x14ac:dyDescent="0.35">
      <c r="A2030" s="3">
        <v>45859</v>
      </c>
      <c r="B2030" s="1">
        <f t="shared" si="37"/>
        <v>1</v>
      </c>
      <c r="C2030" s="10" t="s">
        <v>315</v>
      </c>
      <c r="D2030" s="10" t="s">
        <v>315</v>
      </c>
      <c r="E2030" s="10" t="s">
        <v>315</v>
      </c>
    </row>
    <row r="2031" spans="1:5" x14ac:dyDescent="0.35">
      <c r="A2031" s="3">
        <v>45860</v>
      </c>
      <c r="B2031" s="1">
        <f t="shared" si="37"/>
        <v>2</v>
      </c>
      <c r="C2031" s="10" t="s">
        <v>315</v>
      </c>
      <c r="D2031" s="10" t="s">
        <v>315</v>
      </c>
      <c r="E2031" s="10" t="s">
        <v>315</v>
      </c>
    </row>
    <row r="2032" spans="1:5" x14ac:dyDescent="0.35">
      <c r="A2032" s="3">
        <v>45861</v>
      </c>
      <c r="B2032" s="1">
        <f t="shared" si="37"/>
        <v>3</v>
      </c>
      <c r="C2032" s="10" t="s">
        <v>315</v>
      </c>
      <c r="D2032" s="10" t="s">
        <v>315</v>
      </c>
      <c r="E2032" s="10" t="s">
        <v>315</v>
      </c>
    </row>
    <row r="2033" spans="1:5" x14ac:dyDescent="0.35">
      <c r="A2033" s="3">
        <v>45862</v>
      </c>
      <c r="B2033" s="1">
        <f t="shared" si="37"/>
        <v>4</v>
      </c>
      <c r="C2033" s="10" t="s">
        <v>315</v>
      </c>
      <c r="D2033" s="10" t="s">
        <v>315</v>
      </c>
      <c r="E2033" s="10" t="s">
        <v>315</v>
      </c>
    </row>
    <row r="2034" spans="1:5" x14ac:dyDescent="0.35">
      <c r="A2034" s="3">
        <v>45863</v>
      </c>
      <c r="B2034" s="1">
        <f t="shared" si="37"/>
        <v>5</v>
      </c>
      <c r="C2034" s="10" t="s">
        <v>315</v>
      </c>
      <c r="D2034" s="10" t="s">
        <v>315</v>
      </c>
      <c r="E2034" s="10" t="s">
        <v>315</v>
      </c>
    </row>
    <row r="2035" spans="1:5" x14ac:dyDescent="0.35">
      <c r="A2035" s="3">
        <v>45864</v>
      </c>
      <c r="B2035" s="1">
        <f t="shared" si="37"/>
        <v>6</v>
      </c>
      <c r="C2035" s="10" t="s">
        <v>315</v>
      </c>
      <c r="D2035" s="10" t="s">
        <v>315</v>
      </c>
      <c r="E2035" s="10" t="s">
        <v>315</v>
      </c>
    </row>
    <row r="2036" spans="1:5" x14ac:dyDescent="0.35">
      <c r="A2036" s="3">
        <v>45865</v>
      </c>
      <c r="B2036" s="1">
        <f t="shared" si="37"/>
        <v>7</v>
      </c>
      <c r="C2036" s="10" t="s">
        <v>315</v>
      </c>
      <c r="D2036" s="10" t="s">
        <v>315</v>
      </c>
      <c r="E2036" s="10" t="s">
        <v>315</v>
      </c>
    </row>
    <row r="2037" spans="1:5" x14ac:dyDescent="0.35">
      <c r="A2037" s="3">
        <v>45866</v>
      </c>
      <c r="B2037" s="1">
        <f t="shared" si="37"/>
        <v>1</v>
      </c>
      <c r="C2037" s="10" t="s">
        <v>315</v>
      </c>
      <c r="D2037" s="10" t="s">
        <v>315</v>
      </c>
      <c r="E2037" s="10" t="s">
        <v>315</v>
      </c>
    </row>
    <row r="2038" spans="1:5" x14ac:dyDescent="0.35">
      <c r="A2038" s="3">
        <v>45867</v>
      </c>
      <c r="B2038" s="1">
        <f t="shared" si="37"/>
        <v>2</v>
      </c>
      <c r="C2038" s="10" t="s">
        <v>315</v>
      </c>
      <c r="D2038" s="10" t="s">
        <v>315</v>
      </c>
      <c r="E2038" s="10" t="s">
        <v>315</v>
      </c>
    </row>
    <row r="2039" spans="1:5" x14ac:dyDescent="0.35">
      <c r="A2039" s="3">
        <v>45868</v>
      </c>
      <c r="B2039" s="1">
        <f t="shared" si="37"/>
        <v>3</v>
      </c>
      <c r="C2039" s="10" t="s">
        <v>315</v>
      </c>
      <c r="D2039" s="10" t="s">
        <v>315</v>
      </c>
      <c r="E2039" s="10" t="s">
        <v>315</v>
      </c>
    </row>
    <row r="2040" spans="1:5" x14ac:dyDescent="0.35">
      <c r="A2040" s="3">
        <v>45869</v>
      </c>
      <c r="B2040" s="1">
        <f t="shared" si="37"/>
        <v>4</v>
      </c>
      <c r="C2040" s="10" t="s">
        <v>315</v>
      </c>
      <c r="D2040" s="10" t="s">
        <v>315</v>
      </c>
      <c r="E2040" s="10" t="s">
        <v>315</v>
      </c>
    </row>
    <row r="2041" spans="1:5" x14ac:dyDescent="0.35">
      <c r="A2041" s="3">
        <v>45870</v>
      </c>
      <c r="B2041" s="1">
        <f t="shared" si="37"/>
        <v>5</v>
      </c>
      <c r="C2041" s="10" t="s">
        <v>315</v>
      </c>
      <c r="D2041" s="10" t="s">
        <v>315</v>
      </c>
      <c r="E2041" s="10" t="s">
        <v>315</v>
      </c>
    </row>
    <row r="2042" spans="1:5" x14ac:dyDescent="0.35">
      <c r="A2042" s="3">
        <v>45871</v>
      </c>
      <c r="B2042" s="1">
        <f t="shared" si="37"/>
        <v>6</v>
      </c>
      <c r="C2042" s="10" t="s">
        <v>315</v>
      </c>
      <c r="D2042" s="10" t="s">
        <v>315</v>
      </c>
      <c r="E2042" s="10" t="s">
        <v>315</v>
      </c>
    </row>
    <row r="2043" spans="1:5" x14ac:dyDescent="0.35">
      <c r="A2043" s="3">
        <v>45872</v>
      </c>
      <c r="B2043" s="1">
        <f t="shared" si="37"/>
        <v>7</v>
      </c>
      <c r="C2043" s="10" t="s">
        <v>315</v>
      </c>
      <c r="D2043" s="10" t="s">
        <v>315</v>
      </c>
      <c r="E2043" s="10" t="s">
        <v>315</v>
      </c>
    </row>
    <row r="2044" spans="1:5" x14ac:dyDescent="0.35">
      <c r="A2044" s="3">
        <v>45873</v>
      </c>
      <c r="B2044" s="1">
        <f t="shared" si="37"/>
        <v>1</v>
      </c>
      <c r="C2044" s="10" t="s">
        <v>315</v>
      </c>
      <c r="D2044" s="10" t="s">
        <v>315</v>
      </c>
      <c r="E2044" s="10" t="s">
        <v>315</v>
      </c>
    </row>
    <row r="2045" spans="1:5" x14ac:dyDescent="0.35">
      <c r="A2045" s="3">
        <v>45874</v>
      </c>
      <c r="B2045" s="1">
        <f t="shared" si="37"/>
        <v>2</v>
      </c>
      <c r="C2045" s="10" t="s">
        <v>315</v>
      </c>
      <c r="D2045" s="10" t="s">
        <v>315</v>
      </c>
      <c r="E2045" s="10" t="s">
        <v>315</v>
      </c>
    </row>
    <row r="2046" spans="1:5" x14ac:dyDescent="0.35">
      <c r="A2046" s="3">
        <v>45875</v>
      </c>
      <c r="B2046" s="1">
        <f t="shared" si="37"/>
        <v>3</v>
      </c>
      <c r="C2046" s="10" t="s">
        <v>315</v>
      </c>
      <c r="D2046" s="10" t="s">
        <v>315</v>
      </c>
      <c r="E2046" s="10" t="s">
        <v>315</v>
      </c>
    </row>
    <row r="2047" spans="1:5" x14ac:dyDescent="0.35">
      <c r="A2047" s="3">
        <v>45876</v>
      </c>
      <c r="B2047" s="1">
        <f t="shared" si="37"/>
        <v>4</v>
      </c>
      <c r="C2047" s="10" t="s">
        <v>315</v>
      </c>
      <c r="D2047" s="10" t="s">
        <v>315</v>
      </c>
      <c r="E2047" s="10" t="s">
        <v>315</v>
      </c>
    </row>
    <row r="2048" spans="1:5" x14ac:dyDescent="0.35">
      <c r="A2048" s="3">
        <v>45877</v>
      </c>
      <c r="B2048" s="1">
        <f t="shared" si="37"/>
        <v>5</v>
      </c>
      <c r="C2048" s="10" t="s">
        <v>315</v>
      </c>
      <c r="D2048" s="10" t="s">
        <v>315</v>
      </c>
      <c r="E2048" s="10" t="s">
        <v>315</v>
      </c>
    </row>
    <row r="2049" spans="1:5" x14ac:dyDescent="0.35">
      <c r="A2049" s="3">
        <v>45878</v>
      </c>
      <c r="B2049" s="1">
        <f t="shared" si="37"/>
        <v>6</v>
      </c>
      <c r="C2049" s="10" t="s">
        <v>315</v>
      </c>
      <c r="D2049" s="10" t="s">
        <v>315</v>
      </c>
      <c r="E2049" s="10" t="s">
        <v>315</v>
      </c>
    </row>
    <row r="2050" spans="1:5" x14ac:dyDescent="0.35">
      <c r="A2050" s="3">
        <v>45879</v>
      </c>
      <c r="B2050" s="1">
        <f t="shared" si="37"/>
        <v>7</v>
      </c>
      <c r="C2050" s="10" t="s">
        <v>315</v>
      </c>
      <c r="D2050" s="10" t="s">
        <v>315</v>
      </c>
      <c r="E2050" s="10" t="s">
        <v>315</v>
      </c>
    </row>
    <row r="2051" spans="1:5" x14ac:dyDescent="0.35">
      <c r="A2051" s="3">
        <v>45880</v>
      </c>
      <c r="B2051" s="1">
        <f t="shared" si="37"/>
        <v>1</v>
      </c>
      <c r="C2051" s="10" t="s">
        <v>315</v>
      </c>
      <c r="D2051" s="10" t="s">
        <v>315</v>
      </c>
      <c r="E2051" s="10" t="s">
        <v>315</v>
      </c>
    </row>
    <row r="2052" spans="1:5" x14ac:dyDescent="0.35">
      <c r="A2052" s="3">
        <v>45881</v>
      </c>
      <c r="B2052" s="1">
        <f t="shared" si="37"/>
        <v>2</v>
      </c>
      <c r="C2052" s="10" t="s">
        <v>315</v>
      </c>
      <c r="D2052" s="10" t="s">
        <v>315</v>
      </c>
      <c r="E2052" s="10" t="s">
        <v>315</v>
      </c>
    </row>
    <row r="2053" spans="1:5" x14ac:dyDescent="0.35">
      <c r="A2053" s="3">
        <v>45882</v>
      </c>
      <c r="B2053" s="1">
        <f t="shared" si="37"/>
        <v>3</v>
      </c>
      <c r="C2053" s="10" t="s">
        <v>315</v>
      </c>
      <c r="D2053" s="10" t="s">
        <v>315</v>
      </c>
      <c r="E2053" s="10" t="s">
        <v>315</v>
      </c>
    </row>
    <row r="2054" spans="1:5" x14ac:dyDescent="0.35">
      <c r="A2054" s="3">
        <v>45883</v>
      </c>
      <c r="B2054" s="1">
        <f t="shared" si="37"/>
        <v>4</v>
      </c>
      <c r="C2054" s="10" t="s">
        <v>315</v>
      </c>
      <c r="D2054" s="10" t="s">
        <v>315</v>
      </c>
      <c r="E2054" s="10" t="s">
        <v>315</v>
      </c>
    </row>
    <row r="2055" spans="1:5" x14ac:dyDescent="0.35">
      <c r="A2055" s="3">
        <v>45884</v>
      </c>
      <c r="B2055" s="1">
        <f t="shared" si="37"/>
        <v>5</v>
      </c>
      <c r="C2055" s="10" t="s">
        <v>315</v>
      </c>
      <c r="D2055" s="10" t="s">
        <v>315</v>
      </c>
      <c r="E2055" s="10" t="s">
        <v>315</v>
      </c>
    </row>
    <row r="2056" spans="1:5" x14ac:dyDescent="0.35">
      <c r="A2056" s="3">
        <v>45885</v>
      </c>
      <c r="B2056" s="1">
        <f t="shared" si="37"/>
        <v>6</v>
      </c>
      <c r="C2056" s="10" t="s">
        <v>315</v>
      </c>
      <c r="D2056" s="10" t="s">
        <v>315</v>
      </c>
      <c r="E2056" s="10" t="s">
        <v>315</v>
      </c>
    </row>
    <row r="2057" spans="1:5" x14ac:dyDescent="0.35">
      <c r="A2057" s="3">
        <v>45886</v>
      </c>
      <c r="B2057" s="1">
        <f t="shared" si="37"/>
        <v>7</v>
      </c>
      <c r="C2057" s="10" t="s">
        <v>315</v>
      </c>
      <c r="D2057" s="10" t="s">
        <v>315</v>
      </c>
      <c r="E2057" s="10" t="s">
        <v>315</v>
      </c>
    </row>
    <row r="2058" spans="1:5" x14ac:dyDescent="0.35">
      <c r="A2058" s="3">
        <v>45887</v>
      </c>
      <c r="B2058" s="1">
        <f t="shared" si="37"/>
        <v>1</v>
      </c>
      <c r="C2058" s="10" t="s">
        <v>315</v>
      </c>
      <c r="D2058" s="10" t="s">
        <v>315</v>
      </c>
      <c r="E2058" s="10" t="s">
        <v>315</v>
      </c>
    </row>
    <row r="2059" spans="1:5" x14ac:dyDescent="0.35">
      <c r="A2059" s="3">
        <v>45888</v>
      </c>
      <c r="B2059" s="1">
        <f t="shared" si="37"/>
        <v>2</v>
      </c>
      <c r="C2059" s="10" t="s">
        <v>315</v>
      </c>
      <c r="D2059" s="10" t="s">
        <v>315</v>
      </c>
      <c r="E2059" s="10" t="s">
        <v>315</v>
      </c>
    </row>
    <row r="2060" spans="1:5" x14ac:dyDescent="0.35">
      <c r="A2060" s="3">
        <v>45889</v>
      </c>
      <c r="B2060" s="1">
        <f t="shared" si="37"/>
        <v>3</v>
      </c>
      <c r="C2060" s="10" t="s">
        <v>315</v>
      </c>
      <c r="D2060" s="10" t="s">
        <v>315</v>
      </c>
      <c r="E2060" s="10" t="s">
        <v>315</v>
      </c>
    </row>
    <row r="2061" spans="1:5" x14ac:dyDescent="0.35">
      <c r="A2061" s="3">
        <v>45890</v>
      </c>
      <c r="B2061" s="1">
        <f t="shared" si="37"/>
        <v>4</v>
      </c>
      <c r="C2061" s="10" t="s">
        <v>315</v>
      </c>
      <c r="D2061" s="10" t="s">
        <v>315</v>
      </c>
      <c r="E2061" s="10" t="s">
        <v>315</v>
      </c>
    </row>
    <row r="2062" spans="1:5" x14ac:dyDescent="0.35">
      <c r="A2062" s="3">
        <v>45891</v>
      </c>
      <c r="B2062" s="1">
        <f t="shared" si="37"/>
        <v>5</v>
      </c>
      <c r="C2062" s="10" t="s">
        <v>315</v>
      </c>
      <c r="D2062" s="10" t="s">
        <v>315</v>
      </c>
      <c r="E2062" s="10" t="s">
        <v>315</v>
      </c>
    </row>
    <row r="2063" spans="1:5" x14ac:dyDescent="0.35">
      <c r="A2063" s="3">
        <v>45892</v>
      </c>
      <c r="B2063" s="1">
        <f t="shared" si="37"/>
        <v>6</v>
      </c>
      <c r="C2063" s="10" t="s">
        <v>315</v>
      </c>
      <c r="D2063" s="10" t="s">
        <v>315</v>
      </c>
      <c r="E2063" s="10" t="s">
        <v>315</v>
      </c>
    </row>
    <row r="2064" spans="1:5" x14ac:dyDescent="0.35">
      <c r="A2064" s="3">
        <v>45893</v>
      </c>
      <c r="B2064" s="1">
        <f t="shared" si="37"/>
        <v>7</v>
      </c>
      <c r="C2064" s="10" t="s">
        <v>315</v>
      </c>
      <c r="D2064" s="10" t="s">
        <v>315</v>
      </c>
      <c r="E2064" s="10" t="s">
        <v>315</v>
      </c>
    </row>
    <row r="2065" spans="1:5" x14ac:dyDescent="0.35">
      <c r="A2065" s="3">
        <v>45894</v>
      </c>
      <c r="B2065" s="1">
        <f t="shared" si="37"/>
        <v>1</v>
      </c>
      <c r="C2065" s="10" t="s">
        <v>315</v>
      </c>
      <c r="D2065" s="10" t="s">
        <v>315</v>
      </c>
      <c r="E2065" s="10" t="s">
        <v>315</v>
      </c>
    </row>
    <row r="2066" spans="1:5" x14ac:dyDescent="0.35">
      <c r="A2066" s="3">
        <v>45895</v>
      </c>
      <c r="B2066" s="1">
        <f t="shared" si="37"/>
        <v>2</v>
      </c>
      <c r="C2066" s="10" t="s">
        <v>315</v>
      </c>
      <c r="D2066" s="10" t="s">
        <v>315</v>
      </c>
      <c r="E2066" s="10" t="s">
        <v>315</v>
      </c>
    </row>
    <row r="2067" spans="1:5" x14ac:dyDescent="0.35">
      <c r="A2067" s="3">
        <v>45896</v>
      </c>
      <c r="B2067" s="1">
        <f t="shared" si="37"/>
        <v>3</v>
      </c>
      <c r="C2067" s="10" t="s">
        <v>315</v>
      </c>
      <c r="D2067" s="10" t="s">
        <v>315</v>
      </c>
      <c r="E2067" s="10" t="s">
        <v>315</v>
      </c>
    </row>
    <row r="2068" spans="1:5" x14ac:dyDescent="0.35">
      <c r="A2068" s="3">
        <v>45897</v>
      </c>
      <c r="B2068" s="1">
        <f t="shared" si="37"/>
        <v>4</v>
      </c>
      <c r="C2068" s="10" t="s">
        <v>315</v>
      </c>
      <c r="D2068" s="10" t="s">
        <v>315</v>
      </c>
      <c r="E2068" s="10" t="s">
        <v>315</v>
      </c>
    </row>
    <row r="2069" spans="1:5" x14ac:dyDescent="0.35">
      <c r="A2069" s="3">
        <v>45898</v>
      </c>
      <c r="B2069" s="1">
        <f t="shared" si="37"/>
        <v>5</v>
      </c>
      <c r="C2069" s="10" t="s">
        <v>315</v>
      </c>
      <c r="D2069" s="10" t="s">
        <v>315</v>
      </c>
      <c r="E2069" s="10" t="s">
        <v>315</v>
      </c>
    </row>
    <row r="2070" spans="1:5" x14ac:dyDescent="0.35">
      <c r="A2070" s="3">
        <v>45899</v>
      </c>
      <c r="B2070" s="1">
        <f t="shared" si="37"/>
        <v>6</v>
      </c>
      <c r="C2070" s="10" t="s">
        <v>315</v>
      </c>
      <c r="D2070" s="10" t="s">
        <v>315</v>
      </c>
      <c r="E2070" s="10" t="s">
        <v>315</v>
      </c>
    </row>
    <row r="2071" spans="1:5" x14ac:dyDescent="0.35">
      <c r="A2071" s="3">
        <v>45900</v>
      </c>
      <c r="B2071" s="1">
        <f t="shared" si="37"/>
        <v>7</v>
      </c>
      <c r="C2071" s="10" t="s">
        <v>315</v>
      </c>
      <c r="D2071" s="10" t="s">
        <v>315</v>
      </c>
      <c r="E2071" s="10" t="s">
        <v>315</v>
      </c>
    </row>
    <row r="2072" spans="1:5" x14ac:dyDescent="0.35">
      <c r="A2072" s="3">
        <v>45901</v>
      </c>
      <c r="B2072" s="1">
        <f t="shared" si="37"/>
        <v>1</v>
      </c>
      <c r="C2072" s="10" t="s">
        <v>315</v>
      </c>
      <c r="D2072" s="10" t="s">
        <v>315</v>
      </c>
      <c r="E2072" s="10" t="s">
        <v>315</v>
      </c>
    </row>
    <row r="2073" spans="1:5" x14ac:dyDescent="0.35">
      <c r="A2073" s="3">
        <v>45902</v>
      </c>
      <c r="B2073" s="1">
        <f t="shared" si="37"/>
        <v>2</v>
      </c>
      <c r="C2073" s="10" t="s">
        <v>315</v>
      </c>
      <c r="D2073" s="10" t="s">
        <v>315</v>
      </c>
      <c r="E2073" s="10" t="s">
        <v>315</v>
      </c>
    </row>
    <row r="2074" spans="1:5" x14ac:dyDescent="0.35">
      <c r="A2074" s="3">
        <v>45903</v>
      </c>
      <c r="B2074" s="1">
        <f t="shared" si="37"/>
        <v>3</v>
      </c>
      <c r="C2074" s="10" t="s">
        <v>315</v>
      </c>
      <c r="D2074" s="10" t="s">
        <v>315</v>
      </c>
      <c r="E2074" s="10" t="s">
        <v>315</v>
      </c>
    </row>
    <row r="2075" spans="1:5" x14ac:dyDescent="0.35">
      <c r="A2075" s="3">
        <v>45904</v>
      </c>
      <c r="B2075" s="1">
        <f t="shared" si="37"/>
        <v>4</v>
      </c>
      <c r="C2075" s="10" t="s">
        <v>315</v>
      </c>
      <c r="D2075" s="10" t="s">
        <v>315</v>
      </c>
      <c r="E2075" s="10" t="s">
        <v>315</v>
      </c>
    </row>
    <row r="2076" spans="1:5" x14ac:dyDescent="0.35">
      <c r="A2076" s="3">
        <v>45905</v>
      </c>
      <c r="B2076" s="1">
        <f t="shared" si="37"/>
        <v>5</v>
      </c>
      <c r="C2076" s="10" t="s">
        <v>315</v>
      </c>
      <c r="D2076" s="10" t="s">
        <v>315</v>
      </c>
      <c r="E2076" s="10" t="s">
        <v>315</v>
      </c>
    </row>
    <row r="2077" spans="1:5" x14ac:dyDescent="0.35">
      <c r="A2077" s="3">
        <v>45906</v>
      </c>
      <c r="B2077" s="1">
        <f t="shared" si="37"/>
        <v>6</v>
      </c>
      <c r="C2077" s="10" t="s">
        <v>315</v>
      </c>
      <c r="D2077" s="10" t="s">
        <v>315</v>
      </c>
      <c r="E2077" s="10" t="s">
        <v>315</v>
      </c>
    </row>
    <row r="2078" spans="1:5" x14ac:dyDescent="0.35">
      <c r="A2078" s="3">
        <v>45907</v>
      </c>
      <c r="B2078" s="1">
        <f t="shared" si="37"/>
        <v>7</v>
      </c>
      <c r="C2078" s="10" t="s">
        <v>315</v>
      </c>
      <c r="D2078" s="10" t="s">
        <v>315</v>
      </c>
      <c r="E2078" s="10" t="s">
        <v>315</v>
      </c>
    </row>
    <row r="2079" spans="1:5" x14ac:dyDescent="0.35">
      <c r="A2079" s="3">
        <v>45908</v>
      </c>
      <c r="B2079" s="1">
        <f t="shared" si="37"/>
        <v>1</v>
      </c>
      <c r="C2079" s="10" t="s">
        <v>315</v>
      </c>
      <c r="D2079" s="10" t="s">
        <v>315</v>
      </c>
      <c r="E2079" s="10" t="s">
        <v>315</v>
      </c>
    </row>
    <row r="2080" spans="1:5" x14ac:dyDescent="0.35">
      <c r="A2080" s="3">
        <v>45909</v>
      </c>
      <c r="B2080" s="1">
        <f t="shared" ref="B2080:B2143" si="38">IF(A2080&gt;0,WEEKDAY(A2080,2),"")</f>
        <v>2</v>
      </c>
      <c r="C2080" s="10" t="s">
        <v>315</v>
      </c>
      <c r="D2080" s="10" t="s">
        <v>315</v>
      </c>
      <c r="E2080" s="10" t="s">
        <v>315</v>
      </c>
    </row>
    <row r="2081" spans="1:5" x14ac:dyDescent="0.35">
      <c r="A2081" s="3">
        <v>45910</v>
      </c>
      <c r="B2081" s="1">
        <f t="shared" si="38"/>
        <v>3</v>
      </c>
      <c r="C2081" s="10" t="s">
        <v>315</v>
      </c>
      <c r="D2081" s="10" t="s">
        <v>315</v>
      </c>
      <c r="E2081" s="10" t="s">
        <v>315</v>
      </c>
    </row>
    <row r="2082" spans="1:5" x14ac:dyDescent="0.35">
      <c r="A2082" s="3">
        <v>45911</v>
      </c>
      <c r="B2082" s="1">
        <f t="shared" si="38"/>
        <v>4</v>
      </c>
      <c r="C2082" s="10" t="s">
        <v>315</v>
      </c>
      <c r="D2082" s="10" t="s">
        <v>315</v>
      </c>
      <c r="E2082" s="10" t="s">
        <v>315</v>
      </c>
    </row>
    <row r="2083" spans="1:5" x14ac:dyDescent="0.35">
      <c r="A2083" s="3">
        <v>45912</v>
      </c>
      <c r="B2083" s="1">
        <f t="shared" si="38"/>
        <v>5</v>
      </c>
      <c r="C2083" s="10" t="s">
        <v>315</v>
      </c>
      <c r="D2083" s="10" t="s">
        <v>315</v>
      </c>
      <c r="E2083" s="10" t="s">
        <v>315</v>
      </c>
    </row>
    <row r="2084" spans="1:5" x14ac:dyDescent="0.35">
      <c r="A2084" s="3">
        <v>45913</v>
      </c>
      <c r="B2084" s="1">
        <f t="shared" si="38"/>
        <v>6</v>
      </c>
      <c r="C2084" s="10" t="s">
        <v>315</v>
      </c>
      <c r="D2084" s="10" t="s">
        <v>315</v>
      </c>
      <c r="E2084" s="10" t="s">
        <v>315</v>
      </c>
    </row>
    <row r="2085" spans="1:5" x14ac:dyDescent="0.35">
      <c r="A2085" s="3">
        <v>45914</v>
      </c>
      <c r="B2085" s="1">
        <f t="shared" si="38"/>
        <v>7</v>
      </c>
      <c r="C2085" s="10" t="s">
        <v>315</v>
      </c>
      <c r="D2085" s="10" t="s">
        <v>315</v>
      </c>
      <c r="E2085" s="10" t="s">
        <v>315</v>
      </c>
    </row>
    <row r="2086" spans="1:5" x14ac:dyDescent="0.35">
      <c r="A2086" s="3">
        <v>45915</v>
      </c>
      <c r="B2086" s="1">
        <f t="shared" si="38"/>
        <v>1</v>
      </c>
      <c r="C2086" s="10" t="s">
        <v>315</v>
      </c>
      <c r="D2086" s="10" t="s">
        <v>315</v>
      </c>
      <c r="E2086" s="10" t="s">
        <v>315</v>
      </c>
    </row>
    <row r="2087" spans="1:5" x14ac:dyDescent="0.35">
      <c r="A2087" s="3">
        <v>45916</v>
      </c>
      <c r="B2087" s="1">
        <f t="shared" si="38"/>
        <v>2</v>
      </c>
      <c r="C2087" s="10" t="s">
        <v>315</v>
      </c>
      <c r="D2087" s="10" t="s">
        <v>315</v>
      </c>
      <c r="E2087" s="10" t="s">
        <v>315</v>
      </c>
    </row>
    <row r="2088" spans="1:5" x14ac:dyDescent="0.35">
      <c r="A2088" s="3">
        <v>45917</v>
      </c>
      <c r="B2088" s="1">
        <f t="shared" si="38"/>
        <v>3</v>
      </c>
      <c r="C2088" s="10" t="s">
        <v>315</v>
      </c>
      <c r="D2088" s="10" t="s">
        <v>315</v>
      </c>
      <c r="E2088" s="10" t="s">
        <v>315</v>
      </c>
    </row>
    <row r="2089" spans="1:5" x14ac:dyDescent="0.35">
      <c r="A2089" s="3">
        <v>45918</v>
      </c>
      <c r="B2089" s="1">
        <f t="shared" si="38"/>
        <v>4</v>
      </c>
      <c r="C2089" s="10" t="s">
        <v>315</v>
      </c>
      <c r="D2089" s="10" t="s">
        <v>315</v>
      </c>
      <c r="E2089" s="10" t="s">
        <v>315</v>
      </c>
    </row>
    <row r="2090" spans="1:5" x14ac:dyDescent="0.35">
      <c r="A2090" s="3">
        <v>45919</v>
      </c>
      <c r="B2090" s="1">
        <f t="shared" si="38"/>
        <v>5</v>
      </c>
      <c r="C2090" s="10" t="s">
        <v>315</v>
      </c>
      <c r="D2090" s="10" t="s">
        <v>315</v>
      </c>
      <c r="E2090" s="10" t="s">
        <v>315</v>
      </c>
    </row>
    <row r="2091" spans="1:5" x14ac:dyDescent="0.35">
      <c r="A2091" s="3">
        <v>45920</v>
      </c>
      <c r="B2091" s="1">
        <f t="shared" si="38"/>
        <v>6</v>
      </c>
      <c r="C2091" s="10" t="s">
        <v>315</v>
      </c>
      <c r="D2091" s="10" t="s">
        <v>315</v>
      </c>
      <c r="E2091" s="10" t="s">
        <v>315</v>
      </c>
    </row>
    <row r="2092" spans="1:5" x14ac:dyDescent="0.35">
      <c r="A2092" s="3">
        <v>45921</v>
      </c>
      <c r="B2092" s="1">
        <f t="shared" si="38"/>
        <v>7</v>
      </c>
      <c r="C2092" s="10" t="s">
        <v>315</v>
      </c>
      <c r="D2092" s="10" t="s">
        <v>315</v>
      </c>
      <c r="E2092" s="10" t="s">
        <v>315</v>
      </c>
    </row>
    <row r="2093" spans="1:5" x14ac:dyDescent="0.35">
      <c r="A2093" s="3">
        <v>45922</v>
      </c>
      <c r="B2093" s="1">
        <f t="shared" si="38"/>
        <v>1</v>
      </c>
      <c r="C2093" s="10" t="s">
        <v>315</v>
      </c>
      <c r="D2093" s="10" t="s">
        <v>315</v>
      </c>
      <c r="E2093" s="10" t="s">
        <v>315</v>
      </c>
    </row>
    <row r="2094" spans="1:5" x14ac:dyDescent="0.35">
      <c r="A2094" s="3">
        <v>45923</v>
      </c>
      <c r="B2094" s="1">
        <f t="shared" si="38"/>
        <v>2</v>
      </c>
      <c r="C2094" s="10" t="s">
        <v>315</v>
      </c>
      <c r="D2094" s="10" t="s">
        <v>315</v>
      </c>
      <c r="E2094" s="10" t="s">
        <v>315</v>
      </c>
    </row>
    <row r="2095" spans="1:5" x14ac:dyDescent="0.35">
      <c r="A2095" s="3">
        <v>45924</v>
      </c>
      <c r="B2095" s="1">
        <f t="shared" si="38"/>
        <v>3</v>
      </c>
      <c r="C2095" s="10" t="s">
        <v>315</v>
      </c>
      <c r="D2095" s="10" t="s">
        <v>315</v>
      </c>
      <c r="E2095" s="10" t="s">
        <v>315</v>
      </c>
    </row>
    <row r="2096" spans="1:5" x14ac:dyDescent="0.35">
      <c r="A2096" s="3">
        <v>45925</v>
      </c>
      <c r="B2096" s="1">
        <f t="shared" si="38"/>
        <v>4</v>
      </c>
      <c r="C2096" s="10" t="s">
        <v>315</v>
      </c>
      <c r="D2096" s="10" t="s">
        <v>315</v>
      </c>
      <c r="E2096" s="10" t="s">
        <v>315</v>
      </c>
    </row>
    <row r="2097" spans="1:5" x14ac:dyDescent="0.35">
      <c r="A2097" s="3">
        <v>45926</v>
      </c>
      <c r="B2097" s="1">
        <f t="shared" si="38"/>
        <v>5</v>
      </c>
      <c r="C2097" s="10" t="s">
        <v>315</v>
      </c>
      <c r="D2097" s="10" t="s">
        <v>315</v>
      </c>
      <c r="E2097" s="10" t="s">
        <v>315</v>
      </c>
    </row>
    <row r="2098" spans="1:5" x14ac:dyDescent="0.35">
      <c r="A2098" s="3">
        <v>45927</v>
      </c>
      <c r="B2098" s="1">
        <f t="shared" si="38"/>
        <v>6</v>
      </c>
      <c r="C2098" s="10" t="s">
        <v>315</v>
      </c>
      <c r="D2098" s="10" t="s">
        <v>315</v>
      </c>
      <c r="E2098" s="10" t="s">
        <v>315</v>
      </c>
    </row>
    <row r="2099" spans="1:5" x14ac:dyDescent="0.35">
      <c r="A2099" s="3">
        <v>45928</v>
      </c>
      <c r="B2099" s="1">
        <f t="shared" si="38"/>
        <v>7</v>
      </c>
      <c r="C2099" s="10" t="s">
        <v>315</v>
      </c>
      <c r="D2099" s="10" t="s">
        <v>315</v>
      </c>
      <c r="E2099" s="10" t="s">
        <v>315</v>
      </c>
    </row>
    <row r="2100" spans="1:5" x14ac:dyDescent="0.35">
      <c r="A2100" s="3">
        <v>45929</v>
      </c>
      <c r="B2100" s="1">
        <f t="shared" si="38"/>
        <v>1</v>
      </c>
      <c r="C2100" s="10" t="s">
        <v>315</v>
      </c>
      <c r="D2100" s="10" t="s">
        <v>315</v>
      </c>
      <c r="E2100" s="10" t="s">
        <v>315</v>
      </c>
    </row>
    <row r="2101" spans="1:5" x14ac:dyDescent="0.35">
      <c r="A2101" s="3">
        <v>45930</v>
      </c>
      <c r="B2101" s="1">
        <f t="shared" si="38"/>
        <v>2</v>
      </c>
      <c r="C2101" s="10" t="s">
        <v>315</v>
      </c>
      <c r="D2101" s="10" t="s">
        <v>315</v>
      </c>
      <c r="E2101" s="10" t="s">
        <v>315</v>
      </c>
    </row>
    <row r="2102" spans="1:5" x14ac:dyDescent="0.35">
      <c r="A2102" s="3">
        <v>45931</v>
      </c>
      <c r="B2102" s="1">
        <f t="shared" si="38"/>
        <v>3</v>
      </c>
      <c r="C2102" s="10" t="s">
        <v>315</v>
      </c>
      <c r="D2102" s="10" t="s">
        <v>315</v>
      </c>
      <c r="E2102" s="10" t="s">
        <v>315</v>
      </c>
    </row>
    <row r="2103" spans="1:5" x14ac:dyDescent="0.35">
      <c r="A2103" s="3">
        <v>45932</v>
      </c>
      <c r="B2103" s="1">
        <f t="shared" si="38"/>
        <v>4</v>
      </c>
      <c r="C2103" s="10" t="s">
        <v>315</v>
      </c>
      <c r="D2103" s="10" t="s">
        <v>315</v>
      </c>
      <c r="E2103" s="10" t="s">
        <v>315</v>
      </c>
    </row>
    <row r="2104" spans="1:5" x14ac:dyDescent="0.35">
      <c r="A2104" s="3">
        <v>45933</v>
      </c>
      <c r="B2104" s="1">
        <f t="shared" si="38"/>
        <v>5</v>
      </c>
      <c r="C2104" s="10" t="s">
        <v>315</v>
      </c>
      <c r="D2104" s="10" t="s">
        <v>315</v>
      </c>
      <c r="E2104" s="10" t="s">
        <v>315</v>
      </c>
    </row>
    <row r="2105" spans="1:5" x14ac:dyDescent="0.35">
      <c r="A2105" s="3">
        <v>45934</v>
      </c>
      <c r="B2105" s="1">
        <f t="shared" si="38"/>
        <v>6</v>
      </c>
      <c r="C2105" s="10" t="s">
        <v>315</v>
      </c>
      <c r="D2105" s="10" t="s">
        <v>315</v>
      </c>
      <c r="E2105" s="10" t="s">
        <v>315</v>
      </c>
    </row>
    <row r="2106" spans="1:5" x14ac:dyDescent="0.35">
      <c r="A2106" s="3">
        <v>45935</v>
      </c>
      <c r="B2106" s="1">
        <f t="shared" si="38"/>
        <v>7</v>
      </c>
      <c r="C2106" s="10" t="s">
        <v>315</v>
      </c>
      <c r="D2106" s="10" t="s">
        <v>315</v>
      </c>
      <c r="E2106" s="10" t="s">
        <v>315</v>
      </c>
    </row>
    <row r="2107" spans="1:5" x14ac:dyDescent="0.35">
      <c r="A2107" s="3">
        <v>45936</v>
      </c>
      <c r="B2107" s="1">
        <f t="shared" si="38"/>
        <v>1</v>
      </c>
      <c r="C2107" s="10" t="s">
        <v>315</v>
      </c>
      <c r="D2107" s="10" t="s">
        <v>315</v>
      </c>
      <c r="E2107" s="10" t="s">
        <v>315</v>
      </c>
    </row>
    <row r="2108" spans="1:5" x14ac:dyDescent="0.35">
      <c r="A2108" s="3">
        <v>45937</v>
      </c>
      <c r="B2108" s="1">
        <f t="shared" si="38"/>
        <v>2</v>
      </c>
      <c r="C2108" s="10" t="s">
        <v>315</v>
      </c>
      <c r="D2108" s="10" t="s">
        <v>315</v>
      </c>
      <c r="E2108" s="10" t="s">
        <v>315</v>
      </c>
    </row>
    <row r="2109" spans="1:5" x14ac:dyDescent="0.35">
      <c r="A2109" s="3">
        <v>45938</v>
      </c>
      <c r="B2109" s="1">
        <f t="shared" si="38"/>
        <v>3</v>
      </c>
      <c r="C2109" s="10" t="s">
        <v>315</v>
      </c>
      <c r="D2109" s="10" t="s">
        <v>315</v>
      </c>
      <c r="E2109" s="10" t="s">
        <v>315</v>
      </c>
    </row>
    <row r="2110" spans="1:5" x14ac:dyDescent="0.35">
      <c r="A2110" s="3">
        <v>45939</v>
      </c>
      <c r="B2110" s="1">
        <f t="shared" si="38"/>
        <v>4</v>
      </c>
      <c r="C2110" s="10" t="s">
        <v>315</v>
      </c>
      <c r="D2110" s="10" t="s">
        <v>315</v>
      </c>
      <c r="E2110" s="10" t="s">
        <v>315</v>
      </c>
    </row>
    <row r="2111" spans="1:5" x14ac:dyDescent="0.35">
      <c r="A2111" s="3">
        <v>45940</v>
      </c>
      <c r="B2111" s="1">
        <f t="shared" si="38"/>
        <v>5</v>
      </c>
      <c r="C2111" s="10" t="s">
        <v>315</v>
      </c>
      <c r="D2111" s="10" t="s">
        <v>315</v>
      </c>
      <c r="E2111" s="10" t="s">
        <v>315</v>
      </c>
    </row>
    <row r="2112" spans="1:5" x14ac:dyDescent="0.35">
      <c r="A2112" s="3">
        <v>45941</v>
      </c>
      <c r="B2112" s="1">
        <f t="shared" si="38"/>
        <v>6</v>
      </c>
      <c r="C2112" s="10" t="s">
        <v>315</v>
      </c>
      <c r="D2112" s="10" t="s">
        <v>315</v>
      </c>
      <c r="E2112" s="10" t="s">
        <v>315</v>
      </c>
    </row>
    <row r="2113" spans="1:5" x14ac:dyDescent="0.35">
      <c r="A2113" s="3">
        <v>45942</v>
      </c>
      <c r="B2113" s="1">
        <f t="shared" si="38"/>
        <v>7</v>
      </c>
      <c r="C2113" s="10" t="s">
        <v>315</v>
      </c>
      <c r="D2113" s="10" t="s">
        <v>315</v>
      </c>
      <c r="E2113" s="10" t="s">
        <v>315</v>
      </c>
    </row>
    <row r="2114" spans="1:5" x14ac:dyDescent="0.35">
      <c r="A2114" s="3">
        <v>45943</v>
      </c>
      <c r="B2114" s="1">
        <f t="shared" si="38"/>
        <v>1</v>
      </c>
      <c r="C2114" s="10" t="s">
        <v>315</v>
      </c>
      <c r="D2114" s="10" t="s">
        <v>315</v>
      </c>
      <c r="E2114" s="10" t="s">
        <v>315</v>
      </c>
    </row>
    <row r="2115" spans="1:5" x14ac:dyDescent="0.35">
      <c r="A2115" s="3">
        <v>45944</v>
      </c>
      <c r="B2115" s="1">
        <f t="shared" si="38"/>
        <v>2</v>
      </c>
      <c r="C2115" s="10" t="s">
        <v>315</v>
      </c>
      <c r="D2115" s="10" t="s">
        <v>315</v>
      </c>
      <c r="E2115" s="10" t="s">
        <v>315</v>
      </c>
    </row>
    <row r="2116" spans="1:5" x14ac:dyDescent="0.35">
      <c r="A2116" s="3">
        <v>45945</v>
      </c>
      <c r="B2116" s="1">
        <f t="shared" si="38"/>
        <v>3</v>
      </c>
      <c r="C2116" s="10" t="s">
        <v>315</v>
      </c>
      <c r="D2116" s="10" t="s">
        <v>315</v>
      </c>
      <c r="E2116" s="10" t="s">
        <v>315</v>
      </c>
    </row>
    <row r="2117" spans="1:5" x14ac:dyDescent="0.35">
      <c r="A2117" s="3">
        <v>45946</v>
      </c>
      <c r="B2117" s="1">
        <f t="shared" si="38"/>
        <v>4</v>
      </c>
      <c r="C2117" s="10" t="s">
        <v>315</v>
      </c>
      <c r="D2117" s="10" t="s">
        <v>315</v>
      </c>
      <c r="E2117" s="10" t="s">
        <v>315</v>
      </c>
    </row>
    <row r="2118" spans="1:5" x14ac:dyDescent="0.35">
      <c r="A2118" s="3">
        <v>45947</v>
      </c>
      <c r="B2118" s="1">
        <f t="shared" si="38"/>
        <v>5</v>
      </c>
      <c r="C2118" s="10" t="s">
        <v>315</v>
      </c>
      <c r="D2118" s="10" t="s">
        <v>315</v>
      </c>
      <c r="E2118" s="10" t="s">
        <v>315</v>
      </c>
    </row>
    <row r="2119" spans="1:5" x14ac:dyDescent="0.35">
      <c r="A2119" s="3">
        <v>45948</v>
      </c>
      <c r="B2119" s="1">
        <f t="shared" si="38"/>
        <v>6</v>
      </c>
      <c r="C2119" s="10" t="s">
        <v>315</v>
      </c>
      <c r="D2119" s="10" t="s">
        <v>315</v>
      </c>
      <c r="E2119" s="10" t="s">
        <v>315</v>
      </c>
    </row>
    <row r="2120" spans="1:5" x14ac:dyDescent="0.35">
      <c r="A2120" s="3">
        <v>45949</v>
      </c>
      <c r="B2120" s="1">
        <f t="shared" si="38"/>
        <v>7</v>
      </c>
      <c r="C2120" s="10" t="s">
        <v>315</v>
      </c>
      <c r="D2120" s="10" t="s">
        <v>315</v>
      </c>
      <c r="E2120" s="10" t="s">
        <v>315</v>
      </c>
    </row>
    <row r="2121" spans="1:5" x14ac:dyDescent="0.35">
      <c r="A2121" s="3">
        <v>45950</v>
      </c>
      <c r="B2121" s="1">
        <f t="shared" si="38"/>
        <v>1</v>
      </c>
      <c r="C2121" s="10" t="s">
        <v>315</v>
      </c>
      <c r="D2121" s="10" t="s">
        <v>315</v>
      </c>
      <c r="E2121" s="10" t="s">
        <v>315</v>
      </c>
    </row>
    <row r="2122" spans="1:5" x14ac:dyDescent="0.35">
      <c r="A2122" s="3">
        <v>45951</v>
      </c>
      <c r="B2122" s="1">
        <f t="shared" si="38"/>
        <v>2</v>
      </c>
      <c r="C2122" s="10" t="s">
        <v>315</v>
      </c>
      <c r="D2122" s="10" t="s">
        <v>315</v>
      </c>
      <c r="E2122" s="10" t="s">
        <v>315</v>
      </c>
    </row>
    <row r="2123" spans="1:5" x14ac:dyDescent="0.35">
      <c r="A2123" s="3">
        <v>45952</v>
      </c>
      <c r="B2123" s="1">
        <f t="shared" si="38"/>
        <v>3</v>
      </c>
      <c r="C2123" s="10" t="s">
        <v>315</v>
      </c>
      <c r="D2123" s="10" t="s">
        <v>315</v>
      </c>
      <c r="E2123" s="10" t="s">
        <v>315</v>
      </c>
    </row>
    <row r="2124" spans="1:5" x14ac:dyDescent="0.35">
      <c r="A2124" s="3">
        <v>45953</v>
      </c>
      <c r="B2124" s="1">
        <f t="shared" si="38"/>
        <v>4</v>
      </c>
      <c r="C2124" s="10" t="s">
        <v>315</v>
      </c>
      <c r="D2124" s="10" t="s">
        <v>315</v>
      </c>
      <c r="E2124" s="10" t="s">
        <v>315</v>
      </c>
    </row>
    <row r="2125" spans="1:5" x14ac:dyDescent="0.35">
      <c r="A2125" s="3">
        <v>45954</v>
      </c>
      <c r="B2125" s="1">
        <f t="shared" si="38"/>
        <v>5</v>
      </c>
      <c r="C2125" s="10" t="s">
        <v>315</v>
      </c>
      <c r="D2125" s="10" t="s">
        <v>315</v>
      </c>
      <c r="E2125" s="10" t="s">
        <v>315</v>
      </c>
    </row>
    <row r="2126" spans="1:5" x14ac:dyDescent="0.35">
      <c r="A2126" s="3">
        <v>45955</v>
      </c>
      <c r="B2126" s="1">
        <f t="shared" si="38"/>
        <v>6</v>
      </c>
      <c r="C2126" s="10" t="s">
        <v>315</v>
      </c>
      <c r="D2126" s="10" t="s">
        <v>315</v>
      </c>
      <c r="E2126" s="10" t="s">
        <v>315</v>
      </c>
    </row>
    <row r="2127" spans="1:5" x14ac:dyDescent="0.35">
      <c r="A2127" s="3">
        <v>45956</v>
      </c>
      <c r="B2127" s="1">
        <f t="shared" si="38"/>
        <v>7</v>
      </c>
      <c r="C2127" s="10" t="s">
        <v>315</v>
      </c>
      <c r="D2127" s="10" t="s">
        <v>315</v>
      </c>
      <c r="E2127" s="10" t="s">
        <v>315</v>
      </c>
    </row>
    <row r="2128" spans="1:5" x14ac:dyDescent="0.35">
      <c r="A2128" s="3">
        <v>45957</v>
      </c>
      <c r="B2128" s="1">
        <f t="shared" si="38"/>
        <v>1</v>
      </c>
      <c r="C2128" s="10" t="s">
        <v>315</v>
      </c>
      <c r="D2128" s="10" t="s">
        <v>315</v>
      </c>
      <c r="E2128" s="10" t="s">
        <v>315</v>
      </c>
    </row>
    <row r="2129" spans="1:5" x14ac:dyDescent="0.35">
      <c r="A2129" s="3">
        <v>45958</v>
      </c>
      <c r="B2129" s="1">
        <f t="shared" si="38"/>
        <v>2</v>
      </c>
      <c r="C2129" s="10" t="s">
        <v>315</v>
      </c>
      <c r="D2129" s="10" t="s">
        <v>315</v>
      </c>
      <c r="E2129" s="10" t="s">
        <v>315</v>
      </c>
    </row>
    <row r="2130" spans="1:5" x14ac:dyDescent="0.35">
      <c r="A2130" s="3">
        <v>45959</v>
      </c>
      <c r="B2130" s="1">
        <f t="shared" si="38"/>
        <v>3</v>
      </c>
      <c r="C2130" s="10" t="s">
        <v>315</v>
      </c>
      <c r="D2130" s="10" t="s">
        <v>315</v>
      </c>
      <c r="E2130" s="10" t="s">
        <v>315</v>
      </c>
    </row>
    <row r="2131" spans="1:5" x14ac:dyDescent="0.35">
      <c r="A2131" s="3">
        <v>45960</v>
      </c>
      <c r="B2131" s="1">
        <f t="shared" si="38"/>
        <v>4</v>
      </c>
      <c r="C2131" s="10" t="s">
        <v>315</v>
      </c>
      <c r="D2131" s="10" t="s">
        <v>315</v>
      </c>
      <c r="E2131" s="10" t="s">
        <v>315</v>
      </c>
    </row>
    <row r="2132" spans="1:5" x14ac:dyDescent="0.35">
      <c r="A2132" s="3">
        <v>45961</v>
      </c>
      <c r="B2132" s="1">
        <f t="shared" si="38"/>
        <v>5</v>
      </c>
      <c r="C2132" s="10" t="s">
        <v>315</v>
      </c>
      <c r="D2132" s="10" t="s">
        <v>315</v>
      </c>
      <c r="E2132" s="10" t="s">
        <v>315</v>
      </c>
    </row>
    <row r="2133" spans="1:5" x14ac:dyDescent="0.35">
      <c r="A2133" s="3">
        <v>45962</v>
      </c>
      <c r="B2133" s="1">
        <f t="shared" si="38"/>
        <v>6</v>
      </c>
      <c r="C2133" s="10" t="s">
        <v>315</v>
      </c>
      <c r="D2133" s="10" t="s">
        <v>315</v>
      </c>
      <c r="E2133" s="10" t="s">
        <v>315</v>
      </c>
    </row>
    <row r="2134" spans="1:5" x14ac:dyDescent="0.35">
      <c r="A2134" s="3">
        <v>45963</v>
      </c>
      <c r="B2134" s="1">
        <f t="shared" si="38"/>
        <v>7</v>
      </c>
      <c r="C2134" s="10" t="s">
        <v>315</v>
      </c>
      <c r="D2134" s="10" t="s">
        <v>315</v>
      </c>
      <c r="E2134" s="10" t="s">
        <v>315</v>
      </c>
    </row>
    <row r="2135" spans="1:5" x14ac:dyDescent="0.35">
      <c r="A2135" s="3">
        <v>45964</v>
      </c>
      <c r="B2135" s="1">
        <f t="shared" si="38"/>
        <v>1</v>
      </c>
      <c r="C2135" s="10" t="s">
        <v>315</v>
      </c>
      <c r="D2135" s="10" t="s">
        <v>315</v>
      </c>
      <c r="E2135" s="10" t="s">
        <v>315</v>
      </c>
    </row>
    <row r="2136" spans="1:5" x14ac:dyDescent="0.35">
      <c r="A2136" s="3">
        <v>45965</v>
      </c>
      <c r="B2136" s="1">
        <f t="shared" si="38"/>
        <v>2</v>
      </c>
      <c r="C2136" s="10" t="s">
        <v>315</v>
      </c>
      <c r="D2136" s="10" t="s">
        <v>315</v>
      </c>
      <c r="E2136" s="10" t="s">
        <v>315</v>
      </c>
    </row>
    <row r="2137" spans="1:5" x14ac:dyDescent="0.35">
      <c r="A2137" s="3">
        <v>45966</v>
      </c>
      <c r="B2137" s="1">
        <f t="shared" si="38"/>
        <v>3</v>
      </c>
      <c r="C2137" s="10" t="s">
        <v>315</v>
      </c>
      <c r="D2137" s="10" t="s">
        <v>315</v>
      </c>
      <c r="E2137" s="10" t="s">
        <v>315</v>
      </c>
    </row>
    <row r="2138" spans="1:5" x14ac:dyDescent="0.35">
      <c r="A2138" s="3">
        <v>45967</v>
      </c>
      <c r="B2138" s="1">
        <f t="shared" si="38"/>
        <v>4</v>
      </c>
      <c r="C2138" s="10" t="s">
        <v>315</v>
      </c>
      <c r="D2138" s="10" t="s">
        <v>315</v>
      </c>
      <c r="E2138" s="10" t="s">
        <v>315</v>
      </c>
    </row>
    <row r="2139" spans="1:5" x14ac:dyDescent="0.35">
      <c r="A2139" s="3">
        <v>45968</v>
      </c>
      <c r="B2139" s="1">
        <f t="shared" si="38"/>
        <v>5</v>
      </c>
      <c r="C2139" s="10" t="s">
        <v>315</v>
      </c>
      <c r="D2139" s="10" t="s">
        <v>315</v>
      </c>
      <c r="E2139" s="10" t="s">
        <v>315</v>
      </c>
    </row>
    <row r="2140" spans="1:5" x14ac:dyDescent="0.35">
      <c r="A2140" s="3">
        <v>45969</v>
      </c>
      <c r="B2140" s="1">
        <f t="shared" si="38"/>
        <v>6</v>
      </c>
      <c r="C2140" s="10" t="s">
        <v>315</v>
      </c>
      <c r="D2140" s="10" t="s">
        <v>315</v>
      </c>
      <c r="E2140" s="10" t="s">
        <v>315</v>
      </c>
    </row>
    <row r="2141" spans="1:5" x14ac:dyDescent="0.35">
      <c r="A2141" s="3">
        <v>45970</v>
      </c>
      <c r="B2141" s="1">
        <f t="shared" si="38"/>
        <v>7</v>
      </c>
      <c r="C2141" s="10" t="s">
        <v>315</v>
      </c>
      <c r="D2141" s="10" t="s">
        <v>315</v>
      </c>
      <c r="E2141" s="10" t="s">
        <v>315</v>
      </c>
    </row>
    <row r="2142" spans="1:5" x14ac:dyDescent="0.35">
      <c r="A2142" s="3">
        <v>45971</v>
      </c>
      <c r="B2142" s="1">
        <f t="shared" si="38"/>
        <v>1</v>
      </c>
      <c r="C2142" s="10" t="s">
        <v>315</v>
      </c>
      <c r="D2142" s="10" t="s">
        <v>315</v>
      </c>
      <c r="E2142" s="10" t="s">
        <v>315</v>
      </c>
    </row>
    <row r="2143" spans="1:5" x14ac:dyDescent="0.35">
      <c r="A2143" s="3">
        <v>45972</v>
      </c>
      <c r="B2143" s="1">
        <f t="shared" si="38"/>
        <v>2</v>
      </c>
      <c r="C2143" s="10" t="s">
        <v>315</v>
      </c>
      <c r="D2143" s="10" t="s">
        <v>315</v>
      </c>
      <c r="E2143" s="10" t="s">
        <v>315</v>
      </c>
    </row>
    <row r="2144" spans="1:5" x14ac:dyDescent="0.35">
      <c r="A2144" s="3">
        <v>45973</v>
      </c>
      <c r="B2144" s="1">
        <f t="shared" ref="B2144:B2207" si="39">IF(A2144&gt;0,WEEKDAY(A2144,2),"")</f>
        <v>3</v>
      </c>
      <c r="C2144" s="10" t="s">
        <v>315</v>
      </c>
      <c r="D2144" s="10" t="s">
        <v>315</v>
      </c>
      <c r="E2144" s="10" t="s">
        <v>315</v>
      </c>
    </row>
    <row r="2145" spans="1:5" x14ac:dyDescent="0.35">
      <c r="A2145" s="3">
        <v>45974</v>
      </c>
      <c r="B2145" s="1">
        <f t="shared" si="39"/>
        <v>4</v>
      </c>
      <c r="C2145" s="10" t="s">
        <v>315</v>
      </c>
      <c r="D2145" s="10" t="s">
        <v>315</v>
      </c>
      <c r="E2145" s="10" t="s">
        <v>315</v>
      </c>
    </row>
    <row r="2146" spans="1:5" x14ac:dyDescent="0.35">
      <c r="A2146" s="3">
        <v>45975</v>
      </c>
      <c r="B2146" s="1">
        <f t="shared" si="39"/>
        <v>5</v>
      </c>
      <c r="C2146" s="10" t="s">
        <v>315</v>
      </c>
      <c r="D2146" s="10" t="s">
        <v>315</v>
      </c>
      <c r="E2146" s="10" t="s">
        <v>315</v>
      </c>
    </row>
    <row r="2147" spans="1:5" x14ac:dyDescent="0.35">
      <c r="A2147" s="3">
        <v>45976</v>
      </c>
      <c r="B2147" s="1">
        <f t="shared" si="39"/>
        <v>6</v>
      </c>
      <c r="C2147" s="10" t="s">
        <v>315</v>
      </c>
      <c r="D2147" s="10" t="s">
        <v>315</v>
      </c>
      <c r="E2147" s="10" t="s">
        <v>315</v>
      </c>
    </row>
    <row r="2148" spans="1:5" x14ac:dyDescent="0.35">
      <c r="A2148" s="3">
        <v>45977</v>
      </c>
      <c r="B2148" s="1">
        <f t="shared" si="39"/>
        <v>7</v>
      </c>
      <c r="C2148" s="10" t="s">
        <v>315</v>
      </c>
      <c r="D2148" s="10" t="s">
        <v>315</v>
      </c>
      <c r="E2148" s="10" t="s">
        <v>315</v>
      </c>
    </row>
    <row r="2149" spans="1:5" x14ac:dyDescent="0.35">
      <c r="A2149" s="3">
        <v>45978</v>
      </c>
      <c r="B2149" s="1">
        <f t="shared" si="39"/>
        <v>1</v>
      </c>
      <c r="C2149" s="10" t="s">
        <v>315</v>
      </c>
      <c r="D2149" s="10" t="s">
        <v>315</v>
      </c>
      <c r="E2149" s="10" t="s">
        <v>315</v>
      </c>
    </row>
    <row r="2150" spans="1:5" x14ac:dyDescent="0.35">
      <c r="A2150" s="3">
        <v>45979</v>
      </c>
      <c r="B2150" s="1">
        <f t="shared" si="39"/>
        <v>2</v>
      </c>
      <c r="C2150" s="10" t="s">
        <v>315</v>
      </c>
      <c r="D2150" s="10" t="s">
        <v>315</v>
      </c>
      <c r="E2150" s="10" t="s">
        <v>315</v>
      </c>
    </row>
    <row r="2151" spans="1:5" x14ac:dyDescent="0.35">
      <c r="A2151" s="3">
        <v>45980</v>
      </c>
      <c r="B2151" s="1">
        <f t="shared" si="39"/>
        <v>3</v>
      </c>
      <c r="C2151" s="10" t="s">
        <v>315</v>
      </c>
      <c r="D2151" s="10" t="s">
        <v>315</v>
      </c>
      <c r="E2151" s="10" t="s">
        <v>315</v>
      </c>
    </row>
    <row r="2152" spans="1:5" x14ac:dyDescent="0.35">
      <c r="A2152" s="3">
        <v>45981</v>
      </c>
      <c r="B2152" s="1">
        <f t="shared" si="39"/>
        <v>4</v>
      </c>
      <c r="C2152" s="10" t="s">
        <v>315</v>
      </c>
      <c r="D2152" s="10" t="s">
        <v>315</v>
      </c>
      <c r="E2152" s="10" t="s">
        <v>315</v>
      </c>
    </row>
    <row r="2153" spans="1:5" x14ac:dyDescent="0.35">
      <c r="A2153" s="3">
        <v>45982</v>
      </c>
      <c r="B2153" s="1">
        <f t="shared" si="39"/>
        <v>5</v>
      </c>
      <c r="C2153" s="10" t="s">
        <v>315</v>
      </c>
      <c r="D2153" s="10" t="s">
        <v>315</v>
      </c>
      <c r="E2153" s="10" t="s">
        <v>315</v>
      </c>
    </row>
    <row r="2154" spans="1:5" x14ac:dyDescent="0.35">
      <c r="A2154" s="3">
        <v>45983</v>
      </c>
      <c r="B2154" s="1">
        <f t="shared" si="39"/>
        <v>6</v>
      </c>
      <c r="C2154" s="10" t="s">
        <v>315</v>
      </c>
      <c r="D2154" s="10" t="s">
        <v>315</v>
      </c>
      <c r="E2154" s="10" t="s">
        <v>315</v>
      </c>
    </row>
    <row r="2155" spans="1:5" x14ac:dyDescent="0.35">
      <c r="A2155" s="3">
        <v>45984</v>
      </c>
      <c r="B2155" s="1">
        <f t="shared" si="39"/>
        <v>7</v>
      </c>
      <c r="C2155" s="10" t="s">
        <v>315</v>
      </c>
      <c r="D2155" s="10" t="s">
        <v>315</v>
      </c>
      <c r="E2155" s="10" t="s">
        <v>315</v>
      </c>
    </row>
    <row r="2156" spans="1:5" x14ac:dyDescent="0.35">
      <c r="A2156" s="3">
        <v>45985</v>
      </c>
      <c r="B2156" s="1">
        <f t="shared" si="39"/>
        <v>1</v>
      </c>
      <c r="C2156" s="10" t="s">
        <v>315</v>
      </c>
      <c r="D2156" s="10" t="s">
        <v>315</v>
      </c>
      <c r="E2156" s="10" t="s">
        <v>315</v>
      </c>
    </row>
    <row r="2157" spans="1:5" x14ac:dyDescent="0.35">
      <c r="A2157" s="3">
        <v>45986</v>
      </c>
      <c r="B2157" s="1">
        <f t="shared" si="39"/>
        <v>2</v>
      </c>
      <c r="C2157" s="10" t="s">
        <v>315</v>
      </c>
      <c r="D2157" s="10" t="s">
        <v>315</v>
      </c>
      <c r="E2157" s="10" t="s">
        <v>315</v>
      </c>
    </row>
    <row r="2158" spans="1:5" x14ac:dyDescent="0.35">
      <c r="A2158" s="3">
        <v>45987</v>
      </c>
      <c r="B2158" s="1">
        <f t="shared" si="39"/>
        <v>3</v>
      </c>
      <c r="C2158" s="10" t="s">
        <v>315</v>
      </c>
      <c r="D2158" s="10" t="s">
        <v>315</v>
      </c>
      <c r="E2158" s="10" t="s">
        <v>315</v>
      </c>
    </row>
    <row r="2159" spans="1:5" x14ac:dyDescent="0.35">
      <c r="A2159" s="3">
        <v>45988</v>
      </c>
      <c r="B2159" s="1">
        <f t="shared" si="39"/>
        <v>4</v>
      </c>
      <c r="C2159" s="10" t="s">
        <v>315</v>
      </c>
      <c r="D2159" s="10" t="s">
        <v>315</v>
      </c>
      <c r="E2159" s="10" t="s">
        <v>315</v>
      </c>
    </row>
    <row r="2160" spans="1:5" x14ac:dyDescent="0.35">
      <c r="A2160" s="3">
        <v>45989</v>
      </c>
      <c r="B2160" s="1">
        <f t="shared" si="39"/>
        <v>5</v>
      </c>
      <c r="C2160" s="10" t="s">
        <v>315</v>
      </c>
      <c r="D2160" s="10" t="s">
        <v>315</v>
      </c>
      <c r="E2160" s="10" t="s">
        <v>315</v>
      </c>
    </row>
    <row r="2161" spans="1:5" x14ac:dyDescent="0.35">
      <c r="A2161" s="3">
        <v>45990</v>
      </c>
      <c r="B2161" s="1">
        <f t="shared" si="39"/>
        <v>6</v>
      </c>
      <c r="C2161" s="10" t="s">
        <v>315</v>
      </c>
      <c r="D2161" s="10" t="s">
        <v>315</v>
      </c>
      <c r="E2161" s="10" t="s">
        <v>315</v>
      </c>
    </row>
    <row r="2162" spans="1:5" x14ac:dyDescent="0.35">
      <c r="A2162" s="3">
        <v>45991</v>
      </c>
      <c r="B2162" s="1">
        <f t="shared" si="39"/>
        <v>7</v>
      </c>
      <c r="C2162" s="10" t="s">
        <v>315</v>
      </c>
      <c r="D2162" s="10" t="s">
        <v>315</v>
      </c>
      <c r="E2162" s="10" t="s">
        <v>315</v>
      </c>
    </row>
    <row r="2163" spans="1:5" x14ac:dyDescent="0.35">
      <c r="A2163" s="3">
        <v>45992</v>
      </c>
      <c r="B2163" s="1">
        <f t="shared" si="39"/>
        <v>1</v>
      </c>
      <c r="C2163" s="10" t="s">
        <v>315</v>
      </c>
      <c r="D2163" s="10" t="s">
        <v>315</v>
      </c>
      <c r="E2163" s="10" t="s">
        <v>315</v>
      </c>
    </row>
    <row r="2164" spans="1:5" x14ac:dyDescent="0.35">
      <c r="A2164" s="3">
        <v>45993</v>
      </c>
      <c r="B2164" s="1">
        <f t="shared" si="39"/>
        <v>2</v>
      </c>
      <c r="C2164" s="10" t="s">
        <v>315</v>
      </c>
      <c r="D2164" s="10" t="s">
        <v>315</v>
      </c>
      <c r="E2164" s="10" t="s">
        <v>315</v>
      </c>
    </row>
    <row r="2165" spans="1:5" x14ac:dyDescent="0.35">
      <c r="A2165" s="3">
        <v>45994</v>
      </c>
      <c r="B2165" s="1">
        <f t="shared" si="39"/>
        <v>3</v>
      </c>
      <c r="C2165" s="10" t="s">
        <v>315</v>
      </c>
      <c r="D2165" s="10" t="s">
        <v>315</v>
      </c>
      <c r="E2165" s="10" t="s">
        <v>315</v>
      </c>
    </row>
    <row r="2166" spans="1:5" x14ac:dyDescent="0.35">
      <c r="A2166" s="3">
        <v>45995</v>
      </c>
      <c r="B2166" s="1">
        <f t="shared" si="39"/>
        <v>4</v>
      </c>
      <c r="C2166" s="10" t="s">
        <v>315</v>
      </c>
      <c r="D2166" s="10" t="s">
        <v>315</v>
      </c>
      <c r="E2166" s="10" t="s">
        <v>315</v>
      </c>
    </row>
    <row r="2167" spans="1:5" x14ac:dyDescent="0.35">
      <c r="A2167" s="3">
        <v>45996</v>
      </c>
      <c r="B2167" s="1">
        <f t="shared" si="39"/>
        <v>5</v>
      </c>
      <c r="C2167" s="10" t="s">
        <v>315</v>
      </c>
      <c r="D2167" s="10" t="s">
        <v>315</v>
      </c>
      <c r="E2167" s="10" t="s">
        <v>315</v>
      </c>
    </row>
    <row r="2168" spans="1:5" x14ac:dyDescent="0.35">
      <c r="A2168" s="3">
        <v>45997</v>
      </c>
      <c r="B2168" s="1">
        <f t="shared" si="39"/>
        <v>6</v>
      </c>
      <c r="C2168" s="10" t="s">
        <v>315</v>
      </c>
      <c r="D2168" s="10" t="s">
        <v>315</v>
      </c>
      <c r="E2168" s="10" t="s">
        <v>315</v>
      </c>
    </row>
    <row r="2169" spans="1:5" x14ac:dyDescent="0.35">
      <c r="A2169" s="3">
        <v>45998</v>
      </c>
      <c r="B2169" s="1">
        <f t="shared" si="39"/>
        <v>7</v>
      </c>
      <c r="C2169" s="10" t="s">
        <v>315</v>
      </c>
      <c r="D2169" s="10" t="s">
        <v>315</v>
      </c>
      <c r="E2169" s="10" t="s">
        <v>315</v>
      </c>
    </row>
    <row r="2170" spans="1:5" x14ac:dyDescent="0.35">
      <c r="A2170" s="3">
        <v>45999</v>
      </c>
      <c r="B2170" s="1">
        <f t="shared" si="39"/>
        <v>1</v>
      </c>
      <c r="C2170" s="10" t="s">
        <v>315</v>
      </c>
      <c r="D2170" s="10" t="s">
        <v>315</v>
      </c>
      <c r="E2170" s="10" t="s">
        <v>315</v>
      </c>
    </row>
    <row r="2171" spans="1:5" x14ac:dyDescent="0.35">
      <c r="A2171" s="3">
        <v>46000</v>
      </c>
      <c r="B2171" s="1">
        <f t="shared" si="39"/>
        <v>2</v>
      </c>
      <c r="C2171" s="10" t="s">
        <v>315</v>
      </c>
      <c r="D2171" s="10" t="s">
        <v>315</v>
      </c>
      <c r="E2171" s="10" t="s">
        <v>315</v>
      </c>
    </row>
    <row r="2172" spans="1:5" x14ac:dyDescent="0.35">
      <c r="A2172" s="3">
        <v>46001</v>
      </c>
      <c r="B2172" s="1">
        <f t="shared" si="39"/>
        <v>3</v>
      </c>
      <c r="C2172" s="10" t="s">
        <v>315</v>
      </c>
      <c r="D2172" s="10" t="s">
        <v>315</v>
      </c>
      <c r="E2172" s="10" t="s">
        <v>315</v>
      </c>
    </row>
    <row r="2173" spans="1:5" x14ac:dyDescent="0.35">
      <c r="A2173" s="3">
        <v>46002</v>
      </c>
      <c r="B2173" s="1">
        <f t="shared" si="39"/>
        <v>4</v>
      </c>
      <c r="C2173" s="10" t="s">
        <v>315</v>
      </c>
      <c r="D2173" s="10" t="s">
        <v>315</v>
      </c>
      <c r="E2173" s="10" t="s">
        <v>315</v>
      </c>
    </row>
    <row r="2174" spans="1:5" x14ac:dyDescent="0.35">
      <c r="A2174" s="3">
        <v>46003</v>
      </c>
      <c r="B2174" s="1">
        <f t="shared" si="39"/>
        <v>5</v>
      </c>
      <c r="C2174" s="10" t="s">
        <v>315</v>
      </c>
      <c r="D2174" s="10" t="s">
        <v>315</v>
      </c>
      <c r="E2174" s="10" t="s">
        <v>315</v>
      </c>
    </row>
    <row r="2175" spans="1:5" x14ac:dyDescent="0.35">
      <c r="A2175" s="3">
        <v>46004</v>
      </c>
      <c r="B2175" s="1">
        <f t="shared" si="39"/>
        <v>6</v>
      </c>
      <c r="C2175" s="10" t="s">
        <v>315</v>
      </c>
      <c r="D2175" s="10" t="s">
        <v>315</v>
      </c>
      <c r="E2175" s="10" t="s">
        <v>315</v>
      </c>
    </row>
    <row r="2176" spans="1:5" x14ac:dyDescent="0.35">
      <c r="A2176" s="3">
        <v>46005</v>
      </c>
      <c r="B2176" s="1">
        <f t="shared" si="39"/>
        <v>7</v>
      </c>
      <c r="C2176" s="10" t="s">
        <v>315</v>
      </c>
      <c r="D2176" s="10" t="s">
        <v>315</v>
      </c>
      <c r="E2176" s="10" t="s">
        <v>315</v>
      </c>
    </row>
    <row r="2177" spans="1:5" x14ac:dyDescent="0.35">
      <c r="A2177" s="3">
        <v>46006</v>
      </c>
      <c r="B2177" s="1">
        <f t="shared" si="39"/>
        <v>1</v>
      </c>
      <c r="C2177" s="10" t="s">
        <v>315</v>
      </c>
      <c r="D2177" s="10" t="s">
        <v>315</v>
      </c>
      <c r="E2177" s="10" t="s">
        <v>315</v>
      </c>
    </row>
    <row r="2178" spans="1:5" x14ac:dyDescent="0.35">
      <c r="A2178" s="3">
        <v>46007</v>
      </c>
      <c r="B2178" s="1">
        <f t="shared" si="39"/>
        <v>2</v>
      </c>
      <c r="C2178" s="10" t="s">
        <v>315</v>
      </c>
      <c r="D2178" s="10" t="s">
        <v>315</v>
      </c>
      <c r="E2178" s="10" t="s">
        <v>315</v>
      </c>
    </row>
    <row r="2179" spans="1:5" x14ac:dyDescent="0.35">
      <c r="A2179" s="3">
        <v>46008</v>
      </c>
      <c r="B2179" s="1">
        <f t="shared" si="39"/>
        <v>3</v>
      </c>
      <c r="C2179" s="10" t="s">
        <v>315</v>
      </c>
      <c r="D2179" s="10" t="s">
        <v>315</v>
      </c>
      <c r="E2179" s="10" t="s">
        <v>315</v>
      </c>
    </row>
    <row r="2180" spans="1:5" x14ac:dyDescent="0.35">
      <c r="A2180" s="3">
        <v>46009</v>
      </c>
      <c r="B2180" s="1">
        <f t="shared" si="39"/>
        <v>4</v>
      </c>
      <c r="C2180" s="10" t="s">
        <v>315</v>
      </c>
      <c r="D2180" s="10" t="s">
        <v>315</v>
      </c>
      <c r="E2180" s="10" t="s">
        <v>315</v>
      </c>
    </row>
    <row r="2181" spans="1:5" x14ac:dyDescent="0.35">
      <c r="A2181" s="3">
        <v>46010</v>
      </c>
      <c r="B2181" s="1">
        <f t="shared" si="39"/>
        <v>5</v>
      </c>
      <c r="C2181" s="10" t="s">
        <v>315</v>
      </c>
      <c r="D2181" s="10" t="s">
        <v>315</v>
      </c>
      <c r="E2181" s="10" t="s">
        <v>315</v>
      </c>
    </row>
    <row r="2182" spans="1:5" x14ac:dyDescent="0.35">
      <c r="A2182" s="3">
        <v>46011</v>
      </c>
      <c r="B2182" s="1">
        <f t="shared" si="39"/>
        <v>6</v>
      </c>
      <c r="C2182" s="10" t="s">
        <v>315</v>
      </c>
      <c r="D2182" s="10" t="s">
        <v>315</v>
      </c>
      <c r="E2182" s="10" t="s">
        <v>315</v>
      </c>
    </row>
    <row r="2183" spans="1:5" x14ac:dyDescent="0.35">
      <c r="A2183" s="3">
        <v>46012</v>
      </c>
      <c r="B2183" s="1">
        <f t="shared" si="39"/>
        <v>7</v>
      </c>
      <c r="C2183" s="10" t="s">
        <v>315</v>
      </c>
      <c r="D2183" s="10" t="s">
        <v>315</v>
      </c>
      <c r="E2183" s="10" t="s">
        <v>315</v>
      </c>
    </row>
    <row r="2184" spans="1:5" x14ac:dyDescent="0.35">
      <c r="A2184" s="3">
        <v>46013</v>
      </c>
      <c r="B2184" s="1">
        <f t="shared" si="39"/>
        <v>1</v>
      </c>
      <c r="C2184" s="10" t="s">
        <v>315</v>
      </c>
      <c r="D2184" s="10" t="s">
        <v>315</v>
      </c>
      <c r="E2184" s="10" t="s">
        <v>315</v>
      </c>
    </row>
    <row r="2185" spans="1:5" x14ac:dyDescent="0.35">
      <c r="A2185" s="3">
        <v>46014</v>
      </c>
      <c r="B2185" s="1">
        <f t="shared" si="39"/>
        <v>2</v>
      </c>
      <c r="C2185" s="10" t="s">
        <v>315</v>
      </c>
      <c r="D2185" s="10" t="s">
        <v>315</v>
      </c>
      <c r="E2185" s="10" t="s">
        <v>315</v>
      </c>
    </row>
    <row r="2186" spans="1:5" x14ac:dyDescent="0.35">
      <c r="A2186" s="3">
        <v>46015</v>
      </c>
      <c r="B2186" s="1">
        <f t="shared" si="39"/>
        <v>3</v>
      </c>
      <c r="C2186" s="10" t="s">
        <v>315</v>
      </c>
      <c r="D2186" s="10" t="s">
        <v>315</v>
      </c>
      <c r="E2186" s="10" t="s">
        <v>315</v>
      </c>
    </row>
    <row r="2187" spans="1:5" x14ac:dyDescent="0.35">
      <c r="A2187" s="3">
        <v>46016</v>
      </c>
      <c r="B2187" s="1">
        <f t="shared" si="39"/>
        <v>4</v>
      </c>
      <c r="C2187" s="10" t="s">
        <v>315</v>
      </c>
      <c r="D2187" s="10" t="s">
        <v>315</v>
      </c>
      <c r="E2187" s="10" t="s">
        <v>315</v>
      </c>
    </row>
    <row r="2188" spans="1:5" x14ac:dyDescent="0.35">
      <c r="A2188" s="3">
        <v>46017</v>
      </c>
      <c r="B2188" s="1">
        <f t="shared" si="39"/>
        <v>5</v>
      </c>
      <c r="C2188" s="10" t="s">
        <v>315</v>
      </c>
      <c r="D2188" s="10" t="s">
        <v>315</v>
      </c>
      <c r="E2188" s="10" t="s">
        <v>315</v>
      </c>
    </row>
    <row r="2189" spans="1:5" x14ac:dyDescent="0.35">
      <c r="A2189" s="3">
        <v>46018</v>
      </c>
      <c r="B2189" s="1">
        <f t="shared" si="39"/>
        <v>6</v>
      </c>
      <c r="C2189" s="10" t="s">
        <v>315</v>
      </c>
      <c r="D2189" s="10" t="s">
        <v>315</v>
      </c>
      <c r="E2189" s="10" t="s">
        <v>315</v>
      </c>
    </row>
    <row r="2190" spans="1:5" x14ac:dyDescent="0.35">
      <c r="A2190" s="3">
        <v>46019</v>
      </c>
      <c r="B2190" s="1">
        <f t="shared" si="39"/>
        <v>7</v>
      </c>
      <c r="C2190" s="10" t="s">
        <v>315</v>
      </c>
      <c r="D2190" s="10" t="s">
        <v>315</v>
      </c>
      <c r="E2190" s="10" t="s">
        <v>315</v>
      </c>
    </row>
    <row r="2191" spans="1:5" x14ac:dyDescent="0.35">
      <c r="A2191" s="3">
        <v>46020</v>
      </c>
      <c r="B2191" s="1">
        <f t="shared" si="39"/>
        <v>1</v>
      </c>
      <c r="C2191" s="10" t="s">
        <v>315</v>
      </c>
      <c r="D2191" s="10" t="s">
        <v>315</v>
      </c>
      <c r="E2191" s="10" t="s">
        <v>315</v>
      </c>
    </row>
    <row r="2192" spans="1:5" x14ac:dyDescent="0.35">
      <c r="A2192" s="3">
        <v>46021</v>
      </c>
      <c r="B2192" s="1">
        <f t="shared" si="39"/>
        <v>2</v>
      </c>
      <c r="C2192" s="10" t="s">
        <v>315</v>
      </c>
      <c r="D2192" s="10" t="s">
        <v>315</v>
      </c>
      <c r="E2192" s="10" t="s">
        <v>315</v>
      </c>
    </row>
    <row r="2193" spans="1:5" x14ac:dyDescent="0.35">
      <c r="A2193" s="3">
        <v>46022</v>
      </c>
      <c r="B2193" s="1">
        <f t="shared" si="39"/>
        <v>3</v>
      </c>
      <c r="C2193" s="10" t="s">
        <v>315</v>
      </c>
      <c r="D2193" s="10" t="s">
        <v>315</v>
      </c>
      <c r="E2193" s="10" t="s">
        <v>315</v>
      </c>
    </row>
    <row r="2194" spans="1:5" x14ac:dyDescent="0.35">
      <c r="A2194" s="3">
        <v>46023</v>
      </c>
      <c r="B2194" s="1">
        <f t="shared" si="39"/>
        <v>4</v>
      </c>
      <c r="C2194" s="10" t="s">
        <v>315</v>
      </c>
      <c r="D2194" s="10" t="s">
        <v>315</v>
      </c>
      <c r="E2194" s="10" t="s">
        <v>315</v>
      </c>
    </row>
    <row r="2195" spans="1:5" x14ac:dyDescent="0.35">
      <c r="A2195" s="3">
        <v>46024</v>
      </c>
      <c r="B2195" s="1">
        <f t="shared" si="39"/>
        <v>5</v>
      </c>
      <c r="C2195" s="10" t="s">
        <v>315</v>
      </c>
      <c r="D2195" s="10" t="s">
        <v>315</v>
      </c>
      <c r="E2195" s="10" t="s">
        <v>315</v>
      </c>
    </row>
    <row r="2196" spans="1:5" x14ac:dyDescent="0.35">
      <c r="A2196" s="3">
        <v>46025</v>
      </c>
      <c r="B2196" s="1">
        <f t="shared" si="39"/>
        <v>6</v>
      </c>
      <c r="C2196" s="10" t="s">
        <v>315</v>
      </c>
      <c r="D2196" s="10" t="s">
        <v>315</v>
      </c>
      <c r="E2196" s="10" t="s">
        <v>315</v>
      </c>
    </row>
    <row r="2197" spans="1:5" x14ac:dyDescent="0.35">
      <c r="A2197" s="3">
        <v>46026</v>
      </c>
      <c r="B2197" s="1">
        <f t="shared" si="39"/>
        <v>7</v>
      </c>
      <c r="C2197" s="10" t="s">
        <v>315</v>
      </c>
      <c r="D2197" s="10" t="s">
        <v>315</v>
      </c>
      <c r="E2197" s="10" t="s">
        <v>315</v>
      </c>
    </row>
    <row r="2198" spans="1:5" x14ac:dyDescent="0.35">
      <c r="A2198" s="3">
        <v>46027</v>
      </c>
      <c r="B2198" s="1">
        <f t="shared" si="39"/>
        <v>1</v>
      </c>
      <c r="C2198" s="10" t="s">
        <v>315</v>
      </c>
      <c r="D2198" s="10" t="s">
        <v>315</v>
      </c>
      <c r="E2198" s="10" t="s">
        <v>315</v>
      </c>
    </row>
    <row r="2199" spans="1:5" x14ac:dyDescent="0.35">
      <c r="A2199" s="3">
        <v>46028</v>
      </c>
      <c r="B2199" s="1">
        <f t="shared" si="39"/>
        <v>2</v>
      </c>
      <c r="C2199" s="10" t="s">
        <v>315</v>
      </c>
      <c r="D2199" s="10" t="s">
        <v>315</v>
      </c>
      <c r="E2199" s="10" t="s">
        <v>315</v>
      </c>
    </row>
    <row r="2200" spans="1:5" x14ac:dyDescent="0.35">
      <c r="A2200" s="3">
        <v>46029</v>
      </c>
      <c r="B2200" s="1">
        <f t="shared" si="39"/>
        <v>3</v>
      </c>
      <c r="C2200" s="10" t="s">
        <v>315</v>
      </c>
      <c r="D2200" s="10" t="s">
        <v>315</v>
      </c>
      <c r="E2200" s="10" t="s">
        <v>315</v>
      </c>
    </row>
    <row r="2201" spans="1:5" x14ac:dyDescent="0.35">
      <c r="A2201" s="3">
        <v>46030</v>
      </c>
      <c r="B2201" s="1">
        <f t="shared" si="39"/>
        <v>4</v>
      </c>
      <c r="C2201" s="10" t="s">
        <v>315</v>
      </c>
      <c r="D2201" s="10" t="s">
        <v>315</v>
      </c>
      <c r="E2201" s="10" t="s">
        <v>315</v>
      </c>
    </row>
    <row r="2202" spans="1:5" x14ac:dyDescent="0.35">
      <c r="A2202" s="3">
        <v>46031</v>
      </c>
      <c r="B2202" s="1">
        <f t="shared" si="39"/>
        <v>5</v>
      </c>
      <c r="C2202" s="10" t="s">
        <v>315</v>
      </c>
      <c r="D2202" s="10" t="s">
        <v>315</v>
      </c>
      <c r="E2202" s="10" t="s">
        <v>315</v>
      </c>
    </row>
    <row r="2203" spans="1:5" x14ac:dyDescent="0.35">
      <c r="A2203" s="3">
        <v>46032</v>
      </c>
      <c r="B2203" s="1">
        <f t="shared" si="39"/>
        <v>6</v>
      </c>
      <c r="C2203" s="10" t="s">
        <v>315</v>
      </c>
      <c r="D2203" s="10" t="s">
        <v>315</v>
      </c>
      <c r="E2203" s="10" t="s">
        <v>315</v>
      </c>
    </row>
    <row r="2204" spans="1:5" x14ac:dyDescent="0.35">
      <c r="A2204" s="3">
        <v>46033</v>
      </c>
      <c r="B2204" s="1">
        <f t="shared" si="39"/>
        <v>7</v>
      </c>
      <c r="C2204" s="10" t="s">
        <v>315</v>
      </c>
      <c r="D2204" s="10" t="s">
        <v>315</v>
      </c>
      <c r="E2204" s="10" t="s">
        <v>315</v>
      </c>
    </row>
    <row r="2205" spans="1:5" x14ac:dyDescent="0.35">
      <c r="A2205" s="3">
        <v>46034</v>
      </c>
      <c r="B2205" s="1">
        <f t="shared" si="39"/>
        <v>1</v>
      </c>
      <c r="C2205" s="10" t="s">
        <v>315</v>
      </c>
      <c r="D2205" s="10" t="s">
        <v>315</v>
      </c>
      <c r="E2205" s="10" t="s">
        <v>315</v>
      </c>
    </row>
    <row r="2206" spans="1:5" x14ac:dyDescent="0.35">
      <c r="A2206" s="3">
        <v>46035</v>
      </c>
      <c r="B2206" s="1">
        <f t="shared" si="39"/>
        <v>2</v>
      </c>
      <c r="C2206" s="10" t="s">
        <v>315</v>
      </c>
      <c r="D2206" s="10" t="s">
        <v>315</v>
      </c>
      <c r="E2206" s="10" t="s">
        <v>315</v>
      </c>
    </row>
    <row r="2207" spans="1:5" x14ac:dyDescent="0.35">
      <c r="A2207" s="3">
        <v>46036</v>
      </c>
      <c r="B2207" s="1">
        <f t="shared" si="39"/>
        <v>3</v>
      </c>
      <c r="C2207" s="10" t="s">
        <v>315</v>
      </c>
      <c r="D2207" s="10" t="s">
        <v>315</v>
      </c>
      <c r="E2207" s="10" t="s">
        <v>315</v>
      </c>
    </row>
    <row r="2208" spans="1:5" x14ac:dyDescent="0.35">
      <c r="A2208" s="3">
        <v>46037</v>
      </c>
      <c r="B2208" s="1">
        <f t="shared" ref="B2208:B2272" si="40">IF(A2208&gt;0,WEEKDAY(A2208,2),"")</f>
        <v>4</v>
      </c>
      <c r="C2208" s="10" t="s">
        <v>315</v>
      </c>
      <c r="D2208" s="10" t="s">
        <v>315</v>
      </c>
      <c r="E2208" s="10" t="s">
        <v>315</v>
      </c>
    </row>
    <row r="2209" spans="1:5" x14ac:dyDescent="0.35">
      <c r="A2209" s="3">
        <v>46038</v>
      </c>
      <c r="B2209" s="1">
        <f t="shared" si="40"/>
        <v>5</v>
      </c>
      <c r="C2209" s="10" t="s">
        <v>315</v>
      </c>
      <c r="D2209" s="10" t="s">
        <v>315</v>
      </c>
      <c r="E2209" s="10" t="s">
        <v>315</v>
      </c>
    </row>
    <row r="2210" spans="1:5" x14ac:dyDescent="0.35">
      <c r="A2210" s="3">
        <v>46039</v>
      </c>
      <c r="B2210" s="1">
        <f t="shared" si="40"/>
        <v>6</v>
      </c>
      <c r="C2210" s="10" t="s">
        <v>315</v>
      </c>
      <c r="D2210" s="10" t="s">
        <v>315</v>
      </c>
      <c r="E2210" s="10" t="s">
        <v>315</v>
      </c>
    </row>
    <row r="2211" spans="1:5" x14ac:dyDescent="0.35">
      <c r="A2211" s="3">
        <v>46040</v>
      </c>
      <c r="B2211" s="1">
        <f t="shared" si="40"/>
        <v>7</v>
      </c>
      <c r="C2211" s="10" t="s">
        <v>313</v>
      </c>
      <c r="D2211" s="10" t="s">
        <v>313</v>
      </c>
      <c r="E2211" s="10" t="s">
        <v>313</v>
      </c>
    </row>
    <row r="2212" spans="1:5" x14ac:dyDescent="0.35">
      <c r="A2212" s="3">
        <v>46041</v>
      </c>
      <c r="B2212" s="1">
        <f t="shared" si="40"/>
        <v>1</v>
      </c>
      <c r="C2212" s="10" t="s">
        <v>315</v>
      </c>
      <c r="D2212" s="10" t="s">
        <v>315</v>
      </c>
      <c r="E2212" s="10" t="s">
        <v>315</v>
      </c>
    </row>
    <row r="2213" spans="1:5" x14ac:dyDescent="0.35">
      <c r="A2213" s="3">
        <v>46042</v>
      </c>
      <c r="B2213" s="1">
        <f t="shared" si="40"/>
        <v>2</v>
      </c>
      <c r="C2213" s="10" t="s">
        <v>315</v>
      </c>
      <c r="D2213" s="10" t="s">
        <v>315</v>
      </c>
      <c r="E2213" s="10" t="s">
        <v>315</v>
      </c>
    </row>
    <row r="2214" spans="1:5" x14ac:dyDescent="0.35">
      <c r="A2214" s="3">
        <v>46043</v>
      </c>
      <c r="B2214" s="1">
        <f t="shared" si="40"/>
        <v>3</v>
      </c>
      <c r="C2214" s="10" t="s">
        <v>315</v>
      </c>
      <c r="D2214" s="10" t="s">
        <v>315</v>
      </c>
      <c r="E2214" s="10" t="s">
        <v>315</v>
      </c>
    </row>
    <row r="2215" spans="1:5" x14ac:dyDescent="0.35">
      <c r="A2215" s="3">
        <v>46044</v>
      </c>
      <c r="B2215" s="1">
        <f t="shared" si="40"/>
        <v>4</v>
      </c>
      <c r="C2215" s="10" t="s">
        <v>315</v>
      </c>
      <c r="D2215" s="10" t="s">
        <v>315</v>
      </c>
      <c r="E2215" s="10" t="s">
        <v>315</v>
      </c>
    </row>
    <row r="2216" spans="1:5" x14ac:dyDescent="0.35">
      <c r="A2216" s="3">
        <v>46045</v>
      </c>
      <c r="B2216" s="1">
        <f t="shared" si="40"/>
        <v>5</v>
      </c>
      <c r="C2216" s="10" t="s">
        <v>315</v>
      </c>
      <c r="D2216" s="10" t="s">
        <v>315</v>
      </c>
      <c r="E2216" s="10" t="s">
        <v>315</v>
      </c>
    </row>
    <row r="2217" spans="1:5" x14ac:dyDescent="0.35">
      <c r="A2217" s="3">
        <v>46046</v>
      </c>
      <c r="B2217" s="1">
        <f t="shared" si="40"/>
        <v>6</v>
      </c>
      <c r="C2217" s="10" t="s">
        <v>315</v>
      </c>
      <c r="D2217" s="10" t="s">
        <v>313</v>
      </c>
      <c r="E2217" s="10" t="s">
        <v>313</v>
      </c>
    </row>
    <row r="2218" spans="1:5" x14ac:dyDescent="0.35">
      <c r="A2218" s="3">
        <v>46047</v>
      </c>
      <c r="B2218" s="1">
        <f t="shared" si="40"/>
        <v>7</v>
      </c>
      <c r="C2218" s="10" t="s">
        <v>313</v>
      </c>
      <c r="D2218" s="10" t="s">
        <v>313</v>
      </c>
      <c r="E2218" s="10" t="s">
        <v>313</v>
      </c>
    </row>
    <row r="2219" spans="1:5" x14ac:dyDescent="0.35">
      <c r="A2219" s="3">
        <v>46048</v>
      </c>
      <c r="B2219" s="1">
        <f t="shared" si="40"/>
        <v>1</v>
      </c>
      <c r="C2219" s="10" t="s">
        <v>315</v>
      </c>
      <c r="D2219" s="10" t="s">
        <v>315</v>
      </c>
      <c r="E2219" s="10" t="s">
        <v>315</v>
      </c>
    </row>
    <row r="2220" spans="1:5" x14ac:dyDescent="0.35">
      <c r="A2220" s="3">
        <v>46049</v>
      </c>
      <c r="B2220" s="1">
        <f t="shared" si="40"/>
        <v>2</v>
      </c>
      <c r="C2220" s="10" t="s">
        <v>315</v>
      </c>
      <c r="D2220" s="10" t="s">
        <v>315</v>
      </c>
      <c r="E2220" s="10" t="s">
        <v>315</v>
      </c>
    </row>
    <row r="2221" spans="1:5" x14ac:dyDescent="0.35">
      <c r="A2221" s="3">
        <v>46050</v>
      </c>
      <c r="B2221" s="1">
        <f t="shared" si="40"/>
        <v>3</v>
      </c>
      <c r="C2221" s="10" t="s">
        <v>315</v>
      </c>
      <c r="D2221" s="10" t="s">
        <v>315</v>
      </c>
      <c r="E2221" s="10" t="s">
        <v>315</v>
      </c>
    </row>
    <row r="2222" spans="1:5" x14ac:dyDescent="0.35">
      <c r="A2222" s="3">
        <v>46051</v>
      </c>
      <c r="B2222" s="1">
        <f t="shared" si="40"/>
        <v>4</v>
      </c>
      <c r="C2222" s="10" t="s">
        <v>315</v>
      </c>
      <c r="D2222" s="10" t="s">
        <v>315</v>
      </c>
      <c r="E2222" s="10" t="s">
        <v>315</v>
      </c>
    </row>
    <row r="2223" spans="1:5" x14ac:dyDescent="0.35">
      <c r="A2223" s="3">
        <v>46052</v>
      </c>
      <c r="B2223" s="1">
        <f t="shared" si="40"/>
        <v>5</v>
      </c>
      <c r="C2223" s="10" t="s">
        <v>315</v>
      </c>
      <c r="D2223" s="10" t="s">
        <v>315</v>
      </c>
      <c r="E2223" s="10" t="s">
        <v>315</v>
      </c>
    </row>
    <row r="2224" spans="1:5" x14ac:dyDescent="0.35">
      <c r="A2224" s="3">
        <v>46053</v>
      </c>
      <c r="B2224" s="1">
        <f t="shared" si="40"/>
        <v>6</v>
      </c>
      <c r="C2224" s="10" t="s">
        <v>315</v>
      </c>
      <c r="D2224" s="10" t="s">
        <v>313</v>
      </c>
      <c r="E2224" s="10" t="s">
        <v>313</v>
      </c>
    </row>
    <row r="2225" spans="1:5" x14ac:dyDescent="0.35">
      <c r="A2225" s="3">
        <v>46054</v>
      </c>
      <c r="B2225" s="1">
        <f t="shared" si="40"/>
        <v>7</v>
      </c>
      <c r="C2225" s="10" t="s">
        <v>313</v>
      </c>
      <c r="D2225" s="10" t="s">
        <v>313</v>
      </c>
      <c r="E2225" s="10" t="s">
        <v>313</v>
      </c>
    </row>
    <row r="2226" spans="1:5" x14ac:dyDescent="0.35">
      <c r="A2226" s="3">
        <v>46055</v>
      </c>
      <c r="B2226" s="1">
        <f t="shared" si="40"/>
        <v>1</v>
      </c>
      <c r="C2226" s="10" t="s">
        <v>315</v>
      </c>
      <c r="D2226" s="10" t="s">
        <v>315</v>
      </c>
      <c r="E2226" s="10" t="s">
        <v>315</v>
      </c>
    </row>
    <row r="2227" spans="1:5" x14ac:dyDescent="0.35">
      <c r="A2227" s="3">
        <v>46056</v>
      </c>
      <c r="B2227" s="1">
        <f t="shared" si="40"/>
        <v>2</v>
      </c>
      <c r="C2227" s="10" t="s">
        <v>315</v>
      </c>
      <c r="D2227" s="10" t="s">
        <v>315</v>
      </c>
      <c r="E2227" s="10" t="s">
        <v>315</v>
      </c>
    </row>
    <row r="2228" spans="1:5" x14ac:dyDescent="0.35">
      <c r="A2228" s="3">
        <v>46057</v>
      </c>
      <c r="B2228" s="1">
        <f t="shared" si="40"/>
        <v>3</v>
      </c>
      <c r="C2228" s="10" t="s">
        <v>315</v>
      </c>
      <c r="D2228" s="10" t="s">
        <v>315</v>
      </c>
      <c r="E2228" s="10" t="s">
        <v>315</v>
      </c>
    </row>
    <row r="2229" spans="1:5" x14ac:dyDescent="0.35">
      <c r="A2229" s="3">
        <v>46058</v>
      </c>
      <c r="B2229" s="1">
        <f t="shared" si="40"/>
        <v>4</v>
      </c>
      <c r="C2229" s="10" t="s">
        <v>315</v>
      </c>
      <c r="D2229" s="10" t="s">
        <v>315</v>
      </c>
      <c r="E2229" s="10" t="s">
        <v>315</v>
      </c>
    </row>
    <row r="2230" spans="1:5" x14ac:dyDescent="0.35">
      <c r="A2230" s="3">
        <v>46059</v>
      </c>
      <c r="B2230" s="1">
        <f t="shared" si="40"/>
        <v>5</v>
      </c>
      <c r="C2230" s="10" t="s">
        <v>315</v>
      </c>
      <c r="D2230" s="10" t="s">
        <v>315</v>
      </c>
      <c r="E2230" s="10" t="s">
        <v>315</v>
      </c>
    </row>
    <row r="2231" spans="1:5" x14ac:dyDescent="0.35">
      <c r="A2231" s="3">
        <v>46060</v>
      </c>
      <c r="B2231" s="1">
        <f t="shared" si="40"/>
        <v>6</v>
      </c>
      <c r="C2231" s="10" t="s">
        <v>315</v>
      </c>
      <c r="D2231" s="10" t="s">
        <v>313</v>
      </c>
      <c r="E2231" s="10" t="s">
        <v>313</v>
      </c>
    </row>
    <row r="2232" spans="1:5" x14ac:dyDescent="0.35">
      <c r="A2232" s="3">
        <v>46061</v>
      </c>
      <c r="B2232" s="1">
        <f t="shared" si="40"/>
        <v>7</v>
      </c>
      <c r="C2232" s="10" t="s">
        <v>313</v>
      </c>
      <c r="D2232" s="10" t="s">
        <v>313</v>
      </c>
      <c r="E2232" s="10" t="s">
        <v>313</v>
      </c>
    </row>
    <row r="2233" spans="1:5" x14ac:dyDescent="0.35">
      <c r="A2233" s="3">
        <v>46062</v>
      </c>
      <c r="B2233" s="1">
        <f t="shared" si="40"/>
        <v>1</v>
      </c>
      <c r="C2233" s="10" t="s">
        <v>315</v>
      </c>
      <c r="D2233" s="10" t="s">
        <v>315</v>
      </c>
      <c r="E2233" s="10" t="s">
        <v>315</v>
      </c>
    </row>
    <row r="2234" spans="1:5" x14ac:dyDescent="0.35">
      <c r="A2234" s="3">
        <v>46063</v>
      </c>
      <c r="B2234" s="1">
        <f t="shared" si="40"/>
        <v>2</v>
      </c>
      <c r="C2234" s="10" t="s">
        <v>315</v>
      </c>
      <c r="D2234" s="10" t="s">
        <v>315</v>
      </c>
      <c r="E2234" s="10" t="s">
        <v>315</v>
      </c>
    </row>
    <row r="2235" spans="1:5" x14ac:dyDescent="0.35">
      <c r="A2235" s="3">
        <v>46064</v>
      </c>
      <c r="B2235" s="1">
        <f t="shared" si="40"/>
        <v>3</v>
      </c>
      <c r="C2235" s="10" t="s">
        <v>315</v>
      </c>
      <c r="D2235" s="10" t="s">
        <v>315</v>
      </c>
      <c r="E2235" s="10" t="s">
        <v>315</v>
      </c>
    </row>
    <row r="2236" spans="1:5" x14ac:dyDescent="0.35">
      <c r="A2236" s="3">
        <v>46065</v>
      </c>
      <c r="B2236" s="1">
        <f t="shared" si="40"/>
        <v>4</v>
      </c>
      <c r="C2236" s="10" t="s">
        <v>315</v>
      </c>
      <c r="D2236" s="10" t="s">
        <v>315</v>
      </c>
      <c r="E2236" s="10" t="s">
        <v>315</v>
      </c>
    </row>
    <row r="2237" spans="1:5" x14ac:dyDescent="0.35">
      <c r="A2237" s="3">
        <v>46066</v>
      </c>
      <c r="B2237" s="1">
        <f t="shared" si="40"/>
        <v>5</v>
      </c>
      <c r="C2237" s="10" t="s">
        <v>315</v>
      </c>
      <c r="D2237" s="10" t="s">
        <v>315</v>
      </c>
      <c r="E2237" s="10" t="s">
        <v>315</v>
      </c>
    </row>
    <row r="2238" spans="1:5" x14ac:dyDescent="0.35">
      <c r="A2238" s="3">
        <v>46067</v>
      </c>
      <c r="B2238" s="1">
        <f t="shared" si="40"/>
        <v>6</v>
      </c>
      <c r="C2238" s="10" t="s">
        <v>315</v>
      </c>
      <c r="D2238" s="10" t="s">
        <v>313</v>
      </c>
      <c r="E2238" s="10" t="s">
        <v>313</v>
      </c>
    </row>
    <row r="2239" spans="1:5" x14ac:dyDescent="0.35">
      <c r="A2239" s="3">
        <v>46068</v>
      </c>
      <c r="B2239" s="1">
        <f t="shared" si="40"/>
        <v>7</v>
      </c>
      <c r="C2239" s="10" t="s">
        <v>313</v>
      </c>
      <c r="D2239" s="10" t="s">
        <v>313</v>
      </c>
      <c r="E2239" s="10" t="s">
        <v>313</v>
      </c>
    </row>
    <row r="2240" spans="1:5" x14ac:dyDescent="0.35">
      <c r="A2240" s="3">
        <v>46069</v>
      </c>
      <c r="B2240" s="1">
        <f t="shared" si="40"/>
        <v>1</v>
      </c>
      <c r="C2240" s="10" t="s">
        <v>315</v>
      </c>
      <c r="D2240" s="10" t="s">
        <v>315</v>
      </c>
      <c r="E2240" s="10" t="s">
        <v>315</v>
      </c>
    </row>
    <row r="2241" spans="1:5" x14ac:dyDescent="0.35">
      <c r="A2241" s="3">
        <v>46070</v>
      </c>
      <c r="B2241" s="1">
        <f t="shared" si="40"/>
        <v>2</v>
      </c>
      <c r="C2241" s="10" t="s">
        <v>315</v>
      </c>
      <c r="D2241" s="10" t="s">
        <v>315</v>
      </c>
      <c r="E2241" s="10" t="s">
        <v>315</v>
      </c>
    </row>
    <row r="2242" spans="1:5" x14ac:dyDescent="0.35">
      <c r="A2242" s="3">
        <v>46071</v>
      </c>
      <c r="B2242" s="1">
        <f t="shared" si="40"/>
        <v>3</v>
      </c>
      <c r="C2242" s="10" t="s">
        <v>315</v>
      </c>
      <c r="D2242" s="10" t="s">
        <v>315</v>
      </c>
      <c r="E2242" s="10" t="s">
        <v>315</v>
      </c>
    </row>
    <row r="2243" spans="1:5" x14ac:dyDescent="0.35">
      <c r="A2243" s="3">
        <v>46072</v>
      </c>
      <c r="B2243" s="1">
        <f t="shared" si="40"/>
        <v>4</v>
      </c>
      <c r="C2243" s="10" t="s">
        <v>315</v>
      </c>
      <c r="D2243" s="10" t="s">
        <v>315</v>
      </c>
      <c r="E2243" s="10" t="s">
        <v>315</v>
      </c>
    </row>
    <row r="2244" spans="1:5" x14ac:dyDescent="0.35">
      <c r="A2244" s="3">
        <v>46073</v>
      </c>
      <c r="B2244" s="1">
        <f t="shared" si="40"/>
        <v>5</v>
      </c>
      <c r="C2244" s="10" t="s">
        <v>315</v>
      </c>
      <c r="D2244" s="10" t="s">
        <v>315</v>
      </c>
      <c r="E2244" s="10" t="s">
        <v>315</v>
      </c>
    </row>
    <row r="2245" spans="1:5" x14ac:dyDescent="0.35">
      <c r="A2245" s="3">
        <v>46074</v>
      </c>
      <c r="B2245" s="1">
        <f t="shared" si="40"/>
        <v>6</v>
      </c>
      <c r="C2245" s="10" t="s">
        <v>315</v>
      </c>
      <c r="D2245" s="10" t="s">
        <v>313</v>
      </c>
      <c r="E2245" s="10" t="s">
        <v>313</v>
      </c>
    </row>
    <row r="2246" spans="1:5" x14ac:dyDescent="0.35">
      <c r="A2246" s="3">
        <v>46075</v>
      </c>
      <c r="B2246" s="1">
        <f t="shared" si="40"/>
        <v>7</v>
      </c>
      <c r="C2246" s="10" t="s">
        <v>313</v>
      </c>
      <c r="D2246" s="10" t="s">
        <v>313</v>
      </c>
      <c r="E2246" s="10" t="s">
        <v>313</v>
      </c>
    </row>
    <row r="2247" spans="1:5" x14ac:dyDescent="0.35">
      <c r="A2247" s="3">
        <v>46076</v>
      </c>
      <c r="B2247" s="1">
        <f t="shared" si="40"/>
        <v>1</v>
      </c>
      <c r="C2247" s="10" t="s">
        <v>315</v>
      </c>
      <c r="D2247" s="10" t="s">
        <v>315</v>
      </c>
      <c r="E2247" s="10" t="s">
        <v>315</v>
      </c>
    </row>
    <row r="2248" spans="1:5" x14ac:dyDescent="0.35">
      <c r="A2248" s="3">
        <v>46077</v>
      </c>
      <c r="B2248" s="1">
        <f t="shared" si="40"/>
        <v>2</v>
      </c>
      <c r="C2248" s="10" t="s">
        <v>315</v>
      </c>
      <c r="D2248" s="10" t="s">
        <v>315</v>
      </c>
      <c r="E2248" s="10" t="s">
        <v>315</v>
      </c>
    </row>
    <row r="2249" spans="1:5" x14ac:dyDescent="0.35">
      <c r="A2249" s="3">
        <v>46078</v>
      </c>
      <c r="B2249" s="1">
        <f t="shared" si="40"/>
        <v>3</v>
      </c>
      <c r="C2249" s="10" t="s">
        <v>315</v>
      </c>
      <c r="D2249" s="10" t="s">
        <v>315</v>
      </c>
      <c r="E2249" s="10" t="s">
        <v>315</v>
      </c>
    </row>
    <row r="2250" spans="1:5" x14ac:dyDescent="0.35">
      <c r="A2250" s="3">
        <v>46079</v>
      </c>
      <c r="B2250" s="1">
        <f t="shared" si="40"/>
        <v>4</v>
      </c>
      <c r="C2250" s="10" t="s">
        <v>315</v>
      </c>
      <c r="D2250" s="10" t="s">
        <v>315</v>
      </c>
      <c r="E2250" s="10" t="s">
        <v>315</v>
      </c>
    </row>
    <row r="2251" spans="1:5" x14ac:dyDescent="0.35">
      <c r="A2251" s="3">
        <v>46080</v>
      </c>
      <c r="B2251" s="1">
        <f t="shared" si="40"/>
        <v>5</v>
      </c>
      <c r="C2251" s="10" t="s">
        <v>315</v>
      </c>
      <c r="D2251" s="10" t="s">
        <v>315</v>
      </c>
      <c r="E2251" s="10" t="s">
        <v>315</v>
      </c>
    </row>
    <row r="2252" spans="1:5" x14ac:dyDescent="0.35">
      <c r="A2252" s="3">
        <v>46081</v>
      </c>
      <c r="B2252" s="1">
        <f t="shared" si="40"/>
        <v>6</v>
      </c>
      <c r="C2252" s="10" t="s">
        <v>315</v>
      </c>
      <c r="D2252" s="10" t="s">
        <v>313</v>
      </c>
      <c r="E2252" s="10" t="s">
        <v>313</v>
      </c>
    </row>
    <row r="2253" spans="1:5" x14ac:dyDescent="0.35">
      <c r="A2253" s="3">
        <v>46082</v>
      </c>
      <c r="B2253" s="1">
        <f t="shared" si="40"/>
        <v>7</v>
      </c>
      <c r="C2253" s="10" t="s">
        <v>313</v>
      </c>
      <c r="D2253" s="10" t="s">
        <v>313</v>
      </c>
      <c r="E2253" s="10" t="s">
        <v>313</v>
      </c>
    </row>
    <row r="2254" spans="1:5" x14ac:dyDescent="0.35">
      <c r="A2254" s="3">
        <v>46083</v>
      </c>
      <c r="B2254" s="1">
        <f t="shared" si="40"/>
        <v>1</v>
      </c>
      <c r="C2254" s="10" t="s">
        <v>315</v>
      </c>
      <c r="D2254" s="10" t="s">
        <v>315</v>
      </c>
      <c r="E2254" s="10" t="s">
        <v>315</v>
      </c>
    </row>
    <row r="2255" spans="1:5" x14ac:dyDescent="0.35">
      <c r="A2255" s="3">
        <v>46084</v>
      </c>
      <c r="B2255" s="1">
        <f t="shared" si="40"/>
        <v>2</v>
      </c>
      <c r="C2255" s="10" t="s">
        <v>315</v>
      </c>
      <c r="D2255" s="10" t="s">
        <v>315</v>
      </c>
      <c r="E2255" s="10" t="s">
        <v>315</v>
      </c>
    </row>
    <row r="2256" spans="1:5" x14ac:dyDescent="0.35">
      <c r="A2256" s="3">
        <v>46085</v>
      </c>
      <c r="B2256" s="1">
        <f t="shared" si="40"/>
        <v>3</v>
      </c>
      <c r="C2256" s="10" t="s">
        <v>315</v>
      </c>
      <c r="D2256" s="10" t="s">
        <v>315</v>
      </c>
      <c r="E2256" s="10" t="s">
        <v>315</v>
      </c>
    </row>
    <row r="2257" spans="1:5" x14ac:dyDescent="0.35">
      <c r="A2257" s="3">
        <v>46086</v>
      </c>
      <c r="B2257" s="1">
        <f t="shared" si="40"/>
        <v>4</v>
      </c>
      <c r="C2257" s="10" t="s">
        <v>315</v>
      </c>
      <c r="D2257" s="10" t="s">
        <v>315</v>
      </c>
      <c r="E2257" s="10" t="s">
        <v>315</v>
      </c>
    </row>
    <row r="2258" spans="1:5" x14ac:dyDescent="0.35">
      <c r="A2258" s="3">
        <v>46087</v>
      </c>
      <c r="B2258" s="1">
        <f t="shared" si="40"/>
        <v>5</v>
      </c>
      <c r="C2258" s="10" t="s">
        <v>315</v>
      </c>
      <c r="D2258" s="10" t="s">
        <v>315</v>
      </c>
      <c r="E2258" s="10" t="s">
        <v>315</v>
      </c>
    </row>
    <row r="2259" spans="1:5" x14ac:dyDescent="0.35">
      <c r="A2259" s="3">
        <v>46088</v>
      </c>
      <c r="B2259" s="1">
        <f t="shared" si="40"/>
        <v>6</v>
      </c>
      <c r="C2259" s="10" t="s">
        <v>315</v>
      </c>
      <c r="D2259" s="10" t="s">
        <v>313</v>
      </c>
      <c r="E2259" s="10" t="s">
        <v>313</v>
      </c>
    </row>
    <row r="2260" spans="1:5" x14ac:dyDescent="0.35">
      <c r="A2260" s="3">
        <v>46089</v>
      </c>
      <c r="B2260" s="1">
        <f t="shared" si="40"/>
        <v>7</v>
      </c>
      <c r="C2260" s="10" t="s">
        <v>313</v>
      </c>
      <c r="D2260" s="10" t="s">
        <v>313</v>
      </c>
      <c r="E2260" s="10" t="s">
        <v>313</v>
      </c>
    </row>
    <row r="2261" spans="1:5" x14ac:dyDescent="0.35">
      <c r="A2261" s="3">
        <v>46090</v>
      </c>
      <c r="B2261" s="1">
        <f t="shared" si="40"/>
        <v>1</v>
      </c>
      <c r="C2261" s="10" t="s">
        <v>315</v>
      </c>
      <c r="D2261" s="10" t="s">
        <v>315</v>
      </c>
      <c r="E2261" s="10" t="s">
        <v>315</v>
      </c>
    </row>
    <row r="2262" spans="1:5" x14ac:dyDescent="0.35">
      <c r="A2262" s="3">
        <v>46091</v>
      </c>
      <c r="B2262" s="1">
        <f t="shared" si="40"/>
        <v>2</v>
      </c>
      <c r="C2262" s="10" t="s">
        <v>315</v>
      </c>
      <c r="D2262" s="10" t="s">
        <v>315</v>
      </c>
      <c r="E2262" s="10" t="s">
        <v>315</v>
      </c>
    </row>
    <row r="2263" spans="1:5" x14ac:dyDescent="0.35">
      <c r="A2263" s="3">
        <v>46092</v>
      </c>
      <c r="B2263" s="1">
        <f t="shared" si="40"/>
        <v>3</v>
      </c>
      <c r="C2263" s="10" t="s">
        <v>315</v>
      </c>
      <c r="D2263" s="10" t="s">
        <v>315</v>
      </c>
      <c r="E2263" s="10" t="s">
        <v>315</v>
      </c>
    </row>
    <row r="2264" spans="1:5" x14ac:dyDescent="0.35">
      <c r="A2264" s="3">
        <v>46093</v>
      </c>
      <c r="B2264" s="1">
        <f t="shared" si="40"/>
        <v>4</v>
      </c>
      <c r="C2264" s="10" t="s">
        <v>315</v>
      </c>
      <c r="D2264" s="10" t="s">
        <v>315</v>
      </c>
      <c r="E2264" s="10" t="s">
        <v>315</v>
      </c>
    </row>
    <row r="2265" spans="1:5" x14ac:dyDescent="0.35">
      <c r="A2265" s="3">
        <v>46094</v>
      </c>
      <c r="B2265" s="1">
        <f t="shared" si="40"/>
        <v>5</v>
      </c>
      <c r="C2265" s="10" t="s">
        <v>315</v>
      </c>
      <c r="D2265" s="10" t="s">
        <v>315</v>
      </c>
      <c r="E2265" s="10" t="s">
        <v>315</v>
      </c>
    </row>
    <row r="2266" spans="1:5" x14ac:dyDescent="0.35">
      <c r="A2266" s="3">
        <v>46095</v>
      </c>
      <c r="B2266" s="1">
        <f t="shared" si="40"/>
        <v>6</v>
      </c>
      <c r="C2266" s="10" t="s">
        <v>315</v>
      </c>
      <c r="D2266" s="10" t="s">
        <v>313</v>
      </c>
      <c r="E2266" s="10" t="s">
        <v>313</v>
      </c>
    </row>
    <row r="2267" spans="1:5" x14ac:dyDescent="0.35">
      <c r="A2267" s="3">
        <v>46096</v>
      </c>
      <c r="B2267" s="1">
        <f t="shared" si="40"/>
        <v>7</v>
      </c>
      <c r="C2267" s="10" t="s">
        <v>313</v>
      </c>
      <c r="D2267" s="10" t="s">
        <v>313</v>
      </c>
      <c r="E2267" s="10" t="s">
        <v>313</v>
      </c>
    </row>
    <row r="2268" spans="1:5" x14ac:dyDescent="0.35">
      <c r="A2268" s="3">
        <v>46097</v>
      </c>
      <c r="B2268" s="1">
        <f t="shared" si="40"/>
        <v>1</v>
      </c>
      <c r="C2268" s="10" t="s">
        <v>315</v>
      </c>
      <c r="D2268" s="10" t="s">
        <v>315</v>
      </c>
      <c r="E2268" s="10" t="s">
        <v>315</v>
      </c>
    </row>
    <row r="2269" spans="1:5" x14ac:dyDescent="0.35">
      <c r="A2269" s="3">
        <v>46098</v>
      </c>
      <c r="B2269" s="1">
        <f t="shared" si="40"/>
        <v>2</v>
      </c>
      <c r="C2269" s="10" t="s">
        <v>315</v>
      </c>
      <c r="D2269" s="10" t="s">
        <v>315</v>
      </c>
      <c r="E2269" s="10" t="s">
        <v>315</v>
      </c>
    </row>
    <row r="2270" spans="1:5" x14ac:dyDescent="0.35">
      <c r="A2270" s="3">
        <v>46099</v>
      </c>
      <c r="B2270" s="1">
        <f t="shared" si="40"/>
        <v>3</v>
      </c>
      <c r="C2270" s="10" t="s">
        <v>315</v>
      </c>
      <c r="D2270" s="10" t="s">
        <v>315</v>
      </c>
      <c r="E2270" s="10" t="s">
        <v>315</v>
      </c>
    </row>
    <row r="2271" spans="1:5" x14ac:dyDescent="0.35">
      <c r="A2271" s="3">
        <v>46100</v>
      </c>
      <c r="B2271" s="1">
        <f t="shared" si="40"/>
        <v>4</v>
      </c>
      <c r="C2271" s="10" t="s">
        <v>315</v>
      </c>
      <c r="D2271" s="10" t="s">
        <v>315</v>
      </c>
      <c r="E2271" s="10" t="s">
        <v>315</v>
      </c>
    </row>
    <row r="2272" spans="1:5" x14ac:dyDescent="0.35">
      <c r="A2272" s="3">
        <v>46101</v>
      </c>
      <c r="B2272" s="1">
        <f t="shared" si="40"/>
        <v>5</v>
      </c>
      <c r="C2272" s="10" t="s">
        <v>315</v>
      </c>
      <c r="D2272" s="10" t="s">
        <v>315</v>
      </c>
      <c r="E2272" s="10" t="s">
        <v>315</v>
      </c>
    </row>
  </sheetData>
  <mergeCells count="1">
    <mergeCell ref="I1:J1"/>
  </mergeCells>
  <conditionalFormatting sqref="A1:B1048576">
    <cfRule type="expression" dxfId="1" priority="5">
      <formula>$B1=6</formula>
    </cfRule>
    <cfRule type="expression" dxfId="0" priority="6">
      <formula>$B1=7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/>
  <dimension ref="A1:C224"/>
  <sheetViews>
    <sheetView zoomScale="114" zoomScaleNormal="114" workbookViewId="0">
      <selection activeCell="B26" sqref="B26"/>
    </sheetView>
  </sheetViews>
  <sheetFormatPr defaultRowHeight="14.5" x14ac:dyDescent="0.35"/>
  <cols>
    <col min="1" max="1" width="13.7265625" bestFit="1" customWidth="1"/>
    <col min="2" max="2" width="50.1796875" bestFit="1" customWidth="1"/>
    <col min="3" max="3" width="8.7265625" style="1" customWidth="1"/>
  </cols>
  <sheetData>
    <row r="1" spans="1:3" x14ac:dyDescent="0.35">
      <c r="A1" t="s">
        <v>1</v>
      </c>
      <c r="B1" t="s">
        <v>2</v>
      </c>
    </row>
    <row r="2" spans="1:3" x14ac:dyDescent="0.35">
      <c r="A2" t="s">
        <v>3</v>
      </c>
      <c r="B2" t="s">
        <v>4</v>
      </c>
      <c r="C2" s="1" t="s">
        <v>369</v>
      </c>
    </row>
    <row r="3" spans="1:3" x14ac:dyDescent="0.35">
      <c r="A3" t="s">
        <v>5</v>
      </c>
      <c r="B3" t="s">
        <v>570</v>
      </c>
      <c r="C3" s="1" t="s">
        <v>369</v>
      </c>
    </row>
    <row r="4" spans="1:3" x14ac:dyDescent="0.35">
      <c r="A4" t="s">
        <v>266</v>
      </c>
      <c r="B4" t="s">
        <v>267</v>
      </c>
    </row>
    <row r="5" spans="1:3" x14ac:dyDescent="0.35">
      <c r="A5" t="s">
        <v>8</v>
      </c>
      <c r="B5" t="s">
        <v>9</v>
      </c>
    </row>
    <row r="6" spans="1:3" x14ac:dyDescent="0.35">
      <c r="A6" t="s">
        <v>10</v>
      </c>
      <c r="B6" t="s">
        <v>11</v>
      </c>
    </row>
    <row r="7" spans="1:3" x14ac:dyDescent="0.35">
      <c r="A7" t="s">
        <v>12</v>
      </c>
      <c r="B7" t="s">
        <v>13</v>
      </c>
    </row>
    <row r="8" spans="1:3" x14ac:dyDescent="0.35">
      <c r="A8" t="s">
        <v>296</v>
      </c>
      <c r="B8" t="s">
        <v>297</v>
      </c>
    </row>
    <row r="9" spans="1:3" x14ac:dyDescent="0.35">
      <c r="A9" t="s">
        <v>15</v>
      </c>
      <c r="B9" t="s">
        <v>16</v>
      </c>
    </row>
    <row r="10" spans="1:3" x14ac:dyDescent="0.35">
      <c r="A10" t="s">
        <v>17</v>
      </c>
      <c r="B10" t="s">
        <v>18</v>
      </c>
    </row>
    <row r="11" spans="1:3" x14ac:dyDescent="0.35">
      <c r="A11" t="s">
        <v>14</v>
      </c>
      <c r="B11" t="s">
        <v>593</v>
      </c>
    </row>
    <row r="12" spans="1:3" x14ac:dyDescent="0.35">
      <c r="A12" t="s">
        <v>19</v>
      </c>
      <c r="B12" t="s">
        <v>594</v>
      </c>
    </row>
    <row r="13" spans="1:3" x14ac:dyDescent="0.35">
      <c r="A13" t="s">
        <v>20</v>
      </c>
      <c r="B13" t="s">
        <v>21</v>
      </c>
    </row>
    <row r="14" spans="1:3" x14ac:dyDescent="0.35">
      <c r="A14" t="s">
        <v>22</v>
      </c>
      <c r="B14" t="s">
        <v>23</v>
      </c>
    </row>
    <row r="15" spans="1:3" x14ac:dyDescent="0.35">
      <c r="A15" t="s">
        <v>264</v>
      </c>
      <c r="B15" t="s">
        <v>595</v>
      </c>
    </row>
    <row r="16" spans="1:3" x14ac:dyDescent="0.35">
      <c r="A16" t="s">
        <v>36</v>
      </c>
      <c r="B16" t="s">
        <v>596</v>
      </c>
    </row>
    <row r="17" spans="1:3" x14ac:dyDescent="0.35">
      <c r="A17" t="s">
        <v>26</v>
      </c>
      <c r="B17" t="s">
        <v>27</v>
      </c>
      <c r="C17" s="1" t="s">
        <v>369</v>
      </c>
    </row>
    <row r="18" spans="1:3" x14ac:dyDescent="0.35">
      <c r="A18" t="s">
        <v>28</v>
      </c>
      <c r="B18" t="s">
        <v>29</v>
      </c>
    </row>
    <row r="19" spans="1:3" x14ac:dyDescent="0.35">
      <c r="A19" t="s">
        <v>1313</v>
      </c>
      <c r="B19" t="s">
        <v>1314</v>
      </c>
    </row>
    <row r="20" spans="1:3" x14ac:dyDescent="0.35">
      <c r="A20" t="s">
        <v>30</v>
      </c>
      <c r="B20" t="s">
        <v>31</v>
      </c>
    </row>
    <row r="21" spans="1:3" x14ac:dyDescent="0.35">
      <c r="A21" t="s">
        <v>32</v>
      </c>
      <c r="B21" t="s">
        <v>33</v>
      </c>
      <c r="C21" s="1" t="s">
        <v>369</v>
      </c>
    </row>
    <row r="22" spans="1:3" x14ac:dyDescent="0.35">
      <c r="A22" t="s">
        <v>34</v>
      </c>
      <c r="B22" t="s">
        <v>35</v>
      </c>
    </row>
    <row r="23" spans="1:3" x14ac:dyDescent="0.35">
      <c r="A23" t="s">
        <v>1315</v>
      </c>
      <c r="B23" t="s">
        <v>1316</v>
      </c>
    </row>
    <row r="24" spans="1:3" x14ac:dyDescent="0.35">
      <c r="A24" t="s">
        <v>579</v>
      </c>
      <c r="B24" t="s">
        <v>580</v>
      </c>
    </row>
    <row r="25" spans="1:3" x14ac:dyDescent="0.35">
      <c r="A25" t="s">
        <v>754</v>
      </c>
      <c r="B25" t="s">
        <v>755</v>
      </c>
    </row>
    <row r="26" spans="1:3" x14ac:dyDescent="0.35">
      <c r="A26" t="s">
        <v>24</v>
      </c>
      <c r="B26" t="s">
        <v>597</v>
      </c>
    </row>
    <row r="27" spans="1:3" x14ac:dyDescent="0.35">
      <c r="A27" t="s">
        <v>613</v>
      </c>
      <c r="B27" t="s">
        <v>614</v>
      </c>
    </row>
    <row r="28" spans="1:3" x14ac:dyDescent="0.35">
      <c r="A28" t="s">
        <v>756</v>
      </c>
      <c r="B28" t="s">
        <v>757</v>
      </c>
    </row>
    <row r="29" spans="1:3" x14ac:dyDescent="0.35">
      <c r="A29" t="s">
        <v>216</v>
      </c>
      <c r="B29" t="s">
        <v>598</v>
      </c>
    </row>
    <row r="30" spans="1:3" x14ac:dyDescent="0.35">
      <c r="A30" t="s">
        <v>25</v>
      </c>
      <c r="B30" t="s">
        <v>599</v>
      </c>
    </row>
    <row r="31" spans="1:3" x14ac:dyDescent="0.35">
      <c r="A31" t="s">
        <v>1808</v>
      </c>
      <c r="B31" t="s">
        <v>1809</v>
      </c>
    </row>
    <row r="32" spans="1:3" x14ac:dyDescent="0.35">
      <c r="A32" t="s">
        <v>95</v>
      </c>
      <c r="B32" t="s">
        <v>600</v>
      </c>
    </row>
    <row r="33" spans="1:2" x14ac:dyDescent="0.35">
      <c r="A33" t="s">
        <v>37</v>
      </c>
      <c r="B33" t="s">
        <v>515</v>
      </c>
    </row>
    <row r="34" spans="1:2" x14ac:dyDescent="0.35">
      <c r="A34" t="s">
        <v>268</v>
      </c>
      <c r="B34" t="s">
        <v>269</v>
      </c>
    </row>
    <row r="35" spans="1:2" x14ac:dyDescent="0.35">
      <c r="A35" t="s">
        <v>54</v>
      </c>
      <c r="B35" t="s">
        <v>601</v>
      </c>
    </row>
    <row r="36" spans="1:2" x14ac:dyDescent="0.35">
      <c r="A36" t="s">
        <v>38</v>
      </c>
      <c r="B36" t="s">
        <v>39</v>
      </c>
    </row>
    <row r="37" spans="1:2" x14ac:dyDescent="0.35">
      <c r="A37" t="s">
        <v>1317</v>
      </c>
      <c r="B37" t="s">
        <v>1318</v>
      </c>
    </row>
    <row r="38" spans="1:2" x14ac:dyDescent="0.35">
      <c r="A38" t="s">
        <v>40</v>
      </c>
      <c r="B38" t="s">
        <v>41</v>
      </c>
    </row>
    <row r="39" spans="1:2" x14ac:dyDescent="0.35">
      <c r="A39" t="s">
        <v>42</v>
      </c>
      <c r="B39" t="s">
        <v>43</v>
      </c>
    </row>
    <row r="40" spans="1:2" x14ac:dyDescent="0.35">
      <c r="A40" t="s">
        <v>44</v>
      </c>
      <c r="B40" t="s">
        <v>45</v>
      </c>
    </row>
    <row r="41" spans="1:2" x14ac:dyDescent="0.35">
      <c r="A41" t="s">
        <v>46</v>
      </c>
      <c r="B41" t="s">
        <v>47</v>
      </c>
    </row>
    <row r="42" spans="1:2" x14ac:dyDescent="0.35">
      <c r="A42" t="s">
        <v>48</v>
      </c>
      <c r="B42" t="s">
        <v>49</v>
      </c>
    </row>
    <row r="43" spans="1:2" x14ac:dyDescent="0.35">
      <c r="A43" t="s">
        <v>50</v>
      </c>
      <c r="B43" t="s">
        <v>51</v>
      </c>
    </row>
    <row r="44" spans="1:2" x14ac:dyDescent="0.35">
      <c r="A44" t="s">
        <v>52</v>
      </c>
      <c r="B44" t="s">
        <v>53</v>
      </c>
    </row>
    <row r="45" spans="1:2" x14ac:dyDescent="0.35">
      <c r="A45" t="s">
        <v>56</v>
      </c>
      <c r="B45" t="s">
        <v>57</v>
      </c>
    </row>
    <row r="46" spans="1:2" x14ac:dyDescent="0.35">
      <c r="A46" t="s">
        <v>58</v>
      </c>
      <c r="B46" t="s">
        <v>59</v>
      </c>
    </row>
    <row r="47" spans="1:2" x14ac:dyDescent="0.35">
      <c r="A47" t="s">
        <v>60</v>
      </c>
      <c r="B47" t="s">
        <v>61</v>
      </c>
    </row>
    <row r="48" spans="1:2" x14ac:dyDescent="0.35">
      <c r="A48" t="s">
        <v>62</v>
      </c>
      <c r="B48" t="s">
        <v>63</v>
      </c>
    </row>
    <row r="49" spans="1:3" x14ac:dyDescent="0.35">
      <c r="A49" t="s">
        <v>64</v>
      </c>
      <c r="B49" t="s">
        <v>65</v>
      </c>
    </row>
    <row r="50" spans="1:3" x14ac:dyDescent="0.35">
      <c r="A50" t="s">
        <v>66</v>
      </c>
      <c r="B50" t="s">
        <v>67</v>
      </c>
    </row>
    <row r="51" spans="1:3" x14ac:dyDescent="0.35">
      <c r="A51" t="s">
        <v>68</v>
      </c>
      <c r="B51" t="s">
        <v>69</v>
      </c>
    </row>
    <row r="52" spans="1:3" x14ac:dyDescent="0.35">
      <c r="A52" t="s">
        <v>70</v>
      </c>
      <c r="B52" t="s">
        <v>71</v>
      </c>
    </row>
    <row r="53" spans="1:3" x14ac:dyDescent="0.35">
      <c r="A53" t="s">
        <v>72</v>
      </c>
      <c r="B53" t="s">
        <v>73</v>
      </c>
      <c r="C53" s="1" t="s">
        <v>369</v>
      </c>
    </row>
    <row r="54" spans="1:3" x14ac:dyDescent="0.35">
      <c r="A54" t="s">
        <v>74</v>
      </c>
      <c r="B54" t="s">
        <v>75</v>
      </c>
    </row>
    <row r="55" spans="1:3" x14ac:dyDescent="0.35">
      <c r="A55" t="s">
        <v>76</v>
      </c>
      <c r="B55" t="s">
        <v>77</v>
      </c>
    </row>
    <row r="56" spans="1:3" x14ac:dyDescent="0.35">
      <c r="A56" t="s">
        <v>78</v>
      </c>
      <c r="B56" t="s">
        <v>79</v>
      </c>
    </row>
    <row r="57" spans="1:3" x14ac:dyDescent="0.35">
      <c r="A57" t="s">
        <v>80</v>
      </c>
      <c r="B57" t="s">
        <v>602</v>
      </c>
    </row>
    <row r="58" spans="1:3" x14ac:dyDescent="0.35">
      <c r="A58" t="s">
        <v>81</v>
      </c>
      <c r="B58" t="s">
        <v>82</v>
      </c>
    </row>
    <row r="59" spans="1:3" x14ac:dyDescent="0.35">
      <c r="A59" t="s">
        <v>1319</v>
      </c>
      <c r="B59" t="s">
        <v>1320</v>
      </c>
    </row>
    <row r="60" spans="1:3" x14ac:dyDescent="0.35">
      <c r="A60" t="s">
        <v>83</v>
      </c>
      <c r="B60" t="s">
        <v>84</v>
      </c>
    </row>
    <row r="61" spans="1:3" x14ac:dyDescent="0.35">
      <c r="A61" t="s">
        <v>270</v>
      </c>
      <c r="B61" t="s">
        <v>271</v>
      </c>
    </row>
    <row r="62" spans="1:3" x14ac:dyDescent="0.35">
      <c r="A62" t="s">
        <v>723</v>
      </c>
      <c r="B62" t="s">
        <v>724</v>
      </c>
    </row>
    <row r="63" spans="1:3" x14ac:dyDescent="0.35">
      <c r="A63" t="s">
        <v>725</v>
      </c>
      <c r="B63" t="s">
        <v>726</v>
      </c>
    </row>
    <row r="64" spans="1:3" x14ac:dyDescent="0.35">
      <c r="A64" t="s">
        <v>1321</v>
      </c>
      <c r="B64" t="s">
        <v>1322</v>
      </c>
    </row>
    <row r="65" spans="1:3" x14ac:dyDescent="0.35">
      <c r="A65" t="s">
        <v>1323</v>
      </c>
      <c r="B65" t="s">
        <v>1324</v>
      </c>
    </row>
    <row r="66" spans="1:3" x14ac:dyDescent="0.35">
      <c r="A66" t="s">
        <v>1325</v>
      </c>
      <c r="B66" t="s">
        <v>1326</v>
      </c>
    </row>
    <row r="67" spans="1:3" x14ac:dyDescent="0.35">
      <c r="A67" t="s">
        <v>1327</v>
      </c>
      <c r="B67" t="s">
        <v>1328</v>
      </c>
    </row>
    <row r="68" spans="1:3" x14ac:dyDescent="0.35">
      <c r="A68" t="s">
        <v>85</v>
      </c>
      <c r="B68" t="s">
        <v>86</v>
      </c>
    </row>
    <row r="69" spans="1:3" x14ac:dyDescent="0.35">
      <c r="A69" t="s">
        <v>1329</v>
      </c>
      <c r="B69" t="s">
        <v>1330</v>
      </c>
    </row>
    <row r="70" spans="1:3" x14ac:dyDescent="0.35">
      <c r="A70" t="s">
        <v>1331</v>
      </c>
      <c r="B70" t="s">
        <v>1332</v>
      </c>
    </row>
    <row r="71" spans="1:3" x14ac:dyDescent="0.35">
      <c r="A71" t="s">
        <v>1333</v>
      </c>
      <c r="B71" t="s">
        <v>1334</v>
      </c>
    </row>
    <row r="72" spans="1:3" x14ac:dyDescent="0.35">
      <c r="A72" t="s">
        <v>1335</v>
      </c>
      <c r="B72" t="s">
        <v>1336</v>
      </c>
    </row>
    <row r="73" spans="1:3" x14ac:dyDescent="0.35">
      <c r="A73" t="s">
        <v>1337</v>
      </c>
      <c r="B73" t="s">
        <v>1338</v>
      </c>
      <c r="C73" s="1" t="s">
        <v>369</v>
      </c>
    </row>
    <row r="74" spans="1:3" x14ac:dyDescent="0.35">
      <c r="A74" t="s">
        <v>1339</v>
      </c>
      <c r="B74" t="s">
        <v>1340</v>
      </c>
      <c r="C74" s="1" t="s">
        <v>369</v>
      </c>
    </row>
    <row r="75" spans="1:3" x14ac:dyDescent="0.35">
      <c r="A75" t="s">
        <v>1341</v>
      </c>
      <c r="B75" t="s">
        <v>1342</v>
      </c>
    </row>
    <row r="76" spans="1:3" x14ac:dyDescent="0.35">
      <c r="A76" t="s">
        <v>1343</v>
      </c>
      <c r="B76" t="s">
        <v>1344</v>
      </c>
      <c r="C76" s="1" t="s">
        <v>369</v>
      </c>
    </row>
    <row r="77" spans="1:3" x14ac:dyDescent="0.35">
      <c r="A77" t="s">
        <v>1345</v>
      </c>
      <c r="B77" t="s">
        <v>1346</v>
      </c>
    </row>
    <row r="78" spans="1:3" x14ac:dyDescent="0.35">
      <c r="A78" t="s">
        <v>1347</v>
      </c>
      <c r="B78" t="s">
        <v>1348</v>
      </c>
    </row>
    <row r="79" spans="1:3" x14ac:dyDescent="0.35">
      <c r="A79" t="s">
        <v>1349</v>
      </c>
      <c r="B79" t="s">
        <v>1350</v>
      </c>
    </row>
    <row r="80" spans="1:3" x14ac:dyDescent="0.35">
      <c r="A80" t="s">
        <v>1351</v>
      </c>
      <c r="B80" t="s">
        <v>1352</v>
      </c>
    </row>
    <row r="81" spans="1:3" x14ac:dyDescent="0.35">
      <c r="A81" t="s">
        <v>55</v>
      </c>
      <c r="B81" t="s">
        <v>603</v>
      </c>
    </row>
    <row r="82" spans="1:3" x14ac:dyDescent="0.35">
      <c r="A82" t="s">
        <v>87</v>
      </c>
      <c r="B82" t="s">
        <v>88</v>
      </c>
      <c r="C82" s="1" t="s">
        <v>369</v>
      </c>
    </row>
    <row r="83" spans="1:3" x14ac:dyDescent="0.35">
      <c r="A83" t="s">
        <v>510</v>
      </c>
      <c r="B83" t="s">
        <v>511</v>
      </c>
    </row>
    <row r="84" spans="1:3" x14ac:dyDescent="0.35">
      <c r="A84" t="s">
        <v>1106</v>
      </c>
      <c r="B84" t="s">
        <v>1107</v>
      </c>
      <c r="C84" s="42" t="s">
        <v>369</v>
      </c>
    </row>
    <row r="85" spans="1:3" x14ac:dyDescent="0.35">
      <c r="A85" t="s">
        <v>1108</v>
      </c>
      <c r="B85" t="s">
        <v>1109</v>
      </c>
    </row>
    <row r="86" spans="1:3" x14ac:dyDescent="0.35">
      <c r="A86" t="s">
        <v>89</v>
      </c>
      <c r="B86" t="s">
        <v>90</v>
      </c>
    </row>
    <row r="87" spans="1:3" x14ac:dyDescent="0.35">
      <c r="A87" t="s">
        <v>615</v>
      </c>
      <c r="B87" t="s">
        <v>616</v>
      </c>
    </row>
    <row r="88" spans="1:3" x14ac:dyDescent="0.35">
      <c r="A88" t="s">
        <v>617</v>
      </c>
      <c r="B88" t="s">
        <v>618</v>
      </c>
    </row>
    <row r="89" spans="1:3" x14ac:dyDescent="0.35">
      <c r="A89" t="s">
        <v>619</v>
      </c>
      <c r="B89" t="s">
        <v>620</v>
      </c>
    </row>
    <row r="90" spans="1:3" x14ac:dyDescent="0.35">
      <c r="A90" t="s">
        <v>621</v>
      </c>
      <c r="B90" t="s">
        <v>622</v>
      </c>
    </row>
    <row r="91" spans="1:3" x14ac:dyDescent="0.35">
      <c r="A91" t="s">
        <v>6</v>
      </c>
      <c r="B91" t="s">
        <v>604</v>
      </c>
    </row>
    <row r="92" spans="1:3" x14ac:dyDescent="0.35">
      <c r="A92" t="s">
        <v>7</v>
      </c>
      <c r="B92" t="s">
        <v>605</v>
      </c>
    </row>
    <row r="93" spans="1:3" x14ac:dyDescent="0.35">
      <c r="A93" t="s">
        <v>91</v>
      </c>
      <c r="B93" t="s">
        <v>92</v>
      </c>
    </row>
    <row r="94" spans="1:3" x14ac:dyDescent="0.35">
      <c r="A94" t="s">
        <v>93</v>
      </c>
      <c r="B94" t="s">
        <v>94</v>
      </c>
    </row>
    <row r="95" spans="1:3" x14ac:dyDescent="0.35">
      <c r="A95" t="s">
        <v>727</v>
      </c>
      <c r="B95" t="s">
        <v>728</v>
      </c>
    </row>
    <row r="96" spans="1:3" x14ac:dyDescent="0.35">
      <c r="A96" t="s">
        <v>729</v>
      </c>
      <c r="B96" t="s">
        <v>730</v>
      </c>
    </row>
    <row r="97" spans="1:2" x14ac:dyDescent="0.35">
      <c r="A97" t="s">
        <v>96</v>
      </c>
      <c r="B97" t="s">
        <v>97</v>
      </c>
    </row>
    <row r="98" spans="1:2" x14ac:dyDescent="0.35">
      <c r="A98" t="s">
        <v>272</v>
      </c>
      <c r="B98" t="s">
        <v>273</v>
      </c>
    </row>
    <row r="99" spans="1:2" x14ac:dyDescent="0.35">
      <c r="A99" t="s">
        <v>98</v>
      </c>
      <c r="B99" t="s">
        <v>99</v>
      </c>
    </row>
    <row r="100" spans="1:2" x14ac:dyDescent="0.35">
      <c r="A100" t="s">
        <v>731</v>
      </c>
      <c r="B100" t="s">
        <v>732</v>
      </c>
    </row>
    <row r="101" spans="1:2" x14ac:dyDescent="0.35">
      <c r="A101" t="s">
        <v>100</v>
      </c>
      <c r="B101" t="s">
        <v>101</v>
      </c>
    </row>
    <row r="102" spans="1:2" x14ac:dyDescent="0.35">
      <c r="A102" t="s">
        <v>102</v>
      </c>
      <c r="B102" t="s">
        <v>103</v>
      </c>
    </row>
    <row r="103" spans="1:2" x14ac:dyDescent="0.35">
      <c r="A103" t="s">
        <v>733</v>
      </c>
      <c r="B103" t="s">
        <v>734</v>
      </c>
    </row>
    <row r="104" spans="1:2" x14ac:dyDescent="0.35">
      <c r="A104" t="s">
        <v>1353</v>
      </c>
      <c r="B104" t="s">
        <v>1354</v>
      </c>
    </row>
    <row r="105" spans="1:2" x14ac:dyDescent="0.35">
      <c r="A105" t="s">
        <v>1355</v>
      </c>
      <c r="B105" t="s">
        <v>1356</v>
      </c>
    </row>
    <row r="106" spans="1:2" x14ac:dyDescent="0.35">
      <c r="A106" t="s">
        <v>1463</v>
      </c>
      <c r="B106" t="s">
        <v>1464</v>
      </c>
    </row>
    <row r="107" spans="1:2" x14ac:dyDescent="0.35">
      <c r="A107" t="s">
        <v>1357</v>
      </c>
      <c r="B107" t="s">
        <v>1358</v>
      </c>
    </row>
    <row r="108" spans="1:2" x14ac:dyDescent="0.35">
      <c r="A108" t="s">
        <v>1359</v>
      </c>
      <c r="B108" t="s">
        <v>1360</v>
      </c>
    </row>
    <row r="109" spans="1:2" x14ac:dyDescent="0.35">
      <c r="A109" t="s">
        <v>1361</v>
      </c>
      <c r="B109" t="s">
        <v>1362</v>
      </c>
    </row>
    <row r="110" spans="1:2" x14ac:dyDescent="0.35">
      <c r="A110" t="s">
        <v>1363</v>
      </c>
      <c r="B110" t="s">
        <v>1364</v>
      </c>
    </row>
    <row r="111" spans="1:2" x14ac:dyDescent="0.35">
      <c r="A111" t="s">
        <v>1260</v>
      </c>
      <c r="B111" t="s">
        <v>1261</v>
      </c>
    </row>
    <row r="112" spans="1:2" x14ac:dyDescent="0.35">
      <c r="A112" t="s">
        <v>1465</v>
      </c>
      <c r="B112" t="s">
        <v>1466</v>
      </c>
    </row>
    <row r="113" spans="1:2" x14ac:dyDescent="0.35">
      <c r="A113" t="s">
        <v>1365</v>
      </c>
      <c r="B113" t="s">
        <v>1366</v>
      </c>
    </row>
    <row r="114" spans="1:2" x14ac:dyDescent="0.35">
      <c r="A114" t="s">
        <v>1262</v>
      </c>
      <c r="B114" t="s">
        <v>1263</v>
      </c>
    </row>
    <row r="115" spans="1:2" x14ac:dyDescent="0.35">
      <c r="A115" t="s">
        <v>1264</v>
      </c>
      <c r="B115" t="s">
        <v>1265</v>
      </c>
    </row>
    <row r="116" spans="1:2" x14ac:dyDescent="0.35">
      <c r="A116" t="s">
        <v>1266</v>
      </c>
      <c r="B116" t="s">
        <v>1267</v>
      </c>
    </row>
    <row r="117" spans="1:2" x14ac:dyDescent="0.35">
      <c r="A117" t="s">
        <v>1367</v>
      </c>
      <c r="B117" t="s">
        <v>1368</v>
      </c>
    </row>
    <row r="118" spans="1:2" x14ac:dyDescent="0.35">
      <c r="A118" t="s">
        <v>1268</v>
      </c>
      <c r="B118" t="s">
        <v>1269</v>
      </c>
    </row>
    <row r="119" spans="1:2" x14ac:dyDescent="0.35">
      <c r="A119" t="s">
        <v>1270</v>
      </c>
      <c r="B119" t="s">
        <v>1271</v>
      </c>
    </row>
    <row r="120" spans="1:2" x14ac:dyDescent="0.35">
      <c r="A120" t="s">
        <v>1272</v>
      </c>
      <c r="B120" t="s">
        <v>1273</v>
      </c>
    </row>
    <row r="121" spans="1:2" x14ac:dyDescent="0.35">
      <c r="A121" t="s">
        <v>1274</v>
      </c>
      <c r="B121" t="s">
        <v>1275</v>
      </c>
    </row>
    <row r="122" spans="1:2" x14ac:dyDescent="0.35">
      <c r="A122" t="s">
        <v>1369</v>
      </c>
      <c r="B122" t="s">
        <v>1370</v>
      </c>
    </row>
    <row r="123" spans="1:2" x14ac:dyDescent="0.35">
      <c r="A123" t="s">
        <v>1276</v>
      </c>
      <c r="B123" t="s">
        <v>1277</v>
      </c>
    </row>
    <row r="124" spans="1:2" x14ac:dyDescent="0.35">
      <c r="A124" t="s">
        <v>1278</v>
      </c>
      <c r="B124" t="s">
        <v>1279</v>
      </c>
    </row>
    <row r="125" spans="1:2" x14ac:dyDescent="0.35">
      <c r="A125" t="s">
        <v>1371</v>
      </c>
      <c r="B125" t="s">
        <v>1372</v>
      </c>
    </row>
    <row r="126" spans="1:2" x14ac:dyDescent="0.35">
      <c r="A126" t="s">
        <v>1280</v>
      </c>
      <c r="B126" t="s">
        <v>1281</v>
      </c>
    </row>
    <row r="127" spans="1:2" x14ac:dyDescent="0.35">
      <c r="A127" t="s">
        <v>294</v>
      </c>
      <c r="B127" t="s">
        <v>1282</v>
      </c>
    </row>
    <row r="128" spans="1:2" x14ac:dyDescent="0.35">
      <c r="A128" t="s">
        <v>295</v>
      </c>
      <c r="B128" t="s">
        <v>1283</v>
      </c>
    </row>
    <row r="129" spans="1:2" x14ac:dyDescent="0.35">
      <c r="A129" t="s">
        <v>1373</v>
      </c>
      <c r="B129" t="s">
        <v>1374</v>
      </c>
    </row>
    <row r="130" spans="1:2" x14ac:dyDescent="0.35">
      <c r="A130" t="s">
        <v>1375</v>
      </c>
      <c r="B130" t="s">
        <v>1376</v>
      </c>
    </row>
    <row r="131" spans="1:2" x14ac:dyDescent="0.35">
      <c r="A131" t="s">
        <v>1377</v>
      </c>
      <c r="B131" t="s">
        <v>1378</v>
      </c>
    </row>
    <row r="132" spans="1:2" x14ac:dyDescent="0.35">
      <c r="A132" t="s">
        <v>1379</v>
      </c>
      <c r="B132" t="s">
        <v>1380</v>
      </c>
    </row>
    <row r="133" spans="1:2" x14ac:dyDescent="0.35">
      <c r="A133" t="s">
        <v>1381</v>
      </c>
      <c r="B133" t="s">
        <v>1382</v>
      </c>
    </row>
    <row r="134" spans="1:2" x14ac:dyDescent="0.35">
      <c r="A134" t="s">
        <v>1383</v>
      </c>
      <c r="B134" t="s">
        <v>1384</v>
      </c>
    </row>
    <row r="135" spans="1:2" x14ac:dyDescent="0.35">
      <c r="A135" t="s">
        <v>1385</v>
      </c>
      <c r="B135" t="s">
        <v>1386</v>
      </c>
    </row>
    <row r="136" spans="1:2" x14ac:dyDescent="0.35">
      <c r="A136" t="s">
        <v>1387</v>
      </c>
      <c r="B136" t="s">
        <v>1388</v>
      </c>
    </row>
    <row r="137" spans="1:2" x14ac:dyDescent="0.35">
      <c r="A137" t="s">
        <v>1389</v>
      </c>
      <c r="B137" t="s">
        <v>1390</v>
      </c>
    </row>
    <row r="138" spans="1:2" x14ac:dyDescent="0.35">
      <c r="A138" t="s">
        <v>1391</v>
      </c>
      <c r="B138" t="s">
        <v>1392</v>
      </c>
    </row>
    <row r="139" spans="1:2" x14ac:dyDescent="0.35">
      <c r="A139" t="s">
        <v>1393</v>
      </c>
      <c r="B139" t="s">
        <v>1394</v>
      </c>
    </row>
    <row r="140" spans="1:2" x14ac:dyDescent="0.35">
      <c r="A140" t="s">
        <v>1395</v>
      </c>
      <c r="B140" t="s">
        <v>1396</v>
      </c>
    </row>
    <row r="141" spans="1:2" x14ac:dyDescent="0.35">
      <c r="A141" t="s">
        <v>1397</v>
      </c>
      <c r="B141" t="s">
        <v>1398</v>
      </c>
    </row>
    <row r="142" spans="1:2" x14ac:dyDescent="0.35">
      <c r="A142" t="s">
        <v>1399</v>
      </c>
      <c r="B142" t="s">
        <v>1400</v>
      </c>
    </row>
    <row r="143" spans="1:2" x14ac:dyDescent="0.35">
      <c r="A143" t="s">
        <v>1401</v>
      </c>
      <c r="B143" t="s">
        <v>1402</v>
      </c>
    </row>
    <row r="144" spans="1:2" x14ac:dyDescent="0.35">
      <c r="A144" t="s">
        <v>1403</v>
      </c>
      <c r="B144" t="s">
        <v>1404</v>
      </c>
    </row>
    <row r="145" spans="1:2" x14ac:dyDescent="0.35">
      <c r="A145" t="s">
        <v>1405</v>
      </c>
      <c r="B145" t="s">
        <v>1406</v>
      </c>
    </row>
    <row r="146" spans="1:2" x14ac:dyDescent="0.35">
      <c r="A146" t="s">
        <v>1407</v>
      </c>
      <c r="B146" t="s">
        <v>1408</v>
      </c>
    </row>
    <row r="147" spans="1:2" x14ac:dyDescent="0.35">
      <c r="A147" t="s">
        <v>1409</v>
      </c>
      <c r="B147" t="s">
        <v>1410</v>
      </c>
    </row>
    <row r="148" spans="1:2" x14ac:dyDescent="0.35">
      <c r="A148" t="s">
        <v>1411</v>
      </c>
      <c r="B148" t="s">
        <v>1412</v>
      </c>
    </row>
    <row r="149" spans="1:2" x14ac:dyDescent="0.35">
      <c r="A149" t="s">
        <v>1413</v>
      </c>
      <c r="B149" t="s">
        <v>1414</v>
      </c>
    </row>
    <row r="150" spans="1:2" x14ac:dyDescent="0.35">
      <c r="A150" t="s">
        <v>1467</v>
      </c>
      <c r="B150" t="s">
        <v>1468</v>
      </c>
    </row>
    <row r="151" spans="1:2" x14ac:dyDescent="0.35">
      <c r="A151" t="s">
        <v>1415</v>
      </c>
      <c r="B151" t="s">
        <v>1416</v>
      </c>
    </row>
    <row r="152" spans="1:2" x14ac:dyDescent="0.35">
      <c r="A152" t="s">
        <v>1417</v>
      </c>
      <c r="B152" t="s">
        <v>1418</v>
      </c>
    </row>
    <row r="153" spans="1:2" x14ac:dyDescent="0.35">
      <c r="A153" t="s">
        <v>1419</v>
      </c>
      <c r="B153" t="s">
        <v>1420</v>
      </c>
    </row>
    <row r="154" spans="1:2" x14ac:dyDescent="0.35">
      <c r="A154" t="s">
        <v>1421</v>
      </c>
      <c r="B154" t="s">
        <v>1422</v>
      </c>
    </row>
    <row r="155" spans="1:2" x14ac:dyDescent="0.35">
      <c r="A155" t="s">
        <v>1423</v>
      </c>
      <c r="B155" t="s">
        <v>1424</v>
      </c>
    </row>
    <row r="156" spans="1:2" x14ac:dyDescent="0.35">
      <c r="A156" t="s">
        <v>1425</v>
      </c>
      <c r="B156" t="s">
        <v>1426</v>
      </c>
    </row>
    <row r="157" spans="1:2" x14ac:dyDescent="0.35">
      <c r="A157" t="s">
        <v>1427</v>
      </c>
      <c r="B157" t="s">
        <v>1428</v>
      </c>
    </row>
    <row r="158" spans="1:2" x14ac:dyDescent="0.35">
      <c r="A158" t="s">
        <v>1429</v>
      </c>
      <c r="B158" t="s">
        <v>1430</v>
      </c>
    </row>
    <row r="159" spans="1:2" x14ac:dyDescent="0.35">
      <c r="A159" t="s">
        <v>1431</v>
      </c>
      <c r="B159" t="s">
        <v>1432</v>
      </c>
    </row>
    <row r="160" spans="1:2" x14ac:dyDescent="0.35">
      <c r="A160" t="s">
        <v>1433</v>
      </c>
      <c r="B160" t="s">
        <v>1434</v>
      </c>
    </row>
    <row r="161" spans="1:2" x14ac:dyDescent="0.35">
      <c r="A161" t="s">
        <v>1435</v>
      </c>
      <c r="B161" t="s">
        <v>1436</v>
      </c>
    </row>
    <row r="162" spans="1:2" x14ac:dyDescent="0.35">
      <c r="A162" t="s">
        <v>1437</v>
      </c>
      <c r="B162" t="s">
        <v>1438</v>
      </c>
    </row>
    <row r="163" spans="1:2" x14ac:dyDescent="0.35">
      <c r="A163" t="s">
        <v>1439</v>
      </c>
      <c r="B163" t="s">
        <v>1440</v>
      </c>
    </row>
    <row r="164" spans="1:2" x14ac:dyDescent="0.35">
      <c r="A164" t="s">
        <v>1284</v>
      </c>
      <c r="B164" t="s">
        <v>1285</v>
      </c>
    </row>
    <row r="165" spans="1:2" x14ac:dyDescent="0.35">
      <c r="A165" t="s">
        <v>1286</v>
      </c>
      <c r="B165" t="s">
        <v>1287</v>
      </c>
    </row>
    <row r="166" spans="1:2" x14ac:dyDescent="0.35">
      <c r="A166" t="s">
        <v>1441</v>
      </c>
      <c r="B166" t="s">
        <v>1442</v>
      </c>
    </row>
    <row r="167" spans="1:2" x14ac:dyDescent="0.35">
      <c r="A167" t="s">
        <v>1443</v>
      </c>
      <c r="B167" t="s">
        <v>1444</v>
      </c>
    </row>
    <row r="168" spans="1:2" x14ac:dyDescent="0.35">
      <c r="A168" t="s">
        <v>1445</v>
      </c>
      <c r="B168" t="s">
        <v>1446</v>
      </c>
    </row>
    <row r="169" spans="1:2" x14ac:dyDescent="0.35">
      <c r="A169" t="s">
        <v>1288</v>
      </c>
      <c r="B169" t="s">
        <v>1289</v>
      </c>
    </row>
    <row r="170" spans="1:2" x14ac:dyDescent="0.35">
      <c r="A170" t="s">
        <v>1290</v>
      </c>
      <c r="B170" t="s">
        <v>1291</v>
      </c>
    </row>
    <row r="171" spans="1:2" x14ac:dyDescent="0.35">
      <c r="A171" t="s">
        <v>1447</v>
      </c>
      <c r="B171" t="s">
        <v>1448</v>
      </c>
    </row>
    <row r="172" spans="1:2" x14ac:dyDescent="0.35">
      <c r="A172" t="s">
        <v>1449</v>
      </c>
      <c r="B172" t="s">
        <v>1450</v>
      </c>
    </row>
    <row r="173" spans="1:2" x14ac:dyDescent="0.35">
      <c r="A173" t="s">
        <v>1451</v>
      </c>
      <c r="B173" t="s">
        <v>1452</v>
      </c>
    </row>
    <row r="174" spans="1:2" x14ac:dyDescent="0.35">
      <c r="A174" t="s">
        <v>104</v>
      </c>
      <c r="B174" t="s">
        <v>105</v>
      </c>
    </row>
    <row r="175" spans="1:2" x14ac:dyDescent="0.35">
      <c r="A175" t="s">
        <v>106</v>
      </c>
      <c r="B175" t="s">
        <v>107</v>
      </c>
    </row>
    <row r="176" spans="1:2" x14ac:dyDescent="0.35">
      <c r="A176" t="s">
        <v>108</v>
      </c>
      <c r="B176" t="s">
        <v>109</v>
      </c>
    </row>
    <row r="177" spans="1:2" x14ac:dyDescent="0.35">
      <c r="A177" t="s">
        <v>110</v>
      </c>
      <c r="B177" t="s">
        <v>111</v>
      </c>
    </row>
    <row r="178" spans="1:2" x14ac:dyDescent="0.35">
      <c r="A178" t="s">
        <v>298</v>
      </c>
      <c r="B178" t="s">
        <v>299</v>
      </c>
    </row>
    <row r="179" spans="1:2" x14ac:dyDescent="0.35">
      <c r="A179" t="s">
        <v>112</v>
      </c>
      <c r="B179" t="s">
        <v>113</v>
      </c>
    </row>
    <row r="180" spans="1:2" x14ac:dyDescent="0.35">
      <c r="A180" t="s">
        <v>114</v>
      </c>
      <c r="B180" t="s">
        <v>115</v>
      </c>
    </row>
    <row r="181" spans="1:2" x14ac:dyDescent="0.35">
      <c r="A181" t="s">
        <v>274</v>
      </c>
      <c r="B181" t="s">
        <v>275</v>
      </c>
    </row>
    <row r="182" spans="1:2" x14ac:dyDescent="0.35">
      <c r="A182" t="s">
        <v>276</v>
      </c>
      <c r="B182" t="s">
        <v>277</v>
      </c>
    </row>
    <row r="183" spans="1:2" x14ac:dyDescent="0.35">
      <c r="A183" t="s">
        <v>116</v>
      </c>
      <c r="B183" t="s">
        <v>117</v>
      </c>
    </row>
    <row r="184" spans="1:2" x14ac:dyDescent="0.35">
      <c r="A184" t="s">
        <v>118</v>
      </c>
      <c r="B184" t="s">
        <v>119</v>
      </c>
    </row>
    <row r="185" spans="1:2" x14ac:dyDescent="0.35">
      <c r="A185" t="s">
        <v>120</v>
      </c>
      <c r="B185" t="s">
        <v>121</v>
      </c>
    </row>
    <row r="186" spans="1:2" x14ac:dyDescent="0.35">
      <c r="A186" t="s">
        <v>122</v>
      </c>
      <c r="B186" t="s">
        <v>123</v>
      </c>
    </row>
    <row r="187" spans="1:2" x14ac:dyDescent="0.35">
      <c r="A187" t="s">
        <v>278</v>
      </c>
      <c r="B187" t="s">
        <v>279</v>
      </c>
    </row>
    <row r="188" spans="1:2" x14ac:dyDescent="0.35">
      <c r="A188" t="s">
        <v>786</v>
      </c>
      <c r="B188" t="s">
        <v>787</v>
      </c>
    </row>
    <row r="189" spans="1:2" x14ac:dyDescent="0.35">
      <c r="A189" t="s">
        <v>735</v>
      </c>
      <c r="B189" t="s">
        <v>788</v>
      </c>
    </row>
    <row r="190" spans="1:2" x14ac:dyDescent="0.35">
      <c r="A190" t="s">
        <v>736</v>
      </c>
      <c r="B190" t="s">
        <v>737</v>
      </c>
    </row>
    <row r="191" spans="1:2" x14ac:dyDescent="0.35">
      <c r="A191" t="s">
        <v>738</v>
      </c>
      <c r="B191" t="s">
        <v>739</v>
      </c>
    </row>
    <row r="192" spans="1:2" x14ac:dyDescent="0.35">
      <c r="A192" t="s">
        <v>740</v>
      </c>
      <c r="B192" t="s">
        <v>741</v>
      </c>
    </row>
    <row r="193" spans="1:2" x14ac:dyDescent="0.35">
      <c r="A193" t="s">
        <v>125</v>
      </c>
      <c r="B193" t="s">
        <v>126</v>
      </c>
    </row>
    <row r="194" spans="1:2" x14ac:dyDescent="0.35">
      <c r="A194" t="s">
        <v>124</v>
      </c>
      <c r="B194" t="s">
        <v>516</v>
      </c>
    </row>
    <row r="195" spans="1:2" x14ac:dyDescent="0.35">
      <c r="A195" t="s">
        <v>127</v>
      </c>
      <c r="B195" t="s">
        <v>128</v>
      </c>
    </row>
    <row r="196" spans="1:2" x14ac:dyDescent="0.35">
      <c r="A196" t="s">
        <v>129</v>
      </c>
      <c r="B196" t="s">
        <v>130</v>
      </c>
    </row>
    <row r="197" spans="1:2" x14ac:dyDescent="0.35">
      <c r="A197" t="s">
        <v>1292</v>
      </c>
      <c r="B197" t="s">
        <v>1293</v>
      </c>
    </row>
    <row r="198" spans="1:2" x14ac:dyDescent="0.35">
      <c r="A198" t="s">
        <v>131</v>
      </c>
      <c r="B198" t="s">
        <v>132</v>
      </c>
    </row>
    <row r="199" spans="1:2" x14ac:dyDescent="0.35">
      <c r="A199" t="s">
        <v>133</v>
      </c>
      <c r="B199" t="s">
        <v>134</v>
      </c>
    </row>
    <row r="200" spans="1:2" x14ac:dyDescent="0.35">
      <c r="A200" t="s">
        <v>135</v>
      </c>
      <c r="B200" t="s">
        <v>136</v>
      </c>
    </row>
    <row r="201" spans="1:2" x14ac:dyDescent="0.35">
      <c r="A201" t="s">
        <v>137</v>
      </c>
      <c r="B201" t="s">
        <v>138</v>
      </c>
    </row>
    <row r="202" spans="1:2" x14ac:dyDescent="0.35">
      <c r="A202" t="s">
        <v>139</v>
      </c>
      <c r="B202" t="s">
        <v>140</v>
      </c>
    </row>
    <row r="203" spans="1:2" x14ac:dyDescent="0.35">
      <c r="A203" t="s">
        <v>141</v>
      </c>
      <c r="B203" t="s">
        <v>142</v>
      </c>
    </row>
    <row r="204" spans="1:2" x14ac:dyDescent="0.35">
      <c r="A204" t="s">
        <v>143</v>
      </c>
      <c r="B204" t="s">
        <v>144</v>
      </c>
    </row>
    <row r="205" spans="1:2" x14ac:dyDescent="0.35">
      <c r="A205" t="s">
        <v>145</v>
      </c>
      <c r="B205" t="s">
        <v>146</v>
      </c>
    </row>
    <row r="206" spans="1:2" x14ac:dyDescent="0.35">
      <c r="A206" t="s">
        <v>147</v>
      </c>
      <c r="B206" t="s">
        <v>148</v>
      </c>
    </row>
    <row r="207" spans="1:2" x14ac:dyDescent="0.35">
      <c r="A207" t="s">
        <v>1294</v>
      </c>
      <c r="B207" t="s">
        <v>1295</v>
      </c>
    </row>
    <row r="208" spans="1:2" x14ac:dyDescent="0.35">
      <c r="A208" t="s">
        <v>1296</v>
      </c>
      <c r="B208" t="s">
        <v>1297</v>
      </c>
    </row>
    <row r="209" spans="1:2" x14ac:dyDescent="0.35">
      <c r="A209" t="s">
        <v>1298</v>
      </c>
      <c r="B209" t="s">
        <v>1299</v>
      </c>
    </row>
    <row r="210" spans="1:2" x14ac:dyDescent="0.35">
      <c r="A210" t="s">
        <v>149</v>
      </c>
      <c r="B210" t="s">
        <v>150</v>
      </c>
    </row>
    <row r="211" spans="1:2" x14ac:dyDescent="0.35">
      <c r="A211" t="s">
        <v>1300</v>
      </c>
      <c r="B211" t="s">
        <v>1301</v>
      </c>
    </row>
    <row r="212" spans="1:2" x14ac:dyDescent="0.35">
      <c r="A212" t="s">
        <v>151</v>
      </c>
      <c r="B212" t="s">
        <v>152</v>
      </c>
    </row>
    <row r="213" spans="1:2" x14ac:dyDescent="0.35">
      <c r="A213" t="s">
        <v>153</v>
      </c>
      <c r="B213" t="s">
        <v>154</v>
      </c>
    </row>
    <row r="214" spans="1:2" x14ac:dyDescent="0.35">
      <c r="A214" t="s">
        <v>155</v>
      </c>
      <c r="B214" t="s">
        <v>156</v>
      </c>
    </row>
    <row r="215" spans="1:2" x14ac:dyDescent="0.35">
      <c r="A215" t="s">
        <v>157</v>
      </c>
      <c r="B215" t="s">
        <v>158</v>
      </c>
    </row>
    <row r="216" spans="1:2" x14ac:dyDescent="0.35">
      <c r="A216" t="s">
        <v>159</v>
      </c>
      <c r="B216" t="s">
        <v>160</v>
      </c>
    </row>
    <row r="217" spans="1:2" x14ac:dyDescent="0.35">
      <c r="A217" t="s">
        <v>161</v>
      </c>
      <c r="B217" t="s">
        <v>162</v>
      </c>
    </row>
    <row r="218" spans="1:2" x14ac:dyDescent="0.35">
      <c r="A218" t="s">
        <v>300</v>
      </c>
      <c r="B218" t="s">
        <v>301</v>
      </c>
    </row>
    <row r="219" spans="1:2" x14ac:dyDescent="0.35">
      <c r="A219" t="s">
        <v>163</v>
      </c>
      <c r="B219" t="s">
        <v>164</v>
      </c>
    </row>
    <row r="220" spans="1:2" x14ac:dyDescent="0.35">
      <c r="A220" t="s">
        <v>165</v>
      </c>
      <c r="B220" t="s">
        <v>166</v>
      </c>
    </row>
    <row r="221" spans="1:2" x14ac:dyDescent="0.35">
      <c r="A221" t="s">
        <v>167</v>
      </c>
      <c r="B221" t="s">
        <v>168</v>
      </c>
    </row>
    <row r="222" spans="1:2" x14ac:dyDescent="0.35">
      <c r="A222" t="s">
        <v>1302</v>
      </c>
      <c r="B222" t="s">
        <v>1303</v>
      </c>
    </row>
    <row r="223" spans="1:2" x14ac:dyDescent="0.35">
      <c r="A223" t="s">
        <v>512</v>
      </c>
      <c r="B223" t="s">
        <v>517</v>
      </c>
    </row>
    <row r="224" spans="1:2" x14ac:dyDescent="0.35">
      <c r="A224" t="s">
        <v>169</v>
      </c>
      <c r="B224" t="s">
        <v>170</v>
      </c>
    </row>
  </sheetData>
  <phoneticPr fontId="10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0"/>
  <dimension ref="B3:F44"/>
  <sheetViews>
    <sheetView zoomScale="90" zoomScaleNormal="90" workbookViewId="0">
      <selection activeCell="I25" sqref="I25"/>
    </sheetView>
  </sheetViews>
  <sheetFormatPr defaultRowHeight="14.5" x14ac:dyDescent="0.35"/>
  <cols>
    <col min="2" max="2" width="14.26953125" customWidth="1"/>
    <col min="3" max="3" width="56.26953125" bestFit="1" customWidth="1"/>
    <col min="4" max="4" width="17.81640625" style="18" customWidth="1"/>
    <col min="5" max="5" width="17.7265625" style="18" customWidth="1"/>
    <col min="6" max="6" width="8.453125" bestFit="1" customWidth="1"/>
    <col min="7" max="7" width="19.54296875" customWidth="1"/>
    <col min="8" max="8" width="22.7265625" customWidth="1"/>
    <col min="9" max="9" width="20" customWidth="1"/>
  </cols>
  <sheetData>
    <row r="3" spans="2:6" ht="61.5" x14ac:dyDescent="1.35">
      <c r="C3" s="16" t="s">
        <v>282</v>
      </c>
      <c r="D3" s="17" t="s">
        <v>290</v>
      </c>
    </row>
    <row r="4" spans="2:6" s="19" customFormat="1" ht="30.75" customHeight="1" x14ac:dyDescent="0.35">
      <c r="B4" s="20" t="s">
        <v>283</v>
      </c>
      <c r="C4" s="20" t="s">
        <v>284</v>
      </c>
      <c r="D4" s="21" t="s">
        <v>286</v>
      </c>
      <c r="E4" s="21" t="s">
        <v>287</v>
      </c>
      <c r="F4" s="21" t="s">
        <v>293</v>
      </c>
    </row>
    <row r="5" spans="2:6" x14ac:dyDescent="0.35">
      <c r="B5" s="3">
        <v>43778</v>
      </c>
      <c r="C5" t="s">
        <v>289</v>
      </c>
      <c r="D5" s="18">
        <v>43778.020833333336</v>
      </c>
      <c r="E5" s="18">
        <v>43780.645833333336</v>
      </c>
      <c r="F5" s="22">
        <f>E5-D5</f>
        <v>2.625</v>
      </c>
    </row>
    <row r="6" spans="2:6" x14ac:dyDescent="0.35">
      <c r="B6" s="3">
        <v>43789</v>
      </c>
      <c r="C6" t="s">
        <v>288</v>
      </c>
      <c r="D6" s="18">
        <v>43789.083333333336</v>
      </c>
      <c r="E6" s="18">
        <v>43789.3125</v>
      </c>
      <c r="F6" s="22">
        <f t="shared" ref="F6:F17" si="0">E6-D6</f>
        <v>0.22916666666424135</v>
      </c>
    </row>
    <row r="7" spans="2:6" x14ac:dyDescent="0.35">
      <c r="B7" s="3">
        <v>43791</v>
      </c>
      <c r="C7" t="s">
        <v>285</v>
      </c>
      <c r="D7" s="18">
        <v>43791.166666666664</v>
      </c>
      <c r="E7" s="18">
        <v>43791.385416666664</v>
      </c>
      <c r="F7" s="22">
        <f t="shared" si="0"/>
        <v>0.21875</v>
      </c>
    </row>
    <row r="8" spans="2:6" x14ac:dyDescent="0.35">
      <c r="B8" s="3">
        <v>43795</v>
      </c>
      <c r="C8" t="s">
        <v>291</v>
      </c>
      <c r="D8" s="18">
        <v>43795.291666666664</v>
      </c>
      <c r="E8" s="18">
        <v>43795.319444444445</v>
      </c>
      <c r="F8" s="22">
        <f t="shared" si="0"/>
        <v>2.7777777781011537E-2</v>
      </c>
    </row>
    <row r="9" spans="2:6" x14ac:dyDescent="0.35">
      <c r="B9" s="3">
        <v>43796</v>
      </c>
      <c r="C9" t="s">
        <v>291</v>
      </c>
      <c r="D9" s="18">
        <v>43796.916666666664</v>
      </c>
      <c r="E9" s="18">
        <v>43797.166666666664</v>
      </c>
      <c r="F9" s="22">
        <f t="shared" si="0"/>
        <v>0.25</v>
      </c>
    </row>
    <row r="10" spans="2:6" x14ac:dyDescent="0.35">
      <c r="B10" s="3">
        <v>43797</v>
      </c>
      <c r="C10" t="s">
        <v>292</v>
      </c>
      <c r="D10" s="18">
        <v>43797.854166666664</v>
      </c>
      <c r="E10" s="18">
        <v>43797.9375</v>
      </c>
      <c r="F10" s="22">
        <f t="shared" si="0"/>
        <v>8.3333333335758653E-2</v>
      </c>
    </row>
    <row r="11" spans="2:6" x14ac:dyDescent="0.35">
      <c r="B11" s="3">
        <v>43798</v>
      </c>
      <c r="C11" t="s">
        <v>291</v>
      </c>
      <c r="D11" s="18">
        <v>43798.3125</v>
      </c>
      <c r="E11" s="18">
        <v>43798.479166666664</v>
      </c>
      <c r="F11" s="22">
        <f t="shared" si="0"/>
        <v>0.16666666666424135</v>
      </c>
    </row>
    <row r="12" spans="2:6" x14ac:dyDescent="0.35">
      <c r="B12" s="3">
        <v>43802</v>
      </c>
      <c r="C12" t="s">
        <v>302</v>
      </c>
      <c r="D12" s="18">
        <v>43802.302083333336</v>
      </c>
      <c r="E12" s="18">
        <v>43802.333333333336</v>
      </c>
      <c r="F12" s="22">
        <f t="shared" si="0"/>
        <v>3.125E-2</v>
      </c>
    </row>
    <row r="13" spans="2:6" x14ac:dyDescent="0.35">
      <c r="B13" s="3">
        <v>43803</v>
      </c>
      <c r="C13" t="s">
        <v>291</v>
      </c>
      <c r="D13" s="18">
        <v>43803.388888888891</v>
      </c>
      <c r="E13" s="18">
        <v>43803.395833333336</v>
      </c>
      <c r="F13" s="22">
        <f t="shared" si="0"/>
        <v>6.9444444452528842E-3</v>
      </c>
    </row>
    <row r="14" spans="2:6" x14ac:dyDescent="0.35">
      <c r="B14" s="3">
        <v>43805</v>
      </c>
      <c r="C14" t="s">
        <v>303</v>
      </c>
      <c r="D14" s="18">
        <v>43805.5</v>
      </c>
      <c r="E14" s="18">
        <v>43805.520833333336</v>
      </c>
      <c r="F14" s="22">
        <f t="shared" si="0"/>
        <v>2.0833333335758653E-2</v>
      </c>
    </row>
    <row r="15" spans="2:6" x14ac:dyDescent="0.35">
      <c r="B15" s="3">
        <v>43836</v>
      </c>
      <c r="C15" t="s">
        <v>291</v>
      </c>
      <c r="D15" s="18">
        <v>43836.291666666664</v>
      </c>
      <c r="E15" s="18">
        <v>43836.375</v>
      </c>
      <c r="F15" s="22">
        <f t="shared" si="0"/>
        <v>8.3333333335758653E-2</v>
      </c>
    </row>
    <row r="16" spans="2:6" x14ac:dyDescent="0.35">
      <c r="B16" s="3">
        <v>43836</v>
      </c>
      <c r="C16" t="s">
        <v>288</v>
      </c>
      <c r="D16" s="18">
        <v>43836.916666666664</v>
      </c>
      <c r="E16" s="18">
        <v>43836.958333333336</v>
      </c>
      <c r="F16" s="22">
        <f t="shared" si="0"/>
        <v>4.1666666671517305E-2</v>
      </c>
    </row>
    <row r="17" spans="2:6" x14ac:dyDescent="0.35">
      <c r="B17" s="3">
        <v>43845</v>
      </c>
      <c r="D17" s="18">
        <v>43845.291666666664</v>
      </c>
      <c r="E17" s="18">
        <v>43845.333333333336</v>
      </c>
      <c r="F17" s="22">
        <f t="shared" si="0"/>
        <v>4.1666666671517305E-2</v>
      </c>
    </row>
    <row r="18" spans="2:6" x14ac:dyDescent="0.35">
      <c r="B18" s="3">
        <v>43846</v>
      </c>
      <c r="D18" s="18">
        <v>43846.541666666664</v>
      </c>
      <c r="E18" s="18">
        <v>43846.583333333336</v>
      </c>
      <c r="F18" s="22">
        <f>E18-D18</f>
        <v>4.1666666671517305E-2</v>
      </c>
    </row>
    <row r="19" spans="2:6" x14ac:dyDescent="0.35">
      <c r="B19" s="3">
        <v>43848</v>
      </c>
      <c r="C19" t="s">
        <v>310</v>
      </c>
      <c r="D19" s="18">
        <v>43848.583333333336</v>
      </c>
      <c r="E19" s="18">
        <v>43848.75</v>
      </c>
      <c r="F19" s="22">
        <f t="shared" ref="F19:F44" si="1">E19-D19</f>
        <v>0.16666666666424135</v>
      </c>
    </row>
    <row r="20" spans="2:6" x14ac:dyDescent="0.35">
      <c r="B20" s="3">
        <v>43850</v>
      </c>
      <c r="D20" s="18">
        <v>43850.666666666664</v>
      </c>
      <c r="E20" s="18">
        <v>43850.708333333336</v>
      </c>
      <c r="F20" s="22">
        <f t="shared" si="1"/>
        <v>4.1666666671517305E-2</v>
      </c>
    </row>
    <row r="21" spans="2:6" x14ac:dyDescent="0.35">
      <c r="B21" s="3">
        <v>43894</v>
      </c>
      <c r="C21" t="s">
        <v>310</v>
      </c>
      <c r="D21" s="18">
        <v>43894.9375</v>
      </c>
      <c r="E21" s="18">
        <v>43895.291666666664</v>
      </c>
      <c r="F21" s="22">
        <f t="shared" si="1"/>
        <v>0.35416666666424135</v>
      </c>
    </row>
    <row r="22" spans="2:6" x14ac:dyDescent="0.35">
      <c r="B22" s="3">
        <v>43895</v>
      </c>
      <c r="C22" t="s">
        <v>310</v>
      </c>
      <c r="D22" s="18">
        <v>43895.895833333336</v>
      </c>
      <c r="E22" s="18">
        <v>43896.333333333336</v>
      </c>
      <c r="F22" s="22">
        <f t="shared" si="1"/>
        <v>0.4375</v>
      </c>
    </row>
    <row r="23" spans="2:6" x14ac:dyDescent="0.35">
      <c r="B23" s="3">
        <v>43927</v>
      </c>
      <c r="C23" t="s">
        <v>381</v>
      </c>
      <c r="D23" s="18">
        <v>43927.979166666664</v>
      </c>
      <c r="E23" s="18">
        <v>43928.354166666664</v>
      </c>
      <c r="F23" s="22">
        <f t="shared" si="1"/>
        <v>0.375</v>
      </c>
    </row>
    <row r="24" spans="2:6" x14ac:dyDescent="0.35">
      <c r="B24" s="3">
        <v>43984</v>
      </c>
      <c r="C24" t="s">
        <v>288</v>
      </c>
      <c r="D24" s="18">
        <v>43984.041666666664</v>
      </c>
      <c r="E24" s="18">
        <v>43984.333333333336</v>
      </c>
      <c r="F24" s="22">
        <f t="shared" si="1"/>
        <v>0.29166666667151731</v>
      </c>
    </row>
    <row r="25" spans="2:6" x14ac:dyDescent="0.35">
      <c r="B25" s="3">
        <v>43986</v>
      </c>
      <c r="C25" t="s">
        <v>288</v>
      </c>
      <c r="D25" s="18">
        <v>43986.916666666664</v>
      </c>
      <c r="E25" s="18">
        <v>43987.333333333336</v>
      </c>
      <c r="F25" s="22">
        <f t="shared" si="1"/>
        <v>0.41666666667151731</v>
      </c>
    </row>
    <row r="26" spans="2:6" x14ac:dyDescent="0.35">
      <c r="B26" s="3">
        <v>43991</v>
      </c>
      <c r="C26" t="s">
        <v>428</v>
      </c>
      <c r="D26" s="18">
        <v>43991.666666666664</v>
      </c>
      <c r="E26" s="18">
        <v>43991.75</v>
      </c>
      <c r="F26" s="22">
        <f t="shared" si="1"/>
        <v>8.3333333335758653E-2</v>
      </c>
    </row>
    <row r="27" spans="2:6" x14ac:dyDescent="0.35">
      <c r="B27" s="3">
        <v>44074</v>
      </c>
      <c r="C27" t="s">
        <v>445</v>
      </c>
      <c r="D27" s="18">
        <v>44074.291666666664</v>
      </c>
      <c r="E27" s="18">
        <v>44074.354166666664</v>
      </c>
      <c r="F27" s="22">
        <f t="shared" si="1"/>
        <v>6.25E-2</v>
      </c>
    </row>
    <row r="28" spans="2:6" x14ac:dyDescent="0.35">
      <c r="B28" s="3">
        <v>44099</v>
      </c>
      <c r="D28" s="18">
        <v>44099.177083333336</v>
      </c>
      <c r="E28" s="18">
        <v>44099.375</v>
      </c>
      <c r="F28" s="22">
        <f t="shared" si="1"/>
        <v>0.19791666666424135</v>
      </c>
    </row>
    <row r="29" spans="2:6" x14ac:dyDescent="0.35">
      <c r="B29" s="3">
        <v>44106</v>
      </c>
      <c r="C29" t="s">
        <v>446</v>
      </c>
      <c r="D29" s="18">
        <v>44106.291666666664</v>
      </c>
      <c r="E29" s="18">
        <v>44106.3125</v>
      </c>
      <c r="F29" s="22">
        <f t="shared" si="1"/>
        <v>2.0833333335758653E-2</v>
      </c>
    </row>
    <row r="30" spans="2:6" x14ac:dyDescent="0.35">
      <c r="B30" s="3">
        <v>44161</v>
      </c>
      <c r="C30" t="s">
        <v>446</v>
      </c>
      <c r="D30" s="18">
        <v>44161.916666666664</v>
      </c>
      <c r="E30" s="18">
        <v>44162.333333333336</v>
      </c>
      <c r="F30" s="22">
        <f t="shared" si="1"/>
        <v>0.41666666667151731</v>
      </c>
    </row>
    <row r="31" spans="2:6" x14ac:dyDescent="0.35">
      <c r="B31" s="3">
        <v>44180</v>
      </c>
      <c r="C31" t="s">
        <v>454</v>
      </c>
      <c r="D31" s="18">
        <v>44180.145833333336</v>
      </c>
      <c r="E31" s="18">
        <v>44180.3125</v>
      </c>
      <c r="F31" s="22">
        <f t="shared" si="1"/>
        <v>0.16666666666424135</v>
      </c>
    </row>
    <row r="32" spans="2:6" x14ac:dyDescent="0.35">
      <c r="B32" s="3">
        <v>44187</v>
      </c>
      <c r="C32" t="s">
        <v>454</v>
      </c>
      <c r="D32" s="18">
        <v>44186.854166666664</v>
      </c>
      <c r="E32" s="18">
        <v>44187.333333333336</v>
      </c>
      <c r="F32" s="22">
        <f t="shared" si="1"/>
        <v>0.47916666667151731</v>
      </c>
    </row>
    <row r="33" spans="2:6" x14ac:dyDescent="0.35">
      <c r="B33" s="3">
        <v>44188</v>
      </c>
      <c r="C33" t="s">
        <v>455</v>
      </c>
      <c r="D33" s="18">
        <v>44188.916666666664</v>
      </c>
      <c r="E33" s="18">
        <v>44189.354166666664</v>
      </c>
      <c r="F33" s="22">
        <f t="shared" si="1"/>
        <v>0.4375</v>
      </c>
    </row>
    <row r="34" spans="2:6" x14ac:dyDescent="0.35">
      <c r="B34" s="3">
        <v>44189</v>
      </c>
      <c r="C34" t="s">
        <v>457</v>
      </c>
      <c r="D34" s="18">
        <v>44189.822916666664</v>
      </c>
      <c r="E34" s="18">
        <v>44193.583333333336</v>
      </c>
      <c r="F34" s="22">
        <f t="shared" si="1"/>
        <v>3.7604166666715173</v>
      </c>
    </row>
    <row r="35" spans="2:6" x14ac:dyDescent="0.35">
      <c r="B35" s="3">
        <v>44200</v>
      </c>
      <c r="C35" t="s">
        <v>456</v>
      </c>
      <c r="D35" s="18">
        <v>44200.291666666664</v>
      </c>
      <c r="E35" s="18">
        <v>44200.395833333336</v>
      </c>
      <c r="F35" s="22">
        <f t="shared" si="1"/>
        <v>0.10416666667151731</v>
      </c>
    </row>
    <row r="36" spans="2:6" x14ac:dyDescent="0.35">
      <c r="B36" s="3">
        <v>44231</v>
      </c>
      <c r="C36" t="s">
        <v>455</v>
      </c>
      <c r="D36" s="18">
        <v>44231.333333333336</v>
      </c>
      <c r="E36" s="18">
        <v>44231.666666666664</v>
      </c>
      <c r="F36" s="22">
        <f t="shared" si="1"/>
        <v>0.33333333332848269</v>
      </c>
    </row>
    <row r="37" spans="2:6" x14ac:dyDescent="0.35">
      <c r="B37" s="3">
        <v>44264</v>
      </c>
      <c r="C37" t="s">
        <v>455</v>
      </c>
      <c r="D37" s="18">
        <v>44264.708333333336</v>
      </c>
      <c r="E37" s="18">
        <v>44265.520833333336</v>
      </c>
      <c r="F37" s="22">
        <f t="shared" si="1"/>
        <v>0.8125</v>
      </c>
    </row>
    <row r="38" spans="2:6" x14ac:dyDescent="0.35">
      <c r="B38" s="3">
        <v>44306</v>
      </c>
      <c r="C38" t="s">
        <v>288</v>
      </c>
      <c r="D38" s="18">
        <v>44306.895833333336</v>
      </c>
      <c r="E38" s="18">
        <v>44307.083333333336</v>
      </c>
      <c r="F38" s="22">
        <f t="shared" si="1"/>
        <v>0.1875</v>
      </c>
    </row>
    <row r="39" spans="2:6" x14ac:dyDescent="0.35">
      <c r="B39" s="3">
        <v>44338</v>
      </c>
      <c r="D39" s="18">
        <v>44338.715277777781</v>
      </c>
      <c r="E39" s="18">
        <v>44341.604166666664</v>
      </c>
      <c r="F39" s="22">
        <f t="shared" si="1"/>
        <v>2.8888888888832298</v>
      </c>
    </row>
    <row r="40" spans="2:6" x14ac:dyDescent="0.35">
      <c r="B40" s="3">
        <v>44355</v>
      </c>
      <c r="C40" t="s">
        <v>509</v>
      </c>
      <c r="D40" s="18">
        <v>44355.701388888891</v>
      </c>
      <c r="E40" s="18">
        <v>44357.625</v>
      </c>
      <c r="F40" s="22">
        <f t="shared" si="1"/>
        <v>1.9236111111094942</v>
      </c>
    </row>
    <row r="41" spans="2:6" x14ac:dyDescent="0.35">
      <c r="B41" s="3">
        <v>44368</v>
      </c>
      <c r="C41" t="s">
        <v>455</v>
      </c>
      <c r="D41" s="18">
        <v>44368.291666666664</v>
      </c>
      <c r="E41" s="18">
        <v>44368.4375</v>
      </c>
      <c r="F41" s="22">
        <f t="shared" si="1"/>
        <v>0.14583333333575865</v>
      </c>
    </row>
    <row r="42" spans="2:6" x14ac:dyDescent="0.35">
      <c r="B42" s="3">
        <v>44370</v>
      </c>
      <c r="C42" t="s">
        <v>521</v>
      </c>
      <c r="D42" s="18">
        <v>44370.291666666664</v>
      </c>
      <c r="E42" s="18">
        <v>44400.833333333336</v>
      </c>
      <c r="F42" s="22">
        <f t="shared" si="1"/>
        <v>30.541666666671517</v>
      </c>
    </row>
    <row r="43" spans="2:6" x14ac:dyDescent="0.35">
      <c r="B43" s="3">
        <v>44411</v>
      </c>
      <c r="C43" t="s">
        <v>522</v>
      </c>
      <c r="D43" s="18">
        <v>44411.8125</v>
      </c>
      <c r="E43" s="18">
        <v>44412.458333333336</v>
      </c>
      <c r="F43" s="22">
        <f t="shared" si="1"/>
        <v>0.64583333333575865</v>
      </c>
    </row>
    <row r="44" spans="2:6" x14ac:dyDescent="0.35">
      <c r="B44" s="3">
        <v>44413</v>
      </c>
      <c r="D44" s="18">
        <v>44413.368055555555</v>
      </c>
      <c r="E44" s="18">
        <v>44413.395833333336</v>
      </c>
      <c r="F44" s="22">
        <f t="shared" si="1"/>
        <v>2.7777777781011537E-2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>
    <pageSetUpPr fitToPage="1"/>
  </sheetPr>
  <dimension ref="A1:E892"/>
  <sheetViews>
    <sheetView zoomScale="89" zoomScaleNormal="89" workbookViewId="0">
      <pane ySplit="1" topLeftCell="A497" activePane="bottomLeft" state="frozen"/>
      <selection pane="bottomLeft" sqref="A1:U1"/>
    </sheetView>
  </sheetViews>
  <sheetFormatPr defaultColWidth="9.1796875" defaultRowHeight="14.5" x14ac:dyDescent="0.35"/>
  <cols>
    <col min="1" max="1" width="17.81640625" customWidth="1"/>
    <col min="2" max="2" width="90.453125" customWidth="1"/>
    <col min="3" max="3" width="11.453125" customWidth="1"/>
    <col min="4" max="4" width="15" customWidth="1"/>
    <col min="5" max="5" width="18.81640625" bestFit="1" customWidth="1"/>
  </cols>
  <sheetData>
    <row r="1" spans="1:5" x14ac:dyDescent="0.35">
      <c r="A1" t="s">
        <v>210</v>
      </c>
      <c r="B1" t="s">
        <v>211</v>
      </c>
      <c r="C1" t="s">
        <v>355</v>
      </c>
      <c r="D1" t="s">
        <v>361</v>
      </c>
      <c r="E1" t="s">
        <v>362</v>
      </c>
    </row>
    <row r="2" spans="1:5" x14ac:dyDescent="0.35">
      <c r="A2" s="11" t="s">
        <v>480</v>
      </c>
      <c r="B2" s="11" t="s">
        <v>442</v>
      </c>
      <c r="E2" s="41">
        <v>44459.504062499997</v>
      </c>
    </row>
    <row r="3" spans="1:5" x14ac:dyDescent="0.35">
      <c r="A3" s="11" t="s">
        <v>480</v>
      </c>
      <c r="B3" s="11" t="s">
        <v>246</v>
      </c>
      <c r="E3" s="41">
        <v>44459.504062499997</v>
      </c>
    </row>
    <row r="4" spans="1:5" x14ac:dyDescent="0.35">
      <c r="A4" s="11" t="s">
        <v>481</v>
      </c>
      <c r="B4" s="11" t="s">
        <v>246</v>
      </c>
      <c r="E4" s="41">
        <v>44459.504062499997</v>
      </c>
    </row>
    <row r="5" spans="1:5" x14ac:dyDescent="0.35">
      <c r="A5" s="11" t="s">
        <v>482</v>
      </c>
      <c r="B5" s="11" t="s">
        <v>248</v>
      </c>
      <c r="E5" s="41">
        <v>44459.504062499997</v>
      </c>
    </row>
    <row r="6" spans="1:5" x14ac:dyDescent="0.35">
      <c r="A6" s="11" t="s">
        <v>471</v>
      </c>
      <c r="B6" s="11" t="s">
        <v>319</v>
      </c>
      <c r="E6" s="41">
        <v>44459.504062499997</v>
      </c>
    </row>
    <row r="7" spans="1:5" x14ac:dyDescent="0.35">
      <c r="A7" s="11" t="s">
        <v>470</v>
      </c>
      <c r="B7" s="11" t="s">
        <v>263</v>
      </c>
      <c r="E7" s="41">
        <v>44459.504062499997</v>
      </c>
    </row>
    <row r="8" spans="1:5" x14ac:dyDescent="0.35">
      <c r="A8" s="11" t="s">
        <v>475</v>
      </c>
      <c r="B8" s="11" t="s">
        <v>242</v>
      </c>
      <c r="E8" s="41">
        <v>44459.504062499997</v>
      </c>
    </row>
    <row r="9" spans="1:5" x14ac:dyDescent="0.35">
      <c r="A9" s="11" t="s">
        <v>475</v>
      </c>
      <c r="B9" s="11" t="s">
        <v>265</v>
      </c>
      <c r="E9" s="41">
        <v>44459.504062499997</v>
      </c>
    </row>
    <row r="10" spans="1:5" x14ac:dyDescent="0.35">
      <c r="A10" s="11" t="s">
        <v>475</v>
      </c>
      <c r="B10" s="11" t="s">
        <v>265</v>
      </c>
      <c r="E10" s="41">
        <v>44459.504062499997</v>
      </c>
    </row>
    <row r="11" spans="1:5" x14ac:dyDescent="0.35">
      <c r="A11" s="11" t="s">
        <v>475</v>
      </c>
      <c r="B11" s="11" t="s">
        <v>265</v>
      </c>
      <c r="E11" s="41">
        <v>44459.504062499997</v>
      </c>
    </row>
    <row r="12" spans="1:5" x14ac:dyDescent="0.35">
      <c r="A12" s="11" t="s">
        <v>474</v>
      </c>
      <c r="B12" s="11" t="s">
        <v>265</v>
      </c>
      <c r="E12" s="41">
        <v>44459.504062499997</v>
      </c>
    </row>
    <row r="13" spans="1:5" x14ac:dyDescent="0.35">
      <c r="A13" s="11" t="s">
        <v>499</v>
      </c>
      <c r="B13" s="11" t="s">
        <v>235</v>
      </c>
      <c r="E13" s="41">
        <v>44459.504062499997</v>
      </c>
    </row>
    <row r="14" spans="1:5" x14ac:dyDescent="0.35">
      <c r="A14" s="11" t="s">
        <v>500</v>
      </c>
      <c r="B14" s="11" t="s">
        <v>495</v>
      </c>
      <c r="E14" s="41">
        <v>44459.504062499997</v>
      </c>
    </row>
    <row r="15" spans="1:5" x14ac:dyDescent="0.35">
      <c r="A15" s="11" t="s">
        <v>500</v>
      </c>
      <c r="B15" s="11" t="s">
        <v>472</v>
      </c>
      <c r="E15" s="41">
        <v>44459.504062499997</v>
      </c>
    </row>
    <row r="16" spans="1:5" x14ac:dyDescent="0.35">
      <c r="A16" s="11" t="s">
        <v>484</v>
      </c>
      <c r="B16" s="11" t="s">
        <v>472</v>
      </c>
      <c r="E16" s="41">
        <v>44459.504062499997</v>
      </c>
    </row>
    <row r="17" spans="1:5" x14ac:dyDescent="0.35">
      <c r="A17" s="11" t="s">
        <v>484</v>
      </c>
      <c r="B17" s="11" t="s">
        <v>233</v>
      </c>
      <c r="E17" s="41">
        <v>44459.504062499997</v>
      </c>
    </row>
    <row r="18" spans="1:5" x14ac:dyDescent="0.35">
      <c r="A18" s="11" t="s">
        <v>485</v>
      </c>
      <c r="B18" s="11" t="s">
        <v>233</v>
      </c>
      <c r="E18" s="41">
        <v>44459.504062499997</v>
      </c>
    </row>
    <row r="19" spans="1:5" x14ac:dyDescent="0.35">
      <c r="A19" s="11" t="s">
        <v>477</v>
      </c>
      <c r="B19" s="11" t="s">
        <v>234</v>
      </c>
      <c r="E19" s="41">
        <v>44459.504062499997</v>
      </c>
    </row>
    <row r="20" spans="1:5" x14ac:dyDescent="0.35">
      <c r="A20" s="11" t="s">
        <v>485</v>
      </c>
      <c r="B20" s="11" t="s">
        <v>256</v>
      </c>
      <c r="E20" s="41">
        <v>44459.504062499997</v>
      </c>
    </row>
    <row r="21" spans="1:5" x14ac:dyDescent="0.35">
      <c r="A21" s="11" t="s">
        <v>486</v>
      </c>
      <c r="B21" s="11" t="s">
        <v>234</v>
      </c>
      <c r="E21" s="41">
        <v>44459.504062499997</v>
      </c>
    </row>
    <row r="22" spans="1:5" x14ac:dyDescent="0.35">
      <c r="A22" s="11" t="s">
        <v>473</v>
      </c>
      <c r="B22" s="11" t="s">
        <v>257</v>
      </c>
      <c r="E22" s="41">
        <v>44459.504062499997</v>
      </c>
    </row>
    <row r="23" spans="1:5" x14ac:dyDescent="0.35">
      <c r="A23" s="11" t="s">
        <v>476</v>
      </c>
      <c r="B23" s="11" t="s">
        <v>465</v>
      </c>
      <c r="E23" s="41">
        <v>44459.504062499997</v>
      </c>
    </row>
    <row r="24" spans="1:5" x14ac:dyDescent="0.35">
      <c r="A24" s="11" t="s">
        <v>476</v>
      </c>
      <c r="B24" s="11" t="s">
        <v>465</v>
      </c>
      <c r="E24" s="41">
        <v>44459.504062499997</v>
      </c>
    </row>
    <row r="25" spans="1:5" x14ac:dyDescent="0.35">
      <c r="A25" s="11" t="s">
        <v>491</v>
      </c>
      <c r="B25" s="11" t="s">
        <v>465</v>
      </c>
      <c r="E25" s="41">
        <v>44459.504062499997</v>
      </c>
    </row>
    <row r="26" spans="1:5" x14ac:dyDescent="0.35">
      <c r="A26" s="11" t="s">
        <v>492</v>
      </c>
      <c r="B26" s="11" t="s">
        <v>487</v>
      </c>
      <c r="E26" s="41">
        <v>44459.504062499997</v>
      </c>
    </row>
    <row r="27" spans="1:5" x14ac:dyDescent="0.35">
      <c r="A27" s="11" t="s">
        <v>493</v>
      </c>
      <c r="B27" s="11" t="s">
        <v>488</v>
      </c>
      <c r="E27" s="41">
        <v>44459.504062499997</v>
      </c>
    </row>
    <row r="28" spans="1:5" x14ac:dyDescent="0.35">
      <c r="A28" s="11" t="s">
        <v>494</v>
      </c>
      <c r="B28" s="11" t="s">
        <v>489</v>
      </c>
      <c r="E28" s="41">
        <v>44459.504062499997</v>
      </c>
    </row>
    <row r="29" spans="1:5" x14ac:dyDescent="0.35">
      <c r="A29" s="11" t="s">
        <v>478</v>
      </c>
      <c r="B29" s="11" t="s">
        <v>490</v>
      </c>
      <c r="E29" s="41">
        <v>44459.504062499997</v>
      </c>
    </row>
    <row r="30" spans="1:5" x14ac:dyDescent="0.35">
      <c r="A30" s="11" t="s">
        <v>479</v>
      </c>
      <c r="B30" s="11" t="s">
        <v>448</v>
      </c>
      <c r="E30" s="41">
        <v>44459.504062499997</v>
      </c>
    </row>
    <row r="31" spans="1:5" x14ac:dyDescent="0.35">
      <c r="A31" s="11" t="s">
        <v>483</v>
      </c>
      <c r="B31" s="11" t="s">
        <v>449</v>
      </c>
      <c r="E31" s="41">
        <v>44459.504062499997</v>
      </c>
    </row>
    <row r="32" spans="1:5" x14ac:dyDescent="0.35">
      <c r="A32" s="11" t="s">
        <v>199</v>
      </c>
      <c r="B32" s="11" t="s">
        <v>173</v>
      </c>
      <c r="E32" s="41">
        <v>44459.504062499997</v>
      </c>
    </row>
    <row r="33" spans="1:5" x14ac:dyDescent="0.35">
      <c r="A33" s="11" t="s">
        <v>501</v>
      </c>
      <c r="B33" s="11" t="s">
        <v>175</v>
      </c>
      <c r="E33" s="41">
        <v>44459.504062499997</v>
      </c>
    </row>
    <row r="34" spans="1:5" x14ac:dyDescent="0.35">
      <c r="A34" s="11" t="s">
        <v>502</v>
      </c>
      <c r="B34" s="11" t="s">
        <v>176</v>
      </c>
      <c r="E34" s="41">
        <v>44459.504062499997</v>
      </c>
    </row>
    <row r="35" spans="1:5" x14ac:dyDescent="0.35">
      <c r="A35" s="11" t="s">
        <v>503</v>
      </c>
      <c r="B35" s="11" t="s">
        <v>437</v>
      </c>
      <c r="E35" s="41">
        <v>44459.504062499997</v>
      </c>
    </row>
    <row r="36" spans="1:5" x14ac:dyDescent="0.35">
      <c r="A36" s="11" t="s">
        <v>504</v>
      </c>
      <c r="B36" s="11" t="s">
        <v>438</v>
      </c>
      <c r="E36" s="41">
        <v>44459.504062499997</v>
      </c>
    </row>
    <row r="37" spans="1:5" x14ac:dyDescent="0.35">
      <c r="A37" s="11" t="s">
        <v>505</v>
      </c>
      <c r="B37" s="11" t="s">
        <v>458</v>
      </c>
      <c r="E37" s="41">
        <v>44459.504062499997</v>
      </c>
    </row>
    <row r="38" spans="1:5" x14ac:dyDescent="0.35">
      <c r="A38" s="11" t="s">
        <v>505</v>
      </c>
      <c r="B38" s="11" t="s">
        <v>458</v>
      </c>
      <c r="E38" s="41">
        <v>44459.504062499997</v>
      </c>
    </row>
    <row r="39" spans="1:5" x14ac:dyDescent="0.35">
      <c r="A39" s="11" t="s">
        <v>506</v>
      </c>
      <c r="B39" s="11" t="s">
        <v>459</v>
      </c>
      <c r="E39" s="41">
        <v>44459.504062499997</v>
      </c>
    </row>
    <row r="40" spans="1:5" x14ac:dyDescent="0.35">
      <c r="A40" s="11" t="s">
        <v>523</v>
      </c>
      <c r="B40" s="11" t="s">
        <v>518</v>
      </c>
      <c r="E40" s="41">
        <v>44459.504062499997</v>
      </c>
    </row>
    <row r="41" spans="1:5" x14ac:dyDescent="0.35">
      <c r="A41" s="11" t="s">
        <v>524</v>
      </c>
      <c r="B41" s="11" t="s">
        <v>519</v>
      </c>
      <c r="E41" s="41">
        <v>44459.504062499997</v>
      </c>
    </row>
    <row r="42" spans="1:5" x14ac:dyDescent="0.35">
      <c r="A42" s="11" t="s">
        <v>525</v>
      </c>
      <c r="B42" s="11" t="s">
        <v>520</v>
      </c>
      <c r="E42" s="41">
        <v>44459.504062499997</v>
      </c>
    </row>
    <row r="43" spans="1:5" x14ac:dyDescent="0.35">
      <c r="A43" s="11" t="s">
        <v>526</v>
      </c>
      <c r="B43" s="11" t="s">
        <v>173</v>
      </c>
      <c r="E43" s="41">
        <v>44459.504062499997</v>
      </c>
    </row>
    <row r="44" spans="1:5" x14ac:dyDescent="0.35">
      <c r="A44" s="11" t="s">
        <v>527</v>
      </c>
      <c r="B44" s="11" t="s">
        <v>171</v>
      </c>
      <c r="E44" s="41">
        <v>44459.504062499997</v>
      </c>
    </row>
    <row r="45" spans="1:5" x14ac:dyDescent="0.35">
      <c r="A45" s="11" t="s">
        <v>507</v>
      </c>
      <c r="B45" s="11" t="s">
        <v>458</v>
      </c>
      <c r="E45" s="41">
        <v>44459.504062499997</v>
      </c>
    </row>
    <row r="46" spans="1:5" x14ac:dyDescent="0.35">
      <c r="A46" s="11" t="s">
        <v>507</v>
      </c>
      <c r="B46" s="11" t="s">
        <v>458</v>
      </c>
      <c r="E46" s="41">
        <v>44459.504062499997</v>
      </c>
    </row>
    <row r="47" spans="1:5" x14ac:dyDescent="0.35">
      <c r="A47" s="11" t="s">
        <v>508</v>
      </c>
      <c r="B47" s="11" t="s">
        <v>459</v>
      </c>
      <c r="E47" s="41">
        <v>44459.504062499997</v>
      </c>
    </row>
    <row r="48" spans="1:5" x14ac:dyDescent="0.35">
      <c r="A48" s="11" t="s">
        <v>508</v>
      </c>
      <c r="B48" s="11" t="s">
        <v>459</v>
      </c>
      <c r="E48" s="41">
        <v>44459.504062499997</v>
      </c>
    </row>
    <row r="49" spans="1:5" x14ac:dyDescent="0.35">
      <c r="A49" s="11" t="s">
        <v>528</v>
      </c>
      <c r="B49" s="11" t="s">
        <v>513</v>
      </c>
      <c r="E49" s="41">
        <v>44459.504062499997</v>
      </c>
    </row>
    <row r="50" spans="1:5" x14ac:dyDescent="0.35">
      <c r="A50" s="11" t="s">
        <v>529</v>
      </c>
      <c r="B50" s="11" t="s">
        <v>514</v>
      </c>
      <c r="E50" s="41">
        <v>44459.504062499997</v>
      </c>
    </row>
    <row r="51" spans="1:5" x14ac:dyDescent="0.35">
      <c r="A51" s="11" t="s">
        <v>530</v>
      </c>
      <c r="B51" s="11" t="s">
        <v>443</v>
      </c>
      <c r="E51" s="41">
        <v>44459.504062499997</v>
      </c>
    </row>
    <row r="52" spans="1:5" x14ac:dyDescent="0.35">
      <c r="A52" s="11" t="s">
        <v>531</v>
      </c>
      <c r="B52" s="11" t="s">
        <v>443</v>
      </c>
      <c r="E52" s="41">
        <v>44459.504062499997</v>
      </c>
    </row>
    <row r="53" spans="1:5" x14ac:dyDescent="0.35">
      <c r="A53" s="11" t="s">
        <v>531</v>
      </c>
      <c r="B53" s="11" t="s">
        <v>443</v>
      </c>
      <c r="E53" s="41">
        <v>44459.504062499997</v>
      </c>
    </row>
    <row r="54" spans="1:5" x14ac:dyDescent="0.35">
      <c r="A54" s="11" t="s">
        <v>532</v>
      </c>
      <c r="B54" s="11" t="s">
        <v>443</v>
      </c>
      <c r="E54" s="41">
        <v>44459.504062499997</v>
      </c>
    </row>
    <row r="55" spans="1:5" x14ac:dyDescent="0.35">
      <c r="A55" s="11" t="s">
        <v>533</v>
      </c>
      <c r="B55" s="11" t="s">
        <v>443</v>
      </c>
      <c r="E55" s="41">
        <v>44459.504062499997</v>
      </c>
    </row>
    <row r="56" spans="1:5" x14ac:dyDescent="0.35">
      <c r="A56" s="11" t="s">
        <v>534</v>
      </c>
      <c r="B56" s="11" t="s">
        <v>444</v>
      </c>
      <c r="E56" s="41">
        <v>44459.504062499997</v>
      </c>
    </row>
    <row r="57" spans="1:5" x14ac:dyDescent="0.35">
      <c r="A57" s="11" t="s">
        <v>535</v>
      </c>
      <c r="B57" s="11" t="s">
        <v>444</v>
      </c>
      <c r="E57" s="41">
        <v>44459.504062499997</v>
      </c>
    </row>
    <row r="58" spans="1:5" x14ac:dyDescent="0.35">
      <c r="A58" s="11" t="s">
        <v>536</v>
      </c>
      <c r="B58" s="11" t="s">
        <v>444</v>
      </c>
      <c r="E58" s="41">
        <v>44459.504062499997</v>
      </c>
    </row>
    <row r="59" spans="1:5" x14ac:dyDescent="0.35">
      <c r="A59" s="11" t="s">
        <v>537</v>
      </c>
      <c r="B59" s="11" t="s">
        <v>444</v>
      </c>
      <c r="E59" s="41">
        <v>44459.504062499997</v>
      </c>
    </row>
    <row r="60" spans="1:5" x14ac:dyDescent="0.35">
      <c r="A60" s="11" t="s">
        <v>538</v>
      </c>
      <c r="B60" s="11" t="s">
        <v>179</v>
      </c>
      <c r="E60" s="41">
        <v>44459.504062499997</v>
      </c>
    </row>
    <row r="61" spans="1:5" x14ac:dyDescent="0.35">
      <c r="A61" s="11" t="s">
        <v>539</v>
      </c>
      <c r="B61" s="11" t="s">
        <v>179</v>
      </c>
      <c r="E61" s="41">
        <v>44459.504062499997</v>
      </c>
    </row>
    <row r="62" spans="1:5" x14ac:dyDescent="0.35">
      <c r="A62" s="11" t="s">
        <v>539</v>
      </c>
      <c r="B62" s="11" t="s">
        <v>179</v>
      </c>
      <c r="E62" s="41">
        <v>44459.504062499997</v>
      </c>
    </row>
    <row r="63" spans="1:5" x14ac:dyDescent="0.35">
      <c r="A63" s="11" t="s">
        <v>540</v>
      </c>
      <c r="B63" s="11" t="s">
        <v>179</v>
      </c>
      <c r="E63" s="41">
        <v>44459.504062499997</v>
      </c>
    </row>
    <row r="64" spans="1:5" x14ac:dyDescent="0.35">
      <c r="A64" s="11" t="s">
        <v>541</v>
      </c>
      <c r="B64" s="11" t="s">
        <v>179</v>
      </c>
      <c r="E64" s="41">
        <v>44459.504062499997</v>
      </c>
    </row>
    <row r="65" spans="1:5" x14ac:dyDescent="0.35">
      <c r="A65" s="11" t="s">
        <v>542</v>
      </c>
      <c r="B65" s="11" t="s">
        <v>173</v>
      </c>
      <c r="E65" s="41">
        <v>44459.504062499997</v>
      </c>
    </row>
    <row r="66" spans="1:5" x14ac:dyDescent="0.35">
      <c r="A66" s="11" t="s">
        <v>543</v>
      </c>
      <c r="B66" s="11" t="s">
        <v>173</v>
      </c>
      <c r="E66" s="41">
        <v>44459.504062499997</v>
      </c>
    </row>
    <row r="67" spans="1:5" x14ac:dyDescent="0.35">
      <c r="A67" s="11" t="s">
        <v>544</v>
      </c>
      <c r="B67" s="11" t="s">
        <v>496</v>
      </c>
      <c r="E67" s="41">
        <v>44459.504062499997</v>
      </c>
    </row>
    <row r="68" spans="1:5" x14ac:dyDescent="0.35">
      <c r="A68" s="11" t="s">
        <v>545</v>
      </c>
      <c r="B68" s="11" t="s">
        <v>497</v>
      </c>
      <c r="E68" s="41">
        <v>44459.504062499997</v>
      </c>
    </row>
    <row r="69" spans="1:5" x14ac:dyDescent="0.35">
      <c r="A69" s="11" t="s">
        <v>546</v>
      </c>
      <c r="B69" s="11" t="s">
        <v>498</v>
      </c>
      <c r="E69" s="41">
        <v>44459.504062499997</v>
      </c>
    </row>
    <row r="70" spans="1:5" x14ac:dyDescent="0.35">
      <c r="A70" s="11" t="s">
        <v>547</v>
      </c>
      <c r="B70" s="11" t="s">
        <v>466</v>
      </c>
      <c r="E70" s="41">
        <v>44459.504062499997</v>
      </c>
    </row>
    <row r="71" spans="1:5" x14ac:dyDescent="0.35">
      <c r="A71" s="11" t="s">
        <v>548</v>
      </c>
      <c r="B71" s="11" t="s">
        <v>468</v>
      </c>
      <c r="E71" s="41">
        <v>44459.504062499997</v>
      </c>
    </row>
    <row r="72" spans="1:5" x14ac:dyDescent="0.35">
      <c r="A72" s="11" t="s">
        <v>548</v>
      </c>
      <c r="B72" s="11" t="s">
        <v>468</v>
      </c>
      <c r="E72" s="41">
        <v>44459.504062499997</v>
      </c>
    </row>
    <row r="73" spans="1:5" x14ac:dyDescent="0.35">
      <c r="A73" s="11" t="s">
        <v>549</v>
      </c>
      <c r="B73" s="11" t="s">
        <v>469</v>
      </c>
      <c r="E73" s="41">
        <v>44459.504062499997</v>
      </c>
    </row>
    <row r="74" spans="1:5" x14ac:dyDescent="0.35">
      <c r="A74" s="11" t="s">
        <v>550</v>
      </c>
      <c r="B74" s="11" t="s">
        <v>468</v>
      </c>
      <c r="E74" s="41">
        <v>44459.504062499997</v>
      </c>
    </row>
    <row r="75" spans="1:5" x14ac:dyDescent="0.35">
      <c r="A75" s="11" t="s">
        <v>551</v>
      </c>
      <c r="B75" s="11" t="s">
        <v>469</v>
      </c>
      <c r="E75" s="41">
        <v>44459.504062499997</v>
      </c>
    </row>
    <row r="76" spans="1:5" x14ac:dyDescent="0.35">
      <c r="A76" s="11" t="s">
        <v>551</v>
      </c>
      <c r="B76" s="11" t="s">
        <v>469</v>
      </c>
      <c r="E76" s="41">
        <v>44459.504062499997</v>
      </c>
    </row>
    <row r="77" spans="1:5" x14ac:dyDescent="0.35">
      <c r="A77" s="11" t="s">
        <v>552</v>
      </c>
      <c r="B77" s="11" t="s">
        <v>467</v>
      </c>
      <c r="E77" s="41">
        <v>44459.504062499997</v>
      </c>
    </row>
    <row r="78" spans="1:5" x14ac:dyDescent="0.35">
      <c r="A78" s="11" t="s">
        <v>553</v>
      </c>
      <c r="B78" s="11" t="s">
        <v>251</v>
      </c>
      <c r="E78" s="41">
        <v>44459.504062499997</v>
      </c>
    </row>
    <row r="79" spans="1:5" x14ac:dyDescent="0.35">
      <c r="A79" s="11" t="s">
        <v>554</v>
      </c>
      <c r="B79" s="11" t="s">
        <v>251</v>
      </c>
      <c r="E79" s="41">
        <v>44459.504062499997</v>
      </c>
    </row>
    <row r="80" spans="1:5" x14ac:dyDescent="0.35">
      <c r="A80" s="11" t="s">
        <v>555</v>
      </c>
      <c r="B80" s="11" t="s">
        <v>451</v>
      </c>
      <c r="E80" s="41">
        <v>44459.504062499997</v>
      </c>
    </row>
    <row r="81" spans="1:5" x14ac:dyDescent="0.35">
      <c r="A81" s="11" t="s">
        <v>556</v>
      </c>
      <c r="B81" s="11" t="s">
        <v>452</v>
      </c>
      <c r="E81" s="41">
        <v>44459.504062499997</v>
      </c>
    </row>
    <row r="82" spans="1:5" x14ac:dyDescent="0.35">
      <c r="A82" s="11" t="s">
        <v>557</v>
      </c>
      <c r="B82" s="11" t="s">
        <v>453</v>
      </c>
      <c r="E82" s="41">
        <v>44459.504062499997</v>
      </c>
    </row>
    <row r="83" spans="1:5" x14ac:dyDescent="0.35">
      <c r="A83" s="11" t="s">
        <v>558</v>
      </c>
      <c r="B83" s="11" t="s">
        <v>173</v>
      </c>
      <c r="E83" s="41">
        <v>44459.504062499997</v>
      </c>
    </row>
    <row r="84" spans="1:5" x14ac:dyDescent="0.35">
      <c r="A84" s="11" t="s">
        <v>559</v>
      </c>
      <c r="B84" s="11" t="s">
        <v>496</v>
      </c>
      <c r="E84" s="41">
        <v>44459.504062499997</v>
      </c>
    </row>
    <row r="85" spans="1:5" x14ac:dyDescent="0.35">
      <c r="A85" s="11" t="s">
        <v>559</v>
      </c>
      <c r="B85" s="11" t="s">
        <v>496</v>
      </c>
      <c r="E85" s="41">
        <v>44459.504062499997</v>
      </c>
    </row>
    <row r="86" spans="1:5" x14ac:dyDescent="0.35">
      <c r="A86" s="11" t="s">
        <v>560</v>
      </c>
      <c r="B86" s="11" t="s">
        <v>439</v>
      </c>
      <c r="E86" s="41">
        <v>44459.504062499997</v>
      </c>
    </row>
    <row r="87" spans="1:5" x14ac:dyDescent="0.35">
      <c r="A87" s="11" t="s">
        <v>561</v>
      </c>
      <c r="B87" s="11" t="s">
        <v>179</v>
      </c>
      <c r="E87" s="41">
        <v>44459.504062499997</v>
      </c>
    </row>
    <row r="88" spans="1:5" x14ac:dyDescent="0.35">
      <c r="A88" s="11" t="s">
        <v>562</v>
      </c>
      <c r="B88" s="11" t="s">
        <v>179</v>
      </c>
      <c r="E88" s="41">
        <v>44459.504062499997</v>
      </c>
    </row>
    <row r="89" spans="1:5" x14ac:dyDescent="0.35">
      <c r="A89" s="11" t="s">
        <v>562</v>
      </c>
      <c r="B89" s="11" t="s">
        <v>179</v>
      </c>
      <c r="E89" s="41">
        <v>44459.504062499997</v>
      </c>
    </row>
    <row r="90" spans="1:5" x14ac:dyDescent="0.35">
      <c r="A90" s="11" t="s">
        <v>563</v>
      </c>
      <c r="B90" s="11" t="s">
        <v>179</v>
      </c>
      <c r="E90" s="41">
        <v>44459.504062499997</v>
      </c>
    </row>
    <row r="91" spans="1:5" x14ac:dyDescent="0.35">
      <c r="A91" s="11" t="s">
        <v>564</v>
      </c>
      <c r="B91" s="11" t="s">
        <v>179</v>
      </c>
      <c r="E91" s="41">
        <v>44459.504062499997</v>
      </c>
    </row>
    <row r="92" spans="1:5" x14ac:dyDescent="0.35">
      <c r="A92" s="11" t="s">
        <v>565</v>
      </c>
      <c r="B92" s="11" t="s">
        <v>258</v>
      </c>
      <c r="E92" s="41">
        <v>44459.504062499997</v>
      </c>
    </row>
    <row r="93" spans="1:5" x14ac:dyDescent="0.35">
      <c r="A93" s="11" t="s">
        <v>566</v>
      </c>
      <c r="B93" s="11" t="s">
        <v>259</v>
      </c>
      <c r="E93" s="41">
        <v>44459.504062499997</v>
      </c>
    </row>
    <row r="94" spans="1:5" x14ac:dyDescent="0.35">
      <c r="A94" s="11" t="s">
        <v>566</v>
      </c>
      <c r="B94" s="11" t="s">
        <v>259</v>
      </c>
      <c r="E94" s="41">
        <v>44459.504062499997</v>
      </c>
    </row>
    <row r="95" spans="1:5" x14ac:dyDescent="0.35">
      <c r="A95" s="11" t="s">
        <v>567</v>
      </c>
      <c r="B95" s="11" t="s">
        <v>240</v>
      </c>
      <c r="E95" s="41">
        <v>44459.504062499997</v>
      </c>
    </row>
    <row r="96" spans="1:5" x14ac:dyDescent="0.35">
      <c r="A96" s="11" t="s">
        <v>567</v>
      </c>
      <c r="B96" s="11" t="s">
        <v>240</v>
      </c>
      <c r="E96" s="41">
        <v>44459.504062499997</v>
      </c>
    </row>
    <row r="97" spans="1:5" x14ac:dyDescent="0.35">
      <c r="A97" s="11" t="s">
        <v>567</v>
      </c>
      <c r="B97" s="11" t="s">
        <v>240</v>
      </c>
      <c r="E97" s="41">
        <v>44459.504062499997</v>
      </c>
    </row>
    <row r="98" spans="1:5" x14ac:dyDescent="0.35">
      <c r="A98" s="11" t="s">
        <v>567</v>
      </c>
      <c r="B98" s="11" t="s">
        <v>240</v>
      </c>
      <c r="E98" s="41">
        <v>44459.504062499997</v>
      </c>
    </row>
    <row r="99" spans="1:5" x14ac:dyDescent="0.35">
      <c r="A99" s="11" t="s">
        <v>568</v>
      </c>
      <c r="B99" s="11" t="s">
        <v>241</v>
      </c>
      <c r="E99" s="41">
        <v>44459.504062499997</v>
      </c>
    </row>
    <row r="100" spans="1:5" x14ac:dyDescent="0.35">
      <c r="A100" s="11" t="s">
        <v>568</v>
      </c>
      <c r="B100" s="11" t="s">
        <v>241</v>
      </c>
      <c r="E100" s="41">
        <v>44459.504062499997</v>
      </c>
    </row>
    <row r="101" spans="1:5" x14ac:dyDescent="0.35">
      <c r="A101" s="11" t="s">
        <v>569</v>
      </c>
      <c r="B101" s="11" t="s">
        <v>241</v>
      </c>
      <c r="E101" s="41">
        <v>44459.504062499997</v>
      </c>
    </row>
    <row r="102" spans="1:5" x14ac:dyDescent="0.35">
      <c r="A102" t="s">
        <v>576</v>
      </c>
      <c r="B102" s="11" t="s">
        <v>577</v>
      </c>
      <c r="E102" s="41">
        <v>44459.608171296299</v>
      </c>
    </row>
    <row r="103" spans="1:5" x14ac:dyDescent="0.35">
      <c r="A103" t="s">
        <v>575</v>
      </c>
      <c r="B103" t="s">
        <v>447</v>
      </c>
      <c r="C103">
        <v>151242</v>
      </c>
      <c r="E103" s="41">
        <v>44460.584849537037</v>
      </c>
    </row>
    <row r="104" spans="1:5" x14ac:dyDescent="0.35">
      <c r="A104" s="11" t="s">
        <v>634</v>
      </c>
      <c r="B104" s="11" t="s">
        <v>316</v>
      </c>
      <c r="E104" s="41">
        <v>44826.559849537036</v>
      </c>
    </row>
    <row r="105" spans="1:5" x14ac:dyDescent="0.35">
      <c r="A105" s="11" t="s">
        <v>635</v>
      </c>
      <c r="B105" s="11" t="s">
        <v>316</v>
      </c>
      <c r="E105" s="41">
        <v>44826.559872685182</v>
      </c>
    </row>
    <row r="106" spans="1:5" x14ac:dyDescent="0.35">
      <c r="A106" s="11" t="s">
        <v>635</v>
      </c>
      <c r="B106" s="11" t="s">
        <v>316</v>
      </c>
      <c r="E106" s="41">
        <v>44826.559907407405</v>
      </c>
    </row>
    <row r="107" spans="1:5" x14ac:dyDescent="0.35">
      <c r="A107" s="11" t="s">
        <v>636</v>
      </c>
      <c r="B107" s="11" t="s">
        <v>623</v>
      </c>
      <c r="E107" s="41">
        <v>44826.559918981482</v>
      </c>
    </row>
    <row r="108" spans="1:5" x14ac:dyDescent="0.35">
      <c r="A108" s="11" t="s">
        <v>637</v>
      </c>
      <c r="B108" s="11" t="s">
        <v>571</v>
      </c>
      <c r="E108" s="41">
        <v>44826.559965277775</v>
      </c>
    </row>
    <row r="109" spans="1:5" x14ac:dyDescent="0.35">
      <c r="A109" s="11" t="s">
        <v>638</v>
      </c>
      <c r="B109" s="11" t="s">
        <v>571</v>
      </c>
      <c r="E109" s="41">
        <v>44826.559988425928</v>
      </c>
    </row>
    <row r="110" spans="1:5" x14ac:dyDescent="0.35">
      <c r="A110" s="11" t="s">
        <v>639</v>
      </c>
      <c r="B110" s="11" t="s">
        <v>571</v>
      </c>
      <c r="E110" s="41">
        <v>44826.560023148151</v>
      </c>
    </row>
    <row r="111" spans="1:5" x14ac:dyDescent="0.35">
      <c r="A111" s="11" t="s">
        <v>649</v>
      </c>
      <c r="B111" s="11" t="s">
        <v>625</v>
      </c>
      <c r="E111" s="41">
        <v>44826.560081018521</v>
      </c>
    </row>
    <row r="112" spans="1:5" x14ac:dyDescent="0.35">
      <c r="A112" s="11" t="s">
        <v>649</v>
      </c>
      <c r="B112" s="11" t="s">
        <v>625</v>
      </c>
      <c r="E112" s="41">
        <v>44826.560104166667</v>
      </c>
    </row>
    <row r="113" spans="1:5" x14ac:dyDescent="0.35">
      <c r="A113" s="11" t="s">
        <v>646</v>
      </c>
      <c r="B113" s="11" t="s">
        <v>624</v>
      </c>
      <c r="E113" s="41">
        <v>44830.442824074074</v>
      </c>
    </row>
    <row r="114" spans="1:5" x14ac:dyDescent="0.35">
      <c r="A114" s="11" t="s">
        <v>647</v>
      </c>
      <c r="B114" s="11" t="s">
        <v>624</v>
      </c>
      <c r="E114" s="41">
        <v>44830.442847222221</v>
      </c>
    </row>
    <row r="115" spans="1:5" x14ac:dyDescent="0.35">
      <c r="A115" s="11" t="s">
        <v>647</v>
      </c>
      <c r="B115" s="11" t="s">
        <v>624</v>
      </c>
      <c r="E115" s="41">
        <v>44830.442870370367</v>
      </c>
    </row>
    <row r="116" spans="1:5" x14ac:dyDescent="0.35">
      <c r="A116" s="11" t="s">
        <v>641</v>
      </c>
      <c r="B116" s="11" t="s">
        <v>606</v>
      </c>
      <c r="E116" s="41">
        <v>44830.443229166667</v>
      </c>
    </row>
    <row r="117" spans="1:5" x14ac:dyDescent="0.35">
      <c r="A117" s="11" t="s">
        <v>642</v>
      </c>
      <c r="B117" s="11" t="s">
        <v>571</v>
      </c>
      <c r="E117" s="41">
        <v>44830.443287037036</v>
      </c>
    </row>
    <row r="118" spans="1:5" x14ac:dyDescent="0.35">
      <c r="A118" s="11" t="s">
        <v>642</v>
      </c>
      <c r="B118" s="11" t="s">
        <v>571</v>
      </c>
      <c r="E118" s="41">
        <v>44830.443298611113</v>
      </c>
    </row>
    <row r="119" spans="1:5" x14ac:dyDescent="0.35">
      <c r="A119" s="11" t="s">
        <v>640</v>
      </c>
      <c r="B119" s="11" t="s">
        <v>467</v>
      </c>
      <c r="E119" s="41">
        <v>44839.358020833337</v>
      </c>
    </row>
    <row r="120" spans="1:5" x14ac:dyDescent="0.35">
      <c r="A120" s="11" t="s">
        <v>640</v>
      </c>
      <c r="B120" s="11" t="s">
        <v>467</v>
      </c>
      <c r="E120" s="41">
        <v>44839.358043981483</v>
      </c>
    </row>
    <row r="121" spans="1:5" x14ac:dyDescent="0.35">
      <c r="A121" s="11" t="s">
        <v>643</v>
      </c>
      <c r="B121" s="11" t="s">
        <v>443</v>
      </c>
      <c r="E121" s="41">
        <v>44839.358113425929</v>
      </c>
    </row>
    <row r="122" spans="1:5" x14ac:dyDescent="0.35">
      <c r="A122" s="11" t="s">
        <v>644</v>
      </c>
      <c r="B122" s="11" t="s">
        <v>443</v>
      </c>
      <c r="E122" s="41">
        <v>44839.358182870368</v>
      </c>
    </row>
    <row r="123" spans="1:5" x14ac:dyDescent="0.35">
      <c r="A123" s="11" t="s">
        <v>651</v>
      </c>
      <c r="B123" s="11" t="s">
        <v>262</v>
      </c>
      <c r="E123" s="41">
        <v>44839.358287037037</v>
      </c>
    </row>
    <row r="124" spans="1:5" x14ac:dyDescent="0.35">
      <c r="A124" s="11" t="s">
        <v>652</v>
      </c>
      <c r="B124" s="11" t="s">
        <v>629</v>
      </c>
      <c r="E124" s="41">
        <v>44839.358368055553</v>
      </c>
    </row>
    <row r="125" spans="1:5" x14ac:dyDescent="0.35">
      <c r="A125" s="11" t="s">
        <v>645</v>
      </c>
      <c r="B125" s="11" t="s">
        <v>572</v>
      </c>
      <c r="E125" s="41">
        <v>44839.358425925922</v>
      </c>
    </row>
    <row r="126" spans="1:5" x14ac:dyDescent="0.35">
      <c r="A126" s="11" t="s">
        <v>648</v>
      </c>
      <c r="B126" s="11" t="s">
        <v>572</v>
      </c>
      <c r="E126" s="41">
        <v>44839.358449074076</v>
      </c>
    </row>
    <row r="127" spans="1:5" x14ac:dyDescent="0.35">
      <c r="A127" s="11" t="s">
        <v>650</v>
      </c>
      <c r="B127" s="11" t="s">
        <v>317</v>
      </c>
      <c r="E127" s="41">
        <v>44839.359363425923</v>
      </c>
    </row>
    <row r="128" spans="1:5" x14ac:dyDescent="0.35">
      <c r="A128" s="11" t="s">
        <v>657</v>
      </c>
      <c r="B128" s="11" t="s">
        <v>443</v>
      </c>
      <c r="E128" s="41">
        <v>44839.3594212963</v>
      </c>
    </row>
    <row r="129" spans="1:5" x14ac:dyDescent="0.35">
      <c r="A129" s="11" t="s">
        <v>658</v>
      </c>
      <c r="B129" s="11" t="s">
        <v>262</v>
      </c>
      <c r="E129" s="41">
        <v>44839.359444444446</v>
      </c>
    </row>
    <row r="130" spans="1:5" x14ac:dyDescent="0.35">
      <c r="A130" s="11" t="s">
        <v>659</v>
      </c>
      <c r="B130" s="11" t="s">
        <v>262</v>
      </c>
      <c r="E130" s="41">
        <v>44839.359456018516</v>
      </c>
    </row>
    <row r="131" spans="1:5" x14ac:dyDescent="0.35">
      <c r="A131" s="11" t="s">
        <v>653</v>
      </c>
      <c r="B131" s="11" t="s">
        <v>305</v>
      </c>
      <c r="E131" s="41">
        <v>44839.359571759262</v>
      </c>
    </row>
    <row r="132" spans="1:5" x14ac:dyDescent="0.35">
      <c r="A132" s="11" t="s">
        <v>667</v>
      </c>
      <c r="B132" s="11" t="s">
        <v>632</v>
      </c>
      <c r="E132" s="41">
        <v>44846.316296296296</v>
      </c>
    </row>
    <row r="133" spans="1:5" x14ac:dyDescent="0.35">
      <c r="A133" s="11" t="s">
        <v>667</v>
      </c>
      <c r="B133" s="11" t="s">
        <v>632</v>
      </c>
      <c r="E133" s="41">
        <v>44846.316319444442</v>
      </c>
    </row>
    <row r="134" spans="1:5" x14ac:dyDescent="0.35">
      <c r="A134" s="11" t="s">
        <v>663</v>
      </c>
      <c r="B134" s="11" t="s">
        <v>450</v>
      </c>
      <c r="E134" s="41">
        <v>44853.321238425924</v>
      </c>
    </row>
    <row r="135" spans="1:5" x14ac:dyDescent="0.35">
      <c r="A135" s="11" t="s">
        <v>663</v>
      </c>
      <c r="B135" s="11" t="s">
        <v>450</v>
      </c>
      <c r="E135" s="41">
        <v>44853.321273148147</v>
      </c>
    </row>
    <row r="136" spans="1:5" x14ac:dyDescent="0.35">
      <c r="A136" s="11" t="s">
        <v>663</v>
      </c>
      <c r="B136" s="11" t="s">
        <v>450</v>
      </c>
      <c r="E136" s="41">
        <v>44853.321296296293</v>
      </c>
    </row>
    <row r="137" spans="1:5" x14ac:dyDescent="0.35">
      <c r="A137" s="11" t="s">
        <v>663</v>
      </c>
      <c r="B137" s="11" t="s">
        <v>450</v>
      </c>
      <c r="E137" s="41">
        <v>44853.32135416667</v>
      </c>
    </row>
    <row r="138" spans="1:5" x14ac:dyDescent="0.35">
      <c r="A138" s="11" t="s">
        <v>664</v>
      </c>
      <c r="B138" s="11" t="s">
        <v>633</v>
      </c>
      <c r="E138" s="41">
        <v>44853.321400462963</v>
      </c>
    </row>
    <row r="139" spans="1:5" x14ac:dyDescent="0.35">
      <c r="A139" s="11" t="s">
        <v>664</v>
      </c>
      <c r="B139" s="11" t="s">
        <v>633</v>
      </c>
      <c r="E139" s="41">
        <v>44853.321435185186</v>
      </c>
    </row>
    <row r="140" spans="1:5" x14ac:dyDescent="0.35">
      <c r="A140" s="11" t="s">
        <v>668</v>
      </c>
      <c r="B140" s="11" t="s">
        <v>265</v>
      </c>
      <c r="E140" s="41">
        <v>44853.321620370371</v>
      </c>
    </row>
    <row r="141" spans="1:5" x14ac:dyDescent="0.35">
      <c r="A141" s="11" t="s">
        <v>668</v>
      </c>
      <c r="B141" s="11" t="s">
        <v>265</v>
      </c>
      <c r="E141" s="41">
        <v>44853.321655092594</v>
      </c>
    </row>
    <row r="142" spans="1:5" x14ac:dyDescent="0.35">
      <c r="A142" s="11" t="s">
        <v>668</v>
      </c>
      <c r="B142" s="11" t="s">
        <v>265</v>
      </c>
      <c r="E142" s="41">
        <v>44853.32167824074</v>
      </c>
    </row>
    <row r="143" spans="1:5" x14ac:dyDescent="0.35">
      <c r="A143" s="11" t="s">
        <v>668</v>
      </c>
      <c r="B143" s="11" t="s">
        <v>265</v>
      </c>
      <c r="E143" s="41">
        <v>44853.321712962963</v>
      </c>
    </row>
    <row r="144" spans="1:5" x14ac:dyDescent="0.35">
      <c r="A144" s="11" t="s">
        <v>660</v>
      </c>
      <c r="B144" s="11" t="s">
        <v>441</v>
      </c>
      <c r="E144" s="41">
        <v>44853.327048611114</v>
      </c>
    </row>
    <row r="145" spans="1:5" x14ac:dyDescent="0.35">
      <c r="A145" s="11" t="s">
        <v>660</v>
      </c>
      <c r="B145" s="11" t="s">
        <v>441</v>
      </c>
      <c r="E145" s="41">
        <v>44853.32707175926</v>
      </c>
    </row>
    <row r="146" spans="1:5" x14ac:dyDescent="0.35">
      <c r="A146" s="11" t="s">
        <v>660</v>
      </c>
      <c r="B146" s="11" t="s">
        <v>441</v>
      </c>
      <c r="E146" s="41">
        <v>44853.32708333333</v>
      </c>
    </row>
    <row r="147" spans="1:5" x14ac:dyDescent="0.35">
      <c r="A147" s="11" t="s">
        <v>655</v>
      </c>
      <c r="B147" s="11" t="s">
        <v>571</v>
      </c>
      <c r="E147" s="41">
        <v>44853.35429398148</v>
      </c>
    </row>
    <row r="148" spans="1:5" x14ac:dyDescent="0.35">
      <c r="A148" s="11" t="s">
        <v>671</v>
      </c>
      <c r="B148" s="11" t="s">
        <v>571</v>
      </c>
      <c r="E148" s="41">
        <v>44853.354328703703</v>
      </c>
    </row>
    <row r="149" spans="1:5" x14ac:dyDescent="0.35">
      <c r="A149" s="11" t="s">
        <v>676</v>
      </c>
      <c r="B149" s="11" t="s">
        <v>592</v>
      </c>
      <c r="E149" s="41">
        <v>44854.579768518517</v>
      </c>
    </row>
    <row r="150" spans="1:5" x14ac:dyDescent="0.35">
      <c r="A150" s="11" t="s">
        <v>676</v>
      </c>
      <c r="B150" s="11" t="s">
        <v>592</v>
      </c>
      <c r="E150" s="41">
        <v>44854.57980324074</v>
      </c>
    </row>
    <row r="151" spans="1:5" x14ac:dyDescent="0.35">
      <c r="A151" s="11" t="s">
        <v>691</v>
      </c>
      <c r="B151" s="11" t="s">
        <v>611</v>
      </c>
      <c r="E151" s="41">
        <v>44887.584814814814</v>
      </c>
    </row>
    <row r="152" spans="1:5" x14ac:dyDescent="0.35">
      <c r="A152" s="11" t="s">
        <v>672</v>
      </c>
      <c r="B152" s="11" t="s">
        <v>571</v>
      </c>
      <c r="E152" s="41">
        <v>44887.584849537037</v>
      </c>
    </row>
    <row r="153" spans="1:5" x14ac:dyDescent="0.35">
      <c r="A153" s="11" t="s">
        <v>677</v>
      </c>
      <c r="B153" s="11" t="s">
        <v>630</v>
      </c>
      <c r="E153" s="41">
        <v>44887.58489583333</v>
      </c>
    </row>
    <row r="154" spans="1:5" x14ac:dyDescent="0.35">
      <c r="A154" s="11" t="s">
        <v>678</v>
      </c>
      <c r="B154" s="11" t="s">
        <v>631</v>
      </c>
      <c r="E154" s="41">
        <v>44887.584918981483</v>
      </c>
    </row>
    <row r="155" spans="1:5" x14ac:dyDescent="0.35">
      <c r="A155" s="11" t="s">
        <v>670</v>
      </c>
      <c r="B155" s="11" t="s">
        <v>627</v>
      </c>
      <c r="E155" s="41">
        <v>44887.585011574076</v>
      </c>
    </row>
    <row r="156" spans="1:5" x14ac:dyDescent="0.35">
      <c r="A156" s="11" t="s">
        <v>692</v>
      </c>
      <c r="B156" s="11" t="s">
        <v>627</v>
      </c>
      <c r="E156" s="41">
        <v>44887.585023148145</v>
      </c>
    </row>
    <row r="157" spans="1:5" x14ac:dyDescent="0.35">
      <c r="A157" s="11" t="s">
        <v>692</v>
      </c>
      <c r="B157" s="11" t="s">
        <v>627</v>
      </c>
      <c r="E157" s="41">
        <v>44887.585046296299</v>
      </c>
    </row>
    <row r="158" spans="1:5" x14ac:dyDescent="0.35">
      <c r="A158" s="11" t="s">
        <v>693</v>
      </c>
      <c r="B158" s="11" t="s">
        <v>628</v>
      </c>
      <c r="E158" s="41">
        <v>44887.585081018522</v>
      </c>
    </row>
    <row r="159" spans="1:5" x14ac:dyDescent="0.35">
      <c r="A159" s="11" t="s">
        <v>673</v>
      </c>
      <c r="B159" s="11" t="s">
        <v>571</v>
      </c>
      <c r="E159" s="41">
        <v>44887.585104166668</v>
      </c>
    </row>
    <row r="160" spans="1:5" x14ac:dyDescent="0.35">
      <c r="A160" s="11" t="s">
        <v>674</v>
      </c>
      <c r="B160" s="11" t="s">
        <v>571</v>
      </c>
      <c r="E160" s="41">
        <v>44887.585138888891</v>
      </c>
    </row>
    <row r="161" spans="1:5" x14ac:dyDescent="0.35">
      <c r="A161" s="11" t="s">
        <v>654</v>
      </c>
      <c r="B161" s="11" t="s">
        <v>583</v>
      </c>
      <c r="E161" s="41">
        <v>44887.585231481484</v>
      </c>
    </row>
    <row r="162" spans="1:5" x14ac:dyDescent="0.35">
      <c r="A162" s="11" t="s">
        <v>694</v>
      </c>
      <c r="B162" s="11" t="s">
        <v>571</v>
      </c>
      <c r="E162" s="41">
        <v>44887.586435185185</v>
      </c>
    </row>
    <row r="163" spans="1:5" x14ac:dyDescent="0.35">
      <c r="A163" s="11" t="s">
        <v>682</v>
      </c>
      <c r="B163" s="11" t="s">
        <v>571</v>
      </c>
      <c r="E163" s="41">
        <v>44887.586458333331</v>
      </c>
    </row>
    <row r="164" spans="1:5" x14ac:dyDescent="0.35">
      <c r="A164" s="11" t="s">
        <v>700</v>
      </c>
      <c r="B164" s="11" t="s">
        <v>688</v>
      </c>
      <c r="E164" s="41">
        <v>44887.590057870373</v>
      </c>
    </row>
    <row r="165" spans="1:5" x14ac:dyDescent="0.35">
      <c r="A165" s="11" t="s">
        <v>700</v>
      </c>
      <c r="B165" s="11" t="s">
        <v>688</v>
      </c>
      <c r="E165" s="41">
        <v>44887.590104166666</v>
      </c>
    </row>
    <row r="166" spans="1:5" x14ac:dyDescent="0.35">
      <c r="A166" s="11" t="s">
        <v>707</v>
      </c>
      <c r="B166" s="11" t="s">
        <v>571</v>
      </c>
      <c r="E166" s="41">
        <v>44888.29855324074</v>
      </c>
    </row>
    <row r="167" spans="1:5" x14ac:dyDescent="0.35">
      <c r="A167" s="11" t="s">
        <v>706</v>
      </c>
      <c r="B167" s="11" t="s">
        <v>225</v>
      </c>
      <c r="E167" s="41">
        <v>44888.299537037034</v>
      </c>
    </row>
    <row r="168" spans="1:5" x14ac:dyDescent="0.35">
      <c r="A168" s="11" t="s">
        <v>706</v>
      </c>
      <c r="B168" s="11" t="s">
        <v>225</v>
      </c>
      <c r="E168" s="41">
        <v>44888.299560185187</v>
      </c>
    </row>
    <row r="169" spans="1:5" x14ac:dyDescent="0.35">
      <c r="A169" s="11" t="s">
        <v>695</v>
      </c>
      <c r="B169" s="11" t="s">
        <v>463</v>
      </c>
      <c r="E169" s="41">
        <v>44888.301562499997</v>
      </c>
    </row>
    <row r="170" spans="1:5" x14ac:dyDescent="0.35">
      <c r="A170" s="11" t="s">
        <v>696</v>
      </c>
      <c r="B170" s="11" t="s">
        <v>464</v>
      </c>
      <c r="E170" s="41">
        <v>44888.301585648151</v>
      </c>
    </row>
    <row r="171" spans="1:5" x14ac:dyDescent="0.35">
      <c r="A171" s="11" t="s">
        <v>697</v>
      </c>
      <c r="B171" s="11" t="s">
        <v>465</v>
      </c>
      <c r="E171" s="41">
        <v>44888.301608796297</v>
      </c>
    </row>
    <row r="172" spans="1:5" x14ac:dyDescent="0.35">
      <c r="A172" s="11" t="s">
        <v>701</v>
      </c>
      <c r="B172" s="11" t="s">
        <v>463</v>
      </c>
      <c r="E172" s="41">
        <v>44888.301701388889</v>
      </c>
    </row>
    <row r="173" spans="1:5" x14ac:dyDescent="0.35">
      <c r="A173" s="11" t="s">
        <v>702</v>
      </c>
      <c r="B173" s="11" t="s">
        <v>464</v>
      </c>
      <c r="E173" s="41">
        <v>44888.301736111112</v>
      </c>
    </row>
    <row r="174" spans="1:5" x14ac:dyDescent="0.35">
      <c r="A174" s="11" t="s">
        <v>703</v>
      </c>
      <c r="B174" s="11" t="s">
        <v>465</v>
      </c>
      <c r="E174" s="41">
        <v>44888.301770833335</v>
      </c>
    </row>
    <row r="175" spans="1:5" x14ac:dyDescent="0.35">
      <c r="A175" s="11" t="s">
        <v>712</v>
      </c>
      <c r="B175" s="11" t="s">
        <v>342</v>
      </c>
      <c r="E175" s="41">
        <v>44888.301898148151</v>
      </c>
    </row>
    <row r="176" spans="1:5" x14ac:dyDescent="0.35">
      <c r="A176" s="11" t="s">
        <v>713</v>
      </c>
      <c r="B176" s="11" t="s">
        <v>463</v>
      </c>
      <c r="E176" s="41">
        <v>44888.301921296297</v>
      </c>
    </row>
    <row r="177" spans="1:5" x14ac:dyDescent="0.35">
      <c r="A177" s="11" t="s">
        <v>714</v>
      </c>
      <c r="B177" s="11" t="s">
        <v>464</v>
      </c>
      <c r="E177" s="41">
        <v>44888.30195601852</v>
      </c>
    </row>
    <row r="178" spans="1:5" x14ac:dyDescent="0.35">
      <c r="A178" s="11" t="s">
        <v>715</v>
      </c>
      <c r="B178" s="11" t="s">
        <v>465</v>
      </c>
      <c r="E178" s="41">
        <v>44888.302048611113</v>
      </c>
    </row>
    <row r="179" spans="1:5" x14ac:dyDescent="0.35">
      <c r="A179" t="s">
        <v>683</v>
      </c>
      <c r="B179" t="s">
        <v>437</v>
      </c>
      <c r="C179">
        <v>106973</v>
      </c>
      <c r="E179" s="41">
        <v>44888.514918981484</v>
      </c>
    </row>
    <row r="180" spans="1:5" x14ac:dyDescent="0.35">
      <c r="A180" t="s">
        <v>683</v>
      </c>
      <c r="B180" t="s">
        <v>437</v>
      </c>
      <c r="C180">
        <v>106973</v>
      </c>
      <c r="D180" t="s">
        <v>80</v>
      </c>
      <c r="E180" s="41">
        <v>44888.516446759262</v>
      </c>
    </row>
    <row r="181" spans="1:5" x14ac:dyDescent="0.35">
      <c r="A181" t="s">
        <v>684</v>
      </c>
      <c r="B181" t="s">
        <v>438</v>
      </c>
      <c r="C181">
        <v>106985</v>
      </c>
      <c r="D181" t="s">
        <v>80</v>
      </c>
      <c r="E181" s="41">
        <v>44888.51666666667</v>
      </c>
    </row>
    <row r="182" spans="1:5" x14ac:dyDescent="0.35">
      <c r="A182" t="s">
        <v>685</v>
      </c>
      <c r="B182" t="s">
        <v>253</v>
      </c>
      <c r="C182">
        <v>106998</v>
      </c>
      <c r="D182" t="s">
        <v>80</v>
      </c>
      <c r="E182" s="41">
        <v>44888.516828703701</v>
      </c>
    </row>
    <row r="183" spans="1:5" x14ac:dyDescent="0.35">
      <c r="A183" t="s">
        <v>686</v>
      </c>
      <c r="B183" t="s">
        <v>581</v>
      </c>
      <c r="C183">
        <v>107013</v>
      </c>
      <c r="D183" t="s">
        <v>7</v>
      </c>
      <c r="E183" s="41">
        <v>44888.517013888886</v>
      </c>
    </row>
    <row r="184" spans="1:5" x14ac:dyDescent="0.35">
      <c r="A184" t="s">
        <v>686</v>
      </c>
      <c r="B184" t="s">
        <v>581</v>
      </c>
      <c r="C184">
        <v>107013</v>
      </c>
      <c r="D184" t="s">
        <v>7</v>
      </c>
      <c r="E184" s="41">
        <v>44888.517152777778</v>
      </c>
    </row>
    <row r="185" spans="1:5" x14ac:dyDescent="0.35">
      <c r="A185" t="s">
        <v>687</v>
      </c>
      <c r="B185" t="s">
        <v>582</v>
      </c>
      <c r="C185">
        <v>107014</v>
      </c>
      <c r="D185" t="s">
        <v>80</v>
      </c>
      <c r="E185" s="41">
        <v>44888.517326388886</v>
      </c>
    </row>
    <row r="186" spans="1:5" x14ac:dyDescent="0.35">
      <c r="A186" t="s">
        <v>698</v>
      </c>
      <c r="B186" t="s">
        <v>661</v>
      </c>
      <c r="C186">
        <v>192883</v>
      </c>
      <c r="D186" t="s">
        <v>80</v>
      </c>
      <c r="E186" s="41">
        <v>44888.517476851855</v>
      </c>
    </row>
    <row r="187" spans="1:5" x14ac:dyDescent="0.35">
      <c r="A187" t="s">
        <v>699</v>
      </c>
      <c r="B187" t="s">
        <v>662</v>
      </c>
      <c r="C187">
        <v>192884</v>
      </c>
      <c r="D187" t="s">
        <v>80</v>
      </c>
      <c r="E187" s="41">
        <v>44888.517557870371</v>
      </c>
    </row>
    <row r="188" spans="1:5" x14ac:dyDescent="0.35">
      <c r="A188" t="s">
        <v>699</v>
      </c>
      <c r="B188" t="s">
        <v>662</v>
      </c>
      <c r="C188">
        <v>192884</v>
      </c>
      <c r="D188" t="s">
        <v>80</v>
      </c>
      <c r="E188" s="41">
        <v>44888.517696759256</v>
      </c>
    </row>
    <row r="189" spans="1:5" x14ac:dyDescent="0.35">
      <c r="A189" t="s">
        <v>699</v>
      </c>
      <c r="B189" t="s">
        <v>662</v>
      </c>
      <c r="C189">
        <v>192884</v>
      </c>
      <c r="E189" s="41">
        <v>44888.519502314812</v>
      </c>
    </row>
    <row r="190" spans="1:5" x14ac:dyDescent="0.35">
      <c r="A190" t="s">
        <v>709</v>
      </c>
      <c r="B190" t="s">
        <v>305</v>
      </c>
      <c r="C190">
        <v>156913</v>
      </c>
      <c r="D190" t="s">
        <v>80</v>
      </c>
      <c r="E190" s="41">
        <v>44888.51972222222</v>
      </c>
    </row>
    <row r="191" spans="1:5" x14ac:dyDescent="0.35">
      <c r="A191" t="s">
        <v>710</v>
      </c>
      <c r="B191" t="s">
        <v>609</v>
      </c>
      <c r="C191">
        <v>176413</v>
      </c>
      <c r="D191" t="s">
        <v>25</v>
      </c>
      <c r="E191" s="41">
        <v>44888.520243055558</v>
      </c>
    </row>
    <row r="192" spans="1:5" x14ac:dyDescent="0.35">
      <c r="A192" t="s">
        <v>711</v>
      </c>
      <c r="B192" t="s">
        <v>305</v>
      </c>
      <c r="C192">
        <v>156913</v>
      </c>
      <c r="D192" t="s">
        <v>80</v>
      </c>
      <c r="E192" s="41">
        <v>44888.521087962959</v>
      </c>
    </row>
    <row r="193" spans="1:5" x14ac:dyDescent="0.35">
      <c r="A193" t="s">
        <v>716</v>
      </c>
      <c r="B193" t="s">
        <v>584</v>
      </c>
      <c r="C193">
        <v>164036</v>
      </c>
      <c r="D193" t="s">
        <v>80</v>
      </c>
      <c r="E193" s="41">
        <v>44888.521840277775</v>
      </c>
    </row>
    <row r="194" spans="1:5" x14ac:dyDescent="0.35">
      <c r="B194" t="s">
        <v>585</v>
      </c>
      <c r="C194">
        <v>164039</v>
      </c>
      <c r="D194" t="s">
        <v>80</v>
      </c>
      <c r="E194" s="41"/>
    </row>
    <row r="195" spans="1:5" x14ac:dyDescent="0.35">
      <c r="A195" t="s">
        <v>718</v>
      </c>
      <c r="B195" t="s">
        <v>586</v>
      </c>
      <c r="C195">
        <v>164043</v>
      </c>
      <c r="D195" t="s">
        <v>80</v>
      </c>
      <c r="E195" s="41">
        <v>44888.522060185183</v>
      </c>
    </row>
    <row r="196" spans="1:5" x14ac:dyDescent="0.35">
      <c r="A196" t="s">
        <v>719</v>
      </c>
      <c r="B196" t="s">
        <v>587</v>
      </c>
      <c r="C196">
        <v>164048</v>
      </c>
      <c r="D196" t="s">
        <v>80</v>
      </c>
      <c r="E196" s="41">
        <v>44888.522141203706</v>
      </c>
    </row>
    <row r="197" spans="1:5" x14ac:dyDescent="0.35">
      <c r="A197" t="s">
        <v>719</v>
      </c>
      <c r="B197" t="s">
        <v>587</v>
      </c>
      <c r="C197">
        <v>164048</v>
      </c>
      <c r="D197" t="s">
        <v>80</v>
      </c>
      <c r="E197" s="41">
        <v>44888.522222222222</v>
      </c>
    </row>
    <row r="198" spans="1:5" x14ac:dyDescent="0.35">
      <c r="A198" t="s">
        <v>717</v>
      </c>
      <c r="B198" t="s">
        <v>585</v>
      </c>
      <c r="C198">
        <v>164039</v>
      </c>
      <c r="D198" t="s">
        <v>80</v>
      </c>
      <c r="E198" s="41">
        <v>44888.523229166669</v>
      </c>
    </row>
    <row r="199" spans="1:5" x14ac:dyDescent="0.35">
      <c r="A199" t="s">
        <v>720</v>
      </c>
      <c r="B199" t="s">
        <v>588</v>
      </c>
      <c r="C199">
        <v>164049</v>
      </c>
      <c r="D199" t="s">
        <v>80</v>
      </c>
      <c r="E199" s="41">
        <v>44888.523414351854</v>
      </c>
    </row>
    <row r="200" spans="1:5" x14ac:dyDescent="0.35">
      <c r="A200" t="s">
        <v>704</v>
      </c>
      <c r="B200" t="s">
        <v>590</v>
      </c>
      <c r="C200">
        <v>160431</v>
      </c>
      <c r="D200" t="s">
        <v>80</v>
      </c>
      <c r="E200" s="41">
        <v>44888.52375</v>
      </c>
    </row>
    <row r="201" spans="1:5" x14ac:dyDescent="0.35">
      <c r="A201" t="s">
        <v>705</v>
      </c>
      <c r="B201" t="s">
        <v>591</v>
      </c>
      <c r="C201">
        <v>160449</v>
      </c>
      <c r="D201" t="s">
        <v>80</v>
      </c>
      <c r="E201" s="41">
        <v>44888.523923611108</v>
      </c>
    </row>
    <row r="202" spans="1:5" x14ac:dyDescent="0.35">
      <c r="A202" t="s">
        <v>679</v>
      </c>
      <c r="B202" t="s">
        <v>487</v>
      </c>
      <c r="C202">
        <v>160865</v>
      </c>
      <c r="D202" t="s">
        <v>80</v>
      </c>
      <c r="E202" s="41">
        <v>44888.524108796293</v>
      </c>
    </row>
    <row r="203" spans="1:5" x14ac:dyDescent="0.35">
      <c r="A203" t="s">
        <v>680</v>
      </c>
      <c r="B203" t="s">
        <v>489</v>
      </c>
      <c r="C203">
        <v>160869</v>
      </c>
      <c r="D203" t="s">
        <v>80</v>
      </c>
      <c r="E203" s="41">
        <v>44888.524247685185</v>
      </c>
    </row>
    <row r="204" spans="1:5" x14ac:dyDescent="0.35">
      <c r="A204" t="s">
        <v>681</v>
      </c>
      <c r="B204" t="s">
        <v>490</v>
      </c>
      <c r="C204">
        <v>160878</v>
      </c>
      <c r="D204" t="s">
        <v>80</v>
      </c>
      <c r="E204" s="41">
        <v>44888.524444444447</v>
      </c>
    </row>
    <row r="205" spans="1:5" x14ac:dyDescent="0.35">
      <c r="A205" s="11" t="s">
        <v>742</v>
      </c>
      <c r="B205" s="11" t="s">
        <v>571</v>
      </c>
      <c r="E205" s="41">
        <v>44893.431759259256</v>
      </c>
    </row>
    <row r="206" spans="1:5" x14ac:dyDescent="0.35">
      <c r="A206" s="11" t="s">
        <v>721</v>
      </c>
      <c r="B206" s="11" t="s">
        <v>571</v>
      </c>
      <c r="E206" s="41">
        <v>44893.431793981479</v>
      </c>
    </row>
    <row r="207" spans="1:5" x14ac:dyDescent="0.35">
      <c r="A207" t="s">
        <v>708</v>
      </c>
      <c r="B207" t="s">
        <v>238</v>
      </c>
      <c r="C207">
        <v>155681</v>
      </c>
      <c r="D207" t="s">
        <v>80</v>
      </c>
      <c r="E207" s="41">
        <v>44893.434953703705</v>
      </c>
    </row>
    <row r="208" spans="1:5" x14ac:dyDescent="0.35">
      <c r="A208" t="s">
        <v>708</v>
      </c>
      <c r="B208" t="s">
        <v>238</v>
      </c>
      <c r="C208">
        <v>155681</v>
      </c>
      <c r="D208" t="s">
        <v>80</v>
      </c>
      <c r="E208" s="41">
        <v>44893.435069444444</v>
      </c>
    </row>
    <row r="209" spans="1:5" x14ac:dyDescent="0.35">
      <c r="A209" s="11" t="s">
        <v>722</v>
      </c>
      <c r="B209" s="11" t="s">
        <v>688</v>
      </c>
      <c r="E209" s="41">
        <v>44893.436539351853</v>
      </c>
    </row>
    <row r="210" spans="1:5" x14ac:dyDescent="0.35">
      <c r="A210" s="11" t="s">
        <v>748</v>
      </c>
      <c r="B210" s="11" t="s">
        <v>669</v>
      </c>
      <c r="E210" s="41">
        <v>44902.567094907405</v>
      </c>
    </row>
    <row r="211" spans="1:5" x14ac:dyDescent="0.35">
      <c r="A211" s="11" t="s">
        <v>748</v>
      </c>
      <c r="B211" s="11" t="s">
        <v>669</v>
      </c>
      <c r="E211" s="41">
        <v>44902.567129629628</v>
      </c>
    </row>
    <row r="212" spans="1:5" x14ac:dyDescent="0.35">
      <c r="A212" s="11" t="s">
        <v>749</v>
      </c>
      <c r="B212" s="11" t="s">
        <v>450</v>
      </c>
      <c r="E212" s="41">
        <v>44902.567152777781</v>
      </c>
    </row>
    <row r="213" spans="1:5" x14ac:dyDescent="0.35">
      <c r="A213" s="11" t="s">
        <v>749</v>
      </c>
      <c r="B213" s="11" t="s">
        <v>450</v>
      </c>
      <c r="E213" s="41">
        <v>44902.567164351851</v>
      </c>
    </row>
    <row r="214" spans="1:5" x14ac:dyDescent="0.35">
      <c r="A214" s="11" t="s">
        <v>749</v>
      </c>
      <c r="B214" s="11" t="s">
        <v>450</v>
      </c>
      <c r="E214" s="41">
        <v>44902.567187499997</v>
      </c>
    </row>
    <row r="215" spans="1:5" x14ac:dyDescent="0.35">
      <c r="A215" s="11" t="s">
        <v>749</v>
      </c>
      <c r="B215" s="11" t="s">
        <v>450</v>
      </c>
      <c r="E215" s="41">
        <v>44902.567210648151</v>
      </c>
    </row>
    <row r="216" spans="1:5" x14ac:dyDescent="0.35">
      <c r="A216" s="11" t="s">
        <v>758</v>
      </c>
      <c r="B216" s="11" t="s">
        <v>665</v>
      </c>
      <c r="E216" s="41">
        <v>44936.568460648145</v>
      </c>
    </row>
    <row r="217" spans="1:5" x14ac:dyDescent="0.35">
      <c r="A217" s="11" t="s">
        <v>759</v>
      </c>
      <c r="B217" s="11" t="s">
        <v>666</v>
      </c>
      <c r="E217" s="41">
        <v>44936.568472222221</v>
      </c>
    </row>
    <row r="218" spans="1:5" x14ac:dyDescent="0.35">
      <c r="A218" s="11" t="s">
        <v>750</v>
      </c>
      <c r="B218" s="11" t="s">
        <v>305</v>
      </c>
      <c r="E218" s="41">
        <v>44936.568506944444</v>
      </c>
    </row>
    <row r="219" spans="1:5" x14ac:dyDescent="0.35">
      <c r="A219" s="11" t="s">
        <v>760</v>
      </c>
      <c r="B219" s="11" t="s">
        <v>666</v>
      </c>
      <c r="E219" s="41">
        <v>44936.568530092591</v>
      </c>
    </row>
    <row r="220" spans="1:5" x14ac:dyDescent="0.35">
      <c r="A220" s="11" t="s">
        <v>761</v>
      </c>
      <c r="B220" s="11" t="s">
        <v>626</v>
      </c>
      <c r="E220" s="41">
        <v>44936.568553240744</v>
      </c>
    </row>
    <row r="221" spans="1:5" x14ac:dyDescent="0.35">
      <c r="A221" s="11" t="s">
        <v>675</v>
      </c>
      <c r="B221" s="11" t="s">
        <v>462</v>
      </c>
      <c r="E221" s="41">
        <v>44936.568576388891</v>
      </c>
    </row>
    <row r="222" spans="1:5" x14ac:dyDescent="0.35">
      <c r="A222" s="11" t="s">
        <v>675</v>
      </c>
      <c r="B222" s="11" t="s">
        <v>462</v>
      </c>
      <c r="E222" s="41">
        <v>44936.568599537037</v>
      </c>
    </row>
    <row r="223" spans="1:5" x14ac:dyDescent="0.35">
      <c r="A223" s="11" t="s">
        <v>762</v>
      </c>
      <c r="B223" s="11" t="s">
        <v>467</v>
      </c>
      <c r="E223" s="41">
        <v>44936.568645833337</v>
      </c>
    </row>
    <row r="224" spans="1:5" x14ac:dyDescent="0.35">
      <c r="A224" s="11" t="s">
        <v>743</v>
      </c>
      <c r="B224" s="11" t="s">
        <v>488</v>
      </c>
      <c r="E224" s="41">
        <v>44936.568668981483</v>
      </c>
    </row>
    <row r="225" spans="1:5" x14ac:dyDescent="0.35">
      <c r="A225" s="11" t="s">
        <v>744</v>
      </c>
      <c r="B225" s="11" t="s">
        <v>444</v>
      </c>
      <c r="E225" s="41">
        <v>44936.568703703706</v>
      </c>
    </row>
    <row r="226" spans="1:5" x14ac:dyDescent="0.35">
      <c r="A226" s="11" t="s">
        <v>745</v>
      </c>
      <c r="B226" s="11" t="s">
        <v>179</v>
      </c>
      <c r="E226" s="41">
        <v>44936.568738425929</v>
      </c>
    </row>
    <row r="227" spans="1:5" x14ac:dyDescent="0.35">
      <c r="A227" s="11" t="s">
        <v>752</v>
      </c>
      <c r="B227" s="11" t="s">
        <v>448</v>
      </c>
      <c r="E227" s="41">
        <v>44936.568773148145</v>
      </c>
    </row>
    <row r="228" spans="1:5" x14ac:dyDescent="0.35">
      <c r="A228" s="11" t="s">
        <v>752</v>
      </c>
      <c r="B228" s="11" t="s">
        <v>448</v>
      </c>
      <c r="E228" s="41">
        <v>44936.568807870368</v>
      </c>
    </row>
    <row r="229" spans="1:5" x14ac:dyDescent="0.35">
      <c r="A229" s="11" t="s">
        <v>763</v>
      </c>
      <c r="B229" s="11" t="s">
        <v>689</v>
      </c>
      <c r="E229" s="41">
        <v>44936.568831018521</v>
      </c>
    </row>
    <row r="230" spans="1:5" x14ac:dyDescent="0.35">
      <c r="A230" s="11" t="s">
        <v>764</v>
      </c>
      <c r="B230" s="11" t="s">
        <v>690</v>
      </c>
      <c r="E230" s="41">
        <v>44936.568865740737</v>
      </c>
    </row>
    <row r="231" spans="1:5" x14ac:dyDescent="0.35">
      <c r="A231" s="11" t="s">
        <v>765</v>
      </c>
      <c r="B231" s="11" t="s">
        <v>238</v>
      </c>
      <c r="E231" s="41">
        <v>44936.56890046296</v>
      </c>
    </row>
    <row r="232" spans="1:5" x14ac:dyDescent="0.35">
      <c r="A232" s="11" t="s">
        <v>751</v>
      </c>
      <c r="B232" s="11" t="s">
        <v>610</v>
      </c>
      <c r="E232" s="41">
        <v>44936.568923611114</v>
      </c>
    </row>
    <row r="233" spans="1:5" x14ac:dyDescent="0.35">
      <c r="A233" s="11" t="s">
        <v>746</v>
      </c>
      <c r="B233" s="11" t="s">
        <v>444</v>
      </c>
      <c r="E233" s="41">
        <v>44936.569016203706</v>
      </c>
    </row>
    <row r="234" spans="1:5" x14ac:dyDescent="0.35">
      <c r="A234" s="11" t="s">
        <v>747</v>
      </c>
      <c r="B234" s="11" t="s">
        <v>179</v>
      </c>
      <c r="E234" s="41">
        <v>44936.569050925929</v>
      </c>
    </row>
    <row r="235" spans="1:5" x14ac:dyDescent="0.35">
      <c r="A235" s="11" t="s">
        <v>770</v>
      </c>
      <c r="B235" s="11" t="s">
        <v>573</v>
      </c>
      <c r="E235" s="41">
        <v>44936.56958333333</v>
      </c>
    </row>
    <row r="236" spans="1:5" x14ac:dyDescent="0.35">
      <c r="A236" s="11" t="s">
        <v>766</v>
      </c>
      <c r="B236" s="11" t="s">
        <v>573</v>
      </c>
      <c r="E236" s="41">
        <v>44936.569606481484</v>
      </c>
    </row>
    <row r="237" spans="1:5" x14ac:dyDescent="0.35">
      <c r="A237" s="11" t="s">
        <v>771</v>
      </c>
      <c r="B237" s="11" t="s">
        <v>573</v>
      </c>
      <c r="E237" s="41">
        <v>44936.56962962963</v>
      </c>
    </row>
    <row r="238" spans="1:5" x14ac:dyDescent="0.35">
      <c r="A238" s="11" t="s">
        <v>767</v>
      </c>
      <c r="B238" s="11" t="s">
        <v>573</v>
      </c>
      <c r="E238" s="41">
        <v>44936.569652777776</v>
      </c>
    </row>
    <row r="239" spans="1:5" x14ac:dyDescent="0.35">
      <c r="A239" s="11" t="s">
        <v>767</v>
      </c>
      <c r="B239" s="11" t="s">
        <v>573</v>
      </c>
      <c r="E239" s="41">
        <v>44936.569687499999</v>
      </c>
    </row>
    <row r="240" spans="1:5" x14ac:dyDescent="0.35">
      <c r="A240" s="11" t="s">
        <v>772</v>
      </c>
      <c r="B240" s="11" t="s">
        <v>573</v>
      </c>
      <c r="E240" s="41">
        <v>44936.569710648146</v>
      </c>
    </row>
    <row r="241" spans="1:5" x14ac:dyDescent="0.35">
      <c r="A241" s="11" t="s">
        <v>774</v>
      </c>
      <c r="B241" s="11" t="s">
        <v>627</v>
      </c>
      <c r="E241" s="41">
        <v>44936.569733796299</v>
      </c>
    </row>
    <row r="242" spans="1:5" x14ac:dyDescent="0.35">
      <c r="A242" s="11" t="s">
        <v>775</v>
      </c>
      <c r="B242" s="11" t="s">
        <v>573</v>
      </c>
      <c r="E242" s="41">
        <v>44936.569884259261</v>
      </c>
    </row>
    <row r="243" spans="1:5" x14ac:dyDescent="0.35">
      <c r="A243" s="11" t="s">
        <v>776</v>
      </c>
      <c r="B243" s="11" t="s">
        <v>573</v>
      </c>
      <c r="E243" s="41">
        <v>44936.569918981484</v>
      </c>
    </row>
    <row r="244" spans="1:5" x14ac:dyDescent="0.35">
      <c r="A244" s="11" t="s">
        <v>768</v>
      </c>
      <c r="B244" s="11" t="s">
        <v>453</v>
      </c>
      <c r="E244" s="41">
        <v>44936.570300925923</v>
      </c>
    </row>
    <row r="245" spans="1:5" x14ac:dyDescent="0.35">
      <c r="A245" s="11" t="s">
        <v>773</v>
      </c>
      <c r="B245" s="11" t="s">
        <v>626</v>
      </c>
      <c r="E245" s="41">
        <v>44936.570324074077</v>
      </c>
    </row>
    <row r="246" spans="1:5" x14ac:dyDescent="0.35">
      <c r="A246" s="11" t="s">
        <v>789</v>
      </c>
      <c r="B246" s="11" t="s">
        <v>467</v>
      </c>
      <c r="E246" s="41">
        <v>44958.31722222222</v>
      </c>
    </row>
    <row r="247" spans="1:5" x14ac:dyDescent="0.35">
      <c r="A247" s="11" t="s">
        <v>789</v>
      </c>
      <c r="B247" s="11" t="s">
        <v>467</v>
      </c>
      <c r="E247" s="41">
        <v>44958.317245370374</v>
      </c>
    </row>
    <row r="248" spans="1:5" x14ac:dyDescent="0.35">
      <c r="A248" s="11" t="s">
        <v>790</v>
      </c>
      <c r="B248" s="11" t="s">
        <v>467</v>
      </c>
      <c r="E248" s="41">
        <v>44958.317256944443</v>
      </c>
    </row>
    <row r="249" spans="1:5" x14ac:dyDescent="0.35">
      <c r="A249" s="11" t="s">
        <v>753</v>
      </c>
      <c r="B249" s="11" t="s">
        <v>467</v>
      </c>
      <c r="E249" s="41">
        <v>44958.317280092589</v>
      </c>
    </row>
    <row r="250" spans="1:5" x14ac:dyDescent="0.35">
      <c r="A250" s="11" t="s">
        <v>803</v>
      </c>
      <c r="B250" s="11" t="s">
        <v>440</v>
      </c>
      <c r="E250" s="41">
        <v>44966.339039351849</v>
      </c>
    </row>
    <row r="251" spans="1:5" x14ac:dyDescent="0.35">
      <c r="A251" s="11" t="s">
        <v>804</v>
      </c>
      <c r="B251" s="11" t="s">
        <v>440</v>
      </c>
      <c r="E251" s="41">
        <v>44966.339062500003</v>
      </c>
    </row>
    <row r="252" spans="1:5" x14ac:dyDescent="0.35">
      <c r="A252" s="11" t="s">
        <v>806</v>
      </c>
      <c r="B252" s="11" t="s">
        <v>440</v>
      </c>
      <c r="E252" s="41">
        <v>44973.282233796293</v>
      </c>
    </row>
    <row r="253" spans="1:5" x14ac:dyDescent="0.35">
      <c r="A253" s="11" t="s">
        <v>791</v>
      </c>
      <c r="B253" s="11" t="s">
        <v>572</v>
      </c>
      <c r="E253" s="41">
        <v>44973.282268518517</v>
      </c>
    </row>
    <row r="254" spans="1:5" x14ac:dyDescent="0.35">
      <c r="A254" s="11" t="s">
        <v>792</v>
      </c>
      <c r="B254" s="11" t="s">
        <v>573</v>
      </c>
      <c r="E254" s="41">
        <v>44973.28229166667</v>
      </c>
    </row>
    <row r="255" spans="1:5" x14ac:dyDescent="0.35">
      <c r="A255" s="11" t="s">
        <v>782</v>
      </c>
      <c r="B255" s="11" t="s">
        <v>571</v>
      </c>
      <c r="E255" s="41">
        <v>44973.282314814816</v>
      </c>
    </row>
    <row r="256" spans="1:5" x14ac:dyDescent="0.35">
      <c r="A256" s="11" t="s">
        <v>807</v>
      </c>
      <c r="B256" s="11" t="s">
        <v>572</v>
      </c>
      <c r="E256" s="41">
        <v>44973.282337962963</v>
      </c>
    </row>
    <row r="257" spans="1:5" x14ac:dyDescent="0.35">
      <c r="A257" s="11" t="s">
        <v>808</v>
      </c>
      <c r="B257" s="11" t="s">
        <v>573</v>
      </c>
      <c r="E257" s="41">
        <v>44973.282361111109</v>
      </c>
    </row>
    <row r="258" spans="1:5" x14ac:dyDescent="0.35">
      <c r="A258" s="11" t="s">
        <v>809</v>
      </c>
      <c r="B258" s="11" t="s">
        <v>572</v>
      </c>
      <c r="E258" s="41">
        <v>44973.282384259262</v>
      </c>
    </row>
    <row r="259" spans="1:5" x14ac:dyDescent="0.35">
      <c r="A259" s="11" t="s">
        <v>810</v>
      </c>
      <c r="B259" s="11" t="s">
        <v>573</v>
      </c>
      <c r="E259" s="41">
        <v>44973.282407407409</v>
      </c>
    </row>
    <row r="260" spans="1:5" x14ac:dyDescent="0.35">
      <c r="A260" s="11" t="s">
        <v>793</v>
      </c>
      <c r="B260" s="11" t="s">
        <v>572</v>
      </c>
      <c r="E260" s="41">
        <v>44973.282442129632</v>
      </c>
    </row>
    <row r="261" spans="1:5" x14ac:dyDescent="0.35">
      <c r="A261" s="11" t="s">
        <v>794</v>
      </c>
      <c r="B261" s="11" t="s">
        <v>573</v>
      </c>
      <c r="E261" s="41">
        <v>44973.282465277778</v>
      </c>
    </row>
    <row r="262" spans="1:5" x14ac:dyDescent="0.35">
      <c r="A262" s="11" t="s">
        <v>811</v>
      </c>
      <c r="B262" s="11" t="s">
        <v>460</v>
      </c>
      <c r="E262" s="41">
        <v>44973.282488425924</v>
      </c>
    </row>
    <row r="263" spans="1:5" x14ac:dyDescent="0.35">
      <c r="A263" s="11" t="s">
        <v>811</v>
      </c>
      <c r="B263" s="11" t="s">
        <v>460</v>
      </c>
      <c r="E263" s="41">
        <v>44973.282523148147</v>
      </c>
    </row>
    <row r="264" spans="1:5" x14ac:dyDescent="0.35">
      <c r="A264" s="11" t="s">
        <v>812</v>
      </c>
      <c r="B264" s="11" t="s">
        <v>461</v>
      </c>
      <c r="E264" s="41">
        <v>44973.282546296294</v>
      </c>
    </row>
    <row r="265" spans="1:5" x14ac:dyDescent="0.35">
      <c r="A265" s="11" t="s">
        <v>812</v>
      </c>
      <c r="B265" s="11" t="s">
        <v>461</v>
      </c>
      <c r="E265" s="41">
        <v>44973.282569444447</v>
      </c>
    </row>
    <row r="266" spans="1:5" x14ac:dyDescent="0.35">
      <c r="A266" s="11" t="s">
        <v>813</v>
      </c>
      <c r="B266" s="11" t="s">
        <v>572</v>
      </c>
      <c r="E266" s="41">
        <v>44973.282604166663</v>
      </c>
    </row>
    <row r="267" spans="1:5" x14ac:dyDescent="0.35">
      <c r="A267" s="11" t="s">
        <v>814</v>
      </c>
      <c r="B267" s="11" t="s">
        <v>573</v>
      </c>
      <c r="E267" s="41">
        <v>44973.282627314817</v>
      </c>
    </row>
    <row r="268" spans="1:5" x14ac:dyDescent="0.35">
      <c r="A268" s="11" t="s">
        <v>795</v>
      </c>
      <c r="B268" s="11" t="s">
        <v>572</v>
      </c>
      <c r="E268" s="41">
        <v>44973.28266203704</v>
      </c>
    </row>
    <row r="269" spans="1:5" x14ac:dyDescent="0.35">
      <c r="A269" s="11" t="s">
        <v>796</v>
      </c>
      <c r="B269" s="11" t="s">
        <v>573</v>
      </c>
      <c r="E269" s="41">
        <v>44973.282685185186</v>
      </c>
    </row>
    <row r="270" spans="1:5" x14ac:dyDescent="0.35">
      <c r="A270" s="11" t="s">
        <v>815</v>
      </c>
      <c r="B270" s="11" t="s">
        <v>571</v>
      </c>
      <c r="E270" s="41">
        <v>44973.282719907409</v>
      </c>
    </row>
    <row r="271" spans="1:5" x14ac:dyDescent="0.35">
      <c r="A271" s="11" t="s">
        <v>805</v>
      </c>
      <c r="B271" s="11" t="s">
        <v>441</v>
      </c>
      <c r="E271" s="41">
        <v>44973.282754629632</v>
      </c>
    </row>
    <row r="272" spans="1:5" x14ac:dyDescent="0.35">
      <c r="A272" s="11" t="s">
        <v>805</v>
      </c>
      <c r="B272" s="11" t="s">
        <v>441</v>
      </c>
      <c r="E272" s="41">
        <v>44973.282789351855</v>
      </c>
    </row>
    <row r="273" spans="1:5" x14ac:dyDescent="0.35">
      <c r="A273" s="11" t="s">
        <v>797</v>
      </c>
      <c r="B273" s="11" t="s">
        <v>572</v>
      </c>
      <c r="E273" s="41">
        <v>44973.282812500001</v>
      </c>
    </row>
    <row r="274" spans="1:5" x14ac:dyDescent="0.35">
      <c r="A274" s="11" t="s">
        <v>797</v>
      </c>
      <c r="B274" s="11" t="s">
        <v>572</v>
      </c>
      <c r="E274" s="41">
        <v>44973.282847222225</v>
      </c>
    </row>
    <row r="275" spans="1:5" x14ac:dyDescent="0.35">
      <c r="A275" s="11" t="s">
        <v>798</v>
      </c>
      <c r="B275" s="11" t="s">
        <v>573</v>
      </c>
      <c r="E275" s="41">
        <v>44973.282870370371</v>
      </c>
    </row>
    <row r="276" spans="1:5" x14ac:dyDescent="0.35">
      <c r="A276" s="11" t="s">
        <v>797</v>
      </c>
      <c r="B276" s="11" t="s">
        <v>572</v>
      </c>
      <c r="E276" s="41">
        <v>44973.282905092594</v>
      </c>
    </row>
    <row r="277" spans="1:5" x14ac:dyDescent="0.35">
      <c r="A277" s="11" t="s">
        <v>798</v>
      </c>
      <c r="B277" s="11" t="s">
        <v>573</v>
      </c>
      <c r="E277" s="41">
        <v>44973.28292824074</v>
      </c>
    </row>
    <row r="278" spans="1:5" x14ac:dyDescent="0.35">
      <c r="A278" s="11" t="s">
        <v>816</v>
      </c>
      <c r="B278" s="11" t="s">
        <v>572</v>
      </c>
      <c r="E278" s="41">
        <v>44973.282962962963</v>
      </c>
    </row>
    <row r="279" spans="1:5" x14ac:dyDescent="0.35">
      <c r="A279" s="11" t="s">
        <v>817</v>
      </c>
      <c r="B279" s="11" t="s">
        <v>573</v>
      </c>
      <c r="E279" s="41">
        <v>44973.282986111109</v>
      </c>
    </row>
    <row r="280" spans="1:5" x14ac:dyDescent="0.35">
      <c r="A280" s="11" t="s">
        <v>818</v>
      </c>
      <c r="B280" s="11" t="s">
        <v>572</v>
      </c>
      <c r="E280" s="41">
        <v>44973.283009259256</v>
      </c>
    </row>
    <row r="281" spans="1:5" x14ac:dyDescent="0.35">
      <c r="A281" s="11" t="s">
        <v>819</v>
      </c>
      <c r="B281" s="11" t="s">
        <v>573</v>
      </c>
      <c r="E281" s="41">
        <v>44973.283043981479</v>
      </c>
    </row>
    <row r="282" spans="1:5" x14ac:dyDescent="0.35">
      <c r="A282" s="11" t="s">
        <v>830</v>
      </c>
      <c r="B282" s="11" t="s">
        <v>571</v>
      </c>
      <c r="E282" s="41">
        <v>44975.305219907408</v>
      </c>
    </row>
    <row r="283" spans="1:5" x14ac:dyDescent="0.35">
      <c r="A283" s="11" t="s">
        <v>830</v>
      </c>
      <c r="B283" s="11" t="s">
        <v>571</v>
      </c>
      <c r="E283" s="41">
        <v>44975.305243055554</v>
      </c>
    </row>
    <row r="284" spans="1:5" x14ac:dyDescent="0.35">
      <c r="A284" s="11" t="s">
        <v>820</v>
      </c>
      <c r="B284" s="11" t="s">
        <v>572</v>
      </c>
      <c r="E284" s="41">
        <v>44975.305289351854</v>
      </c>
    </row>
    <row r="285" spans="1:5" x14ac:dyDescent="0.35">
      <c r="A285" s="11" t="s">
        <v>821</v>
      </c>
      <c r="B285" s="11" t="s">
        <v>573</v>
      </c>
      <c r="E285" s="41">
        <v>44975.305312500001</v>
      </c>
    </row>
    <row r="286" spans="1:5" x14ac:dyDescent="0.35">
      <c r="A286" s="11" t="s">
        <v>831</v>
      </c>
      <c r="B286" s="11" t="s">
        <v>572</v>
      </c>
      <c r="E286" s="41">
        <v>44975.305335648147</v>
      </c>
    </row>
    <row r="287" spans="1:5" x14ac:dyDescent="0.35">
      <c r="A287" s="11" t="s">
        <v>832</v>
      </c>
      <c r="B287" s="11" t="s">
        <v>573</v>
      </c>
      <c r="E287" s="41">
        <v>44975.30537037037</v>
      </c>
    </row>
    <row r="288" spans="1:5" x14ac:dyDescent="0.35">
      <c r="A288" s="11" t="s">
        <v>839</v>
      </c>
      <c r="B288" s="11" t="s">
        <v>572</v>
      </c>
      <c r="E288" s="41">
        <v>44975.305405092593</v>
      </c>
    </row>
    <row r="289" spans="1:5" x14ac:dyDescent="0.35">
      <c r="A289" s="11" t="s">
        <v>840</v>
      </c>
      <c r="B289" s="11" t="s">
        <v>573</v>
      </c>
      <c r="E289" s="41">
        <v>44975.305451388886</v>
      </c>
    </row>
    <row r="290" spans="1:5" x14ac:dyDescent="0.35">
      <c r="A290" s="11" t="s">
        <v>826</v>
      </c>
      <c r="B290" s="11" t="s">
        <v>571</v>
      </c>
      <c r="E290" s="41">
        <v>44975.305474537039</v>
      </c>
    </row>
    <row r="291" spans="1:5" x14ac:dyDescent="0.35">
      <c r="A291" s="11" t="s">
        <v>841</v>
      </c>
      <c r="B291" s="11" t="s">
        <v>450</v>
      </c>
      <c r="E291" s="41">
        <v>44975.306388888886</v>
      </c>
    </row>
    <row r="292" spans="1:5" x14ac:dyDescent="0.35">
      <c r="A292" s="11" t="s">
        <v>841</v>
      </c>
      <c r="B292" s="11" t="s">
        <v>450</v>
      </c>
      <c r="E292" s="41">
        <v>44975.306423611109</v>
      </c>
    </row>
    <row r="293" spans="1:5" x14ac:dyDescent="0.35">
      <c r="A293" s="11" t="s">
        <v>841</v>
      </c>
      <c r="B293" s="11" t="s">
        <v>450</v>
      </c>
      <c r="E293" s="41">
        <v>44975.306458333333</v>
      </c>
    </row>
    <row r="294" spans="1:5" x14ac:dyDescent="0.35">
      <c r="A294" s="11" t="s">
        <v>841</v>
      </c>
      <c r="B294" s="11" t="s">
        <v>450</v>
      </c>
      <c r="E294" s="41">
        <v>44975.306493055556</v>
      </c>
    </row>
    <row r="295" spans="1:5" x14ac:dyDescent="0.35">
      <c r="A295" s="11" t="s">
        <v>841</v>
      </c>
      <c r="B295" s="11" t="s">
        <v>450</v>
      </c>
      <c r="E295" s="41">
        <v>44975.306527777779</v>
      </c>
    </row>
    <row r="296" spans="1:5" x14ac:dyDescent="0.35">
      <c r="A296" s="11" t="s">
        <v>838</v>
      </c>
      <c r="B296" s="11" t="s">
        <v>608</v>
      </c>
      <c r="E296" s="41">
        <v>44975.309687499997</v>
      </c>
    </row>
    <row r="297" spans="1:5" x14ac:dyDescent="0.35">
      <c r="A297" s="11" t="s">
        <v>781</v>
      </c>
      <c r="B297" s="11" t="s">
        <v>607</v>
      </c>
      <c r="E297" s="41">
        <v>44975.309699074074</v>
      </c>
    </row>
    <row r="298" spans="1:5" x14ac:dyDescent="0.35">
      <c r="A298" s="11" t="s">
        <v>842</v>
      </c>
      <c r="B298" s="11" t="s">
        <v>440</v>
      </c>
      <c r="E298" s="41">
        <v>44977.316435185188</v>
      </c>
    </row>
    <row r="299" spans="1:5" x14ac:dyDescent="0.35">
      <c r="A299" s="11" t="s">
        <v>844</v>
      </c>
      <c r="B299" s="11" t="s">
        <v>572</v>
      </c>
      <c r="E299" s="41">
        <v>44977.316469907404</v>
      </c>
    </row>
    <row r="300" spans="1:5" x14ac:dyDescent="0.35">
      <c r="A300" s="11" t="s">
        <v>845</v>
      </c>
      <c r="B300" s="11" t="s">
        <v>573</v>
      </c>
      <c r="E300" s="41">
        <v>44977.316504629627</v>
      </c>
    </row>
    <row r="301" spans="1:5" x14ac:dyDescent="0.35">
      <c r="A301" s="11" t="s">
        <v>846</v>
      </c>
      <c r="B301" s="11" t="s">
        <v>572</v>
      </c>
      <c r="E301" s="41">
        <v>44977.316574074073</v>
      </c>
    </row>
    <row r="302" spans="1:5" x14ac:dyDescent="0.35">
      <c r="A302" s="11" t="s">
        <v>847</v>
      </c>
      <c r="B302" s="11" t="s">
        <v>573</v>
      </c>
      <c r="E302" s="41">
        <v>44977.316608796296</v>
      </c>
    </row>
    <row r="303" spans="1:5" x14ac:dyDescent="0.35">
      <c r="A303" s="11" t="s">
        <v>833</v>
      </c>
      <c r="B303" s="11" t="s">
        <v>571</v>
      </c>
      <c r="E303" s="41">
        <v>44977.316643518519</v>
      </c>
    </row>
    <row r="304" spans="1:5" x14ac:dyDescent="0.35">
      <c r="A304" s="11" t="s">
        <v>849</v>
      </c>
      <c r="B304" s="11" t="s">
        <v>572</v>
      </c>
      <c r="E304" s="41">
        <v>44977.316678240742</v>
      </c>
    </row>
    <row r="305" spans="1:5" x14ac:dyDescent="0.35">
      <c r="A305" s="11" t="s">
        <v>850</v>
      </c>
      <c r="B305" s="11" t="s">
        <v>573</v>
      </c>
      <c r="E305" s="41">
        <v>44977.316701388889</v>
      </c>
    </row>
    <row r="306" spans="1:5" x14ac:dyDescent="0.35">
      <c r="A306" s="11" t="s">
        <v>827</v>
      </c>
      <c r="B306" s="11" t="s">
        <v>571</v>
      </c>
      <c r="E306" s="41">
        <v>44977.316736111112</v>
      </c>
    </row>
    <row r="307" spans="1:5" x14ac:dyDescent="0.35">
      <c r="A307" s="11" t="s">
        <v>851</v>
      </c>
      <c r="B307" s="11" t="s">
        <v>571</v>
      </c>
      <c r="E307" s="41">
        <v>44977.316759259258</v>
      </c>
    </row>
    <row r="308" spans="1:5" x14ac:dyDescent="0.35">
      <c r="A308" s="11" t="s">
        <v>851</v>
      </c>
      <c r="B308" s="11" t="s">
        <v>571</v>
      </c>
      <c r="E308" s="41">
        <v>44977.316782407404</v>
      </c>
    </row>
    <row r="309" spans="1:5" x14ac:dyDescent="0.35">
      <c r="A309" s="11" t="s">
        <v>852</v>
      </c>
      <c r="B309" s="11" t="s">
        <v>572</v>
      </c>
      <c r="E309" s="41">
        <v>44977.316840277781</v>
      </c>
    </row>
    <row r="310" spans="1:5" x14ac:dyDescent="0.35">
      <c r="A310" s="11" t="s">
        <v>853</v>
      </c>
      <c r="B310" s="11" t="s">
        <v>573</v>
      </c>
      <c r="E310" s="41">
        <v>44977.316874999997</v>
      </c>
    </row>
    <row r="311" spans="1:5" x14ac:dyDescent="0.35">
      <c r="A311" s="11" t="s">
        <v>853</v>
      </c>
      <c r="B311" s="11" t="s">
        <v>573</v>
      </c>
      <c r="E311" s="41">
        <v>44977.31689814815</v>
      </c>
    </row>
    <row r="312" spans="1:5" x14ac:dyDescent="0.35">
      <c r="A312" s="11" t="s">
        <v>860</v>
      </c>
      <c r="B312" s="11" t="s">
        <v>440</v>
      </c>
      <c r="E312" s="41">
        <v>44979.302303240744</v>
      </c>
    </row>
    <row r="313" spans="1:5" x14ac:dyDescent="0.35">
      <c r="A313" s="11" t="s">
        <v>861</v>
      </c>
      <c r="B313" s="11" t="s">
        <v>572</v>
      </c>
      <c r="E313" s="41">
        <v>44979.30232638889</v>
      </c>
    </row>
    <row r="314" spans="1:5" x14ac:dyDescent="0.35">
      <c r="A314" s="11" t="s">
        <v>862</v>
      </c>
      <c r="B314" s="11" t="s">
        <v>573</v>
      </c>
      <c r="E314" s="41">
        <v>44979.302349537036</v>
      </c>
    </row>
    <row r="315" spans="1:5" x14ac:dyDescent="0.35">
      <c r="A315" s="11" t="s">
        <v>862</v>
      </c>
      <c r="B315" s="11" t="s">
        <v>573</v>
      </c>
      <c r="E315" s="41">
        <v>44979.302361111113</v>
      </c>
    </row>
    <row r="316" spans="1:5" x14ac:dyDescent="0.35">
      <c r="A316" s="11" t="s">
        <v>863</v>
      </c>
      <c r="B316" s="11" t="s">
        <v>571</v>
      </c>
      <c r="E316" s="41">
        <v>44979.302384259259</v>
      </c>
    </row>
    <row r="317" spans="1:5" x14ac:dyDescent="0.35">
      <c r="A317" s="11" t="s">
        <v>864</v>
      </c>
      <c r="B317" s="11" t="s">
        <v>572</v>
      </c>
      <c r="E317" s="41">
        <v>44979.302395833336</v>
      </c>
    </row>
    <row r="318" spans="1:5" x14ac:dyDescent="0.35">
      <c r="A318" s="11" t="s">
        <v>865</v>
      </c>
      <c r="B318" s="11" t="s">
        <v>573</v>
      </c>
      <c r="E318" s="41">
        <v>44979.302418981482</v>
      </c>
    </row>
    <row r="319" spans="1:5" x14ac:dyDescent="0.35">
      <c r="A319" s="11" t="s">
        <v>882</v>
      </c>
      <c r="B319" s="11" t="s">
        <v>573</v>
      </c>
      <c r="E319" s="41">
        <v>44979.372974537036</v>
      </c>
    </row>
    <row r="320" spans="1:5" x14ac:dyDescent="0.35">
      <c r="A320" s="11" t="s">
        <v>881</v>
      </c>
      <c r="B320" s="11" t="s">
        <v>572</v>
      </c>
      <c r="E320" s="41">
        <v>44979.372997685183</v>
      </c>
    </row>
    <row r="321" spans="1:5" x14ac:dyDescent="0.35">
      <c r="A321" s="11" t="s">
        <v>884</v>
      </c>
      <c r="B321" s="11" t="s">
        <v>573</v>
      </c>
      <c r="E321" s="41">
        <v>44979.373020833336</v>
      </c>
    </row>
    <row r="322" spans="1:5" x14ac:dyDescent="0.35">
      <c r="A322" s="11" t="s">
        <v>883</v>
      </c>
      <c r="B322" s="11" t="s">
        <v>572</v>
      </c>
      <c r="E322" s="41">
        <v>44979.373055555552</v>
      </c>
    </row>
    <row r="323" spans="1:5" x14ac:dyDescent="0.35">
      <c r="A323" s="11" t="s">
        <v>888</v>
      </c>
      <c r="B323" s="11" t="s">
        <v>573</v>
      </c>
      <c r="E323" s="41">
        <v>44979.373078703706</v>
      </c>
    </row>
    <row r="324" spans="1:5" x14ac:dyDescent="0.35">
      <c r="A324" s="11" t="s">
        <v>887</v>
      </c>
      <c r="B324" s="11" t="s">
        <v>572</v>
      </c>
      <c r="E324" s="41">
        <v>44979.373090277775</v>
      </c>
    </row>
    <row r="325" spans="1:5" x14ac:dyDescent="0.35">
      <c r="A325" s="11" t="s">
        <v>885</v>
      </c>
      <c r="B325" s="11" t="s">
        <v>572</v>
      </c>
      <c r="E325" s="41">
        <v>44979.373113425929</v>
      </c>
    </row>
    <row r="326" spans="1:5" x14ac:dyDescent="0.35">
      <c r="A326" s="11" t="s">
        <v>886</v>
      </c>
      <c r="B326" s="11" t="s">
        <v>573</v>
      </c>
      <c r="E326" s="41">
        <v>44979.373148148145</v>
      </c>
    </row>
    <row r="327" spans="1:5" x14ac:dyDescent="0.35">
      <c r="A327" s="11" t="s">
        <v>889</v>
      </c>
      <c r="B327" s="11" t="s">
        <v>572</v>
      </c>
      <c r="E327" s="41">
        <v>44979.373194444444</v>
      </c>
    </row>
    <row r="328" spans="1:5" x14ac:dyDescent="0.35">
      <c r="A328" s="11" t="s">
        <v>890</v>
      </c>
      <c r="B328" s="11" t="s">
        <v>573</v>
      </c>
      <c r="E328" s="41">
        <v>44979.373229166667</v>
      </c>
    </row>
    <row r="329" spans="1:5" x14ac:dyDescent="0.35">
      <c r="A329" s="11" t="s">
        <v>890</v>
      </c>
      <c r="B329" s="11" t="s">
        <v>573</v>
      </c>
      <c r="E329" s="41">
        <v>44979.373252314814</v>
      </c>
    </row>
    <row r="330" spans="1:5" x14ac:dyDescent="0.35">
      <c r="A330" s="11" t="s">
        <v>891</v>
      </c>
      <c r="B330" s="11" t="s">
        <v>571</v>
      </c>
      <c r="E330" s="41">
        <v>44979.373287037037</v>
      </c>
    </row>
    <row r="331" spans="1:5" x14ac:dyDescent="0.35">
      <c r="A331" s="11" t="s">
        <v>896</v>
      </c>
      <c r="B331" s="11" t="s">
        <v>572</v>
      </c>
      <c r="E331" s="41">
        <v>44979.373356481483</v>
      </c>
    </row>
    <row r="332" spans="1:5" x14ac:dyDescent="0.35">
      <c r="A332" s="11" t="s">
        <v>897</v>
      </c>
      <c r="B332" s="11" t="s">
        <v>573</v>
      </c>
      <c r="E332" s="41">
        <v>44979.373391203706</v>
      </c>
    </row>
    <row r="333" spans="1:5" x14ac:dyDescent="0.35">
      <c r="A333" s="11" t="s">
        <v>899</v>
      </c>
      <c r="B333" s="11" t="s">
        <v>572</v>
      </c>
      <c r="E333" s="41">
        <v>44979.373425925929</v>
      </c>
    </row>
    <row r="334" spans="1:5" x14ac:dyDescent="0.35">
      <c r="A334" s="11" t="s">
        <v>899</v>
      </c>
      <c r="B334" s="11" t="s">
        <v>572</v>
      </c>
      <c r="E334" s="41">
        <v>44979.373449074075</v>
      </c>
    </row>
    <row r="335" spans="1:5" x14ac:dyDescent="0.35">
      <c r="A335" s="11" t="s">
        <v>900</v>
      </c>
      <c r="B335" s="11" t="s">
        <v>573</v>
      </c>
      <c r="E335" s="41">
        <v>44979.373495370368</v>
      </c>
    </row>
    <row r="336" spans="1:5" x14ac:dyDescent="0.35">
      <c r="A336" s="11" t="s">
        <v>898</v>
      </c>
      <c r="B336" s="11" t="s">
        <v>571</v>
      </c>
      <c r="E336" s="41">
        <v>44979.373530092591</v>
      </c>
    </row>
    <row r="337" spans="1:5" x14ac:dyDescent="0.35">
      <c r="A337" s="11" t="s">
        <v>898</v>
      </c>
      <c r="B337" s="11" t="s">
        <v>571</v>
      </c>
      <c r="E337" s="41">
        <v>44979.373553240737</v>
      </c>
    </row>
    <row r="338" spans="1:5" x14ac:dyDescent="0.35">
      <c r="A338" s="11" t="s">
        <v>898</v>
      </c>
      <c r="B338" s="11" t="s">
        <v>571</v>
      </c>
      <c r="E338" s="41">
        <v>44979.373553240737</v>
      </c>
    </row>
    <row r="339" spans="1:5" x14ac:dyDescent="0.35">
      <c r="A339" s="11" t="s">
        <v>873</v>
      </c>
      <c r="B339" s="11" t="s">
        <v>571</v>
      </c>
      <c r="E339" s="41">
        <v>44979.373912037037</v>
      </c>
    </row>
    <row r="340" spans="1:5" x14ac:dyDescent="0.35">
      <c r="A340" s="11" t="s">
        <v>872</v>
      </c>
      <c r="B340" s="11" t="s">
        <v>571</v>
      </c>
      <c r="E340" s="41">
        <v>44979.373935185184</v>
      </c>
    </row>
    <row r="341" spans="1:5" x14ac:dyDescent="0.35">
      <c r="A341" s="11" t="s">
        <v>906</v>
      </c>
      <c r="B341" s="11" t="s">
        <v>571</v>
      </c>
      <c r="E341" s="41">
        <v>44979.373981481483</v>
      </c>
    </row>
    <row r="342" spans="1:5" x14ac:dyDescent="0.35">
      <c r="A342" s="11" t="s">
        <v>835</v>
      </c>
      <c r="B342" s="11" t="s">
        <v>573</v>
      </c>
      <c r="E342" s="41">
        <v>44981.299432870372</v>
      </c>
    </row>
    <row r="343" spans="1:5" x14ac:dyDescent="0.35">
      <c r="A343" s="11" t="s">
        <v>893</v>
      </c>
      <c r="B343" s="11" t="s">
        <v>778</v>
      </c>
      <c r="E343" s="41">
        <v>44981.299641203703</v>
      </c>
    </row>
    <row r="344" spans="1:5" x14ac:dyDescent="0.35">
      <c r="A344" s="11" t="s">
        <v>892</v>
      </c>
      <c r="B344" s="11" t="s">
        <v>777</v>
      </c>
      <c r="E344" s="41">
        <v>44981.299664351849</v>
      </c>
    </row>
    <row r="345" spans="1:5" x14ac:dyDescent="0.35">
      <c r="A345" s="11" t="s">
        <v>894</v>
      </c>
      <c r="B345" s="11" t="s">
        <v>779</v>
      </c>
      <c r="E345" s="41">
        <v>44981.299687500003</v>
      </c>
    </row>
    <row r="346" spans="1:5" x14ac:dyDescent="0.35">
      <c r="A346" s="11" t="s">
        <v>848</v>
      </c>
      <c r="B346" s="11" t="s">
        <v>769</v>
      </c>
      <c r="E346" s="41">
        <v>44981.299745370372</v>
      </c>
    </row>
    <row r="347" spans="1:5" x14ac:dyDescent="0.35">
      <c r="A347" s="11" t="s">
        <v>848</v>
      </c>
      <c r="B347" s="11" t="s">
        <v>769</v>
      </c>
      <c r="E347" s="41">
        <v>44981.299768518518</v>
      </c>
    </row>
    <row r="348" spans="1:5" x14ac:dyDescent="0.35">
      <c r="A348" s="11" t="s">
        <v>895</v>
      </c>
      <c r="B348" s="11" t="s">
        <v>780</v>
      </c>
      <c r="E348" s="41">
        <v>44981.299895833334</v>
      </c>
    </row>
    <row r="349" spans="1:5" x14ac:dyDescent="0.35">
      <c r="A349" s="11" t="s">
        <v>824</v>
      </c>
      <c r="B349" s="11" t="s">
        <v>779</v>
      </c>
      <c r="E349" s="41">
        <v>44981.3</v>
      </c>
    </row>
    <row r="350" spans="1:5" x14ac:dyDescent="0.35">
      <c r="A350" s="11" t="s">
        <v>822</v>
      </c>
      <c r="B350" s="11" t="s">
        <v>777</v>
      </c>
      <c r="E350" s="41">
        <v>44981.300046296295</v>
      </c>
    </row>
    <row r="351" spans="1:5" x14ac:dyDescent="0.35">
      <c r="A351" s="11" t="s">
        <v>823</v>
      </c>
      <c r="B351" s="11" t="s">
        <v>778</v>
      </c>
      <c r="E351" s="41">
        <v>44981.300069444442</v>
      </c>
    </row>
    <row r="352" spans="1:5" x14ac:dyDescent="0.35">
      <c r="A352" s="11" t="s">
        <v>825</v>
      </c>
      <c r="B352" s="11" t="s">
        <v>780</v>
      </c>
      <c r="E352" s="41">
        <v>44981.300405092596</v>
      </c>
    </row>
    <row r="353" spans="1:5" x14ac:dyDescent="0.35">
      <c r="A353" s="11" t="s">
        <v>868</v>
      </c>
      <c r="B353" s="11" t="s">
        <v>573</v>
      </c>
      <c r="E353" s="41">
        <v>44981.300613425927</v>
      </c>
    </row>
    <row r="354" spans="1:5" x14ac:dyDescent="0.35">
      <c r="A354" s="11" t="s">
        <v>870</v>
      </c>
      <c r="B354" s="11" t="s">
        <v>573</v>
      </c>
      <c r="E354" s="41">
        <v>44981.300636574073</v>
      </c>
    </row>
    <row r="355" spans="1:5" x14ac:dyDescent="0.35">
      <c r="A355" s="11" t="s">
        <v>902</v>
      </c>
      <c r="B355" s="11" t="s">
        <v>573</v>
      </c>
      <c r="E355" s="41">
        <v>44981.300659722219</v>
      </c>
    </row>
    <row r="356" spans="1:5" x14ac:dyDescent="0.35">
      <c r="A356" s="11" t="s">
        <v>905</v>
      </c>
      <c r="B356" s="11" t="s">
        <v>573</v>
      </c>
      <c r="E356" s="41">
        <v>44981.300706018519</v>
      </c>
    </row>
    <row r="357" spans="1:5" x14ac:dyDescent="0.35">
      <c r="A357" s="11" t="s">
        <v>876</v>
      </c>
      <c r="B357" s="11" t="s">
        <v>573</v>
      </c>
      <c r="E357" s="41">
        <v>44981.300740740742</v>
      </c>
    </row>
    <row r="358" spans="1:5" x14ac:dyDescent="0.35">
      <c r="A358" s="11" t="s">
        <v>910</v>
      </c>
      <c r="B358" s="11" t="s">
        <v>573</v>
      </c>
      <c r="E358" s="41">
        <v>44981.300787037035</v>
      </c>
    </row>
    <row r="359" spans="1:5" x14ac:dyDescent="0.35">
      <c r="A359" s="11" t="s">
        <v>912</v>
      </c>
      <c r="B359" s="11" t="s">
        <v>573</v>
      </c>
      <c r="E359" s="41">
        <v>44981.300810185188</v>
      </c>
    </row>
    <row r="360" spans="1:5" x14ac:dyDescent="0.35">
      <c r="A360" s="11" t="s">
        <v>857</v>
      </c>
      <c r="B360" s="11" t="s">
        <v>573</v>
      </c>
      <c r="E360" s="41">
        <v>44981.300844907404</v>
      </c>
    </row>
    <row r="361" spans="1:5" x14ac:dyDescent="0.35">
      <c r="A361" s="11" t="s">
        <v>855</v>
      </c>
      <c r="B361" s="11" t="s">
        <v>573</v>
      </c>
      <c r="E361" s="41">
        <v>44981.300868055558</v>
      </c>
    </row>
    <row r="362" spans="1:5" x14ac:dyDescent="0.35">
      <c r="A362" s="11" t="s">
        <v>859</v>
      </c>
      <c r="B362" s="11" t="s">
        <v>573</v>
      </c>
      <c r="E362" s="41">
        <v>44981.300891203704</v>
      </c>
    </row>
    <row r="363" spans="1:5" x14ac:dyDescent="0.35">
      <c r="A363" s="11" t="s">
        <v>914</v>
      </c>
      <c r="B363" s="11" t="s">
        <v>573</v>
      </c>
      <c r="E363" s="41">
        <v>44981.300937499997</v>
      </c>
    </row>
    <row r="364" spans="1:5" x14ac:dyDescent="0.35">
      <c r="A364" s="11" t="s">
        <v>834</v>
      </c>
      <c r="B364" s="11" t="s">
        <v>572</v>
      </c>
      <c r="E364" s="41">
        <v>44982.313240740739</v>
      </c>
    </row>
    <row r="365" spans="1:5" x14ac:dyDescent="0.35">
      <c r="A365" s="11" t="s">
        <v>869</v>
      </c>
      <c r="B365" s="11" t="s">
        <v>572</v>
      </c>
      <c r="E365" s="41">
        <v>44982.313263888886</v>
      </c>
    </row>
    <row r="366" spans="1:5" x14ac:dyDescent="0.35">
      <c r="A366" s="11" t="s">
        <v>867</v>
      </c>
      <c r="B366" s="11" t="s">
        <v>572</v>
      </c>
      <c r="E366" s="41">
        <v>44982.313287037039</v>
      </c>
    </row>
    <row r="367" spans="1:5" x14ac:dyDescent="0.35">
      <c r="A367" s="11" t="s">
        <v>901</v>
      </c>
      <c r="B367" s="11" t="s">
        <v>572</v>
      </c>
      <c r="E367" s="41">
        <v>44982.313321759262</v>
      </c>
    </row>
    <row r="368" spans="1:5" x14ac:dyDescent="0.35">
      <c r="A368" s="11" t="s">
        <v>875</v>
      </c>
      <c r="B368" s="11" t="s">
        <v>572</v>
      </c>
      <c r="E368" s="41">
        <v>44982.313379629632</v>
      </c>
    </row>
    <row r="369" spans="1:5" x14ac:dyDescent="0.35">
      <c r="A369" s="11" t="s">
        <v>904</v>
      </c>
      <c r="B369" s="11" t="s">
        <v>572</v>
      </c>
      <c r="E369" s="41">
        <v>44982.313414351855</v>
      </c>
    </row>
    <row r="370" spans="1:5" x14ac:dyDescent="0.35">
      <c r="A370" s="11" t="s">
        <v>909</v>
      </c>
      <c r="B370" s="11" t="s">
        <v>572</v>
      </c>
      <c r="E370" s="41">
        <v>44982.313437500001</v>
      </c>
    </row>
    <row r="371" spans="1:5" x14ac:dyDescent="0.35">
      <c r="A371" s="11" t="s">
        <v>911</v>
      </c>
      <c r="B371" s="11" t="s">
        <v>572</v>
      </c>
      <c r="E371" s="41">
        <v>44982.313472222224</v>
      </c>
    </row>
    <row r="372" spans="1:5" x14ac:dyDescent="0.35">
      <c r="A372" s="11" t="s">
        <v>856</v>
      </c>
      <c r="B372" s="11" t="s">
        <v>572</v>
      </c>
      <c r="E372" s="41">
        <v>44982.313518518517</v>
      </c>
    </row>
    <row r="373" spans="1:5" x14ac:dyDescent="0.35">
      <c r="A373" s="11" t="s">
        <v>854</v>
      </c>
      <c r="B373" s="11" t="s">
        <v>572</v>
      </c>
      <c r="E373" s="41">
        <v>44982.31354166667</v>
      </c>
    </row>
    <row r="374" spans="1:5" x14ac:dyDescent="0.35">
      <c r="A374" s="11" t="s">
        <v>858</v>
      </c>
      <c r="B374" s="11" t="s">
        <v>572</v>
      </c>
      <c r="E374" s="41">
        <v>44982.313576388886</v>
      </c>
    </row>
    <row r="375" spans="1:5" x14ac:dyDescent="0.35">
      <c r="A375" s="11" t="s">
        <v>913</v>
      </c>
      <c r="B375" s="11" t="s">
        <v>572</v>
      </c>
      <c r="E375" s="41">
        <v>44982.313611111109</v>
      </c>
    </row>
    <row r="376" spans="1:5" x14ac:dyDescent="0.35">
      <c r="A376" s="11" t="s">
        <v>843</v>
      </c>
      <c r="B376" s="11" t="s">
        <v>784</v>
      </c>
      <c r="E376" s="41">
        <v>44982.335115740738</v>
      </c>
    </row>
    <row r="377" spans="1:5" x14ac:dyDescent="0.35">
      <c r="A377" s="11" t="s">
        <v>866</v>
      </c>
      <c r="B377" s="11" t="s">
        <v>785</v>
      </c>
      <c r="E377" s="41">
        <v>44982.335150462961</v>
      </c>
    </row>
    <row r="378" spans="1:5" x14ac:dyDescent="0.35">
      <c r="A378" s="11" t="s">
        <v>874</v>
      </c>
      <c r="B378" s="11" t="s">
        <v>783</v>
      </c>
      <c r="E378" s="41">
        <v>44982.33520833333</v>
      </c>
    </row>
    <row r="379" spans="1:5" x14ac:dyDescent="0.35">
      <c r="A379" s="11" t="s">
        <v>874</v>
      </c>
      <c r="B379" s="11" t="s">
        <v>783</v>
      </c>
      <c r="E379" s="41">
        <v>44982.335231481484</v>
      </c>
    </row>
    <row r="380" spans="1:5" x14ac:dyDescent="0.35">
      <c r="A380" s="11" t="s">
        <v>908</v>
      </c>
      <c r="B380" s="11" t="s">
        <v>440</v>
      </c>
      <c r="E380" s="41">
        <v>44987.326840277776</v>
      </c>
    </row>
    <row r="381" spans="1:5" x14ac:dyDescent="0.35">
      <c r="A381" s="11" t="s">
        <v>878</v>
      </c>
      <c r="B381" s="11" t="s">
        <v>440</v>
      </c>
      <c r="E381" s="41">
        <v>44987.326874999999</v>
      </c>
    </row>
    <row r="382" spans="1:5" x14ac:dyDescent="0.35">
      <c r="A382" s="11" t="s">
        <v>907</v>
      </c>
      <c r="B382" s="11" t="s">
        <v>440</v>
      </c>
      <c r="E382" s="41">
        <v>44987.326898148145</v>
      </c>
    </row>
    <row r="383" spans="1:5" x14ac:dyDescent="0.35">
      <c r="A383" s="11" t="s">
        <v>878</v>
      </c>
      <c r="B383" s="11" t="s">
        <v>440</v>
      </c>
      <c r="E383" s="41">
        <v>44987.326932870368</v>
      </c>
    </row>
    <row r="384" spans="1:5" x14ac:dyDescent="0.35">
      <c r="A384" s="11" t="s">
        <v>917</v>
      </c>
      <c r="B384" s="11" t="s">
        <v>440</v>
      </c>
      <c r="E384" s="41">
        <v>44987.326990740738</v>
      </c>
    </row>
    <row r="385" spans="1:5" x14ac:dyDescent="0.35">
      <c r="A385" s="11" t="s">
        <v>916</v>
      </c>
      <c r="B385" s="11" t="s">
        <v>440</v>
      </c>
      <c r="E385" s="41">
        <v>44987.327025462961</v>
      </c>
    </row>
    <row r="386" spans="1:5" x14ac:dyDescent="0.35">
      <c r="A386" s="11" t="s">
        <v>918</v>
      </c>
      <c r="B386" s="11" t="s">
        <v>440</v>
      </c>
      <c r="E386" s="41">
        <v>44987.327048611114</v>
      </c>
    </row>
    <row r="387" spans="1:5" x14ac:dyDescent="0.35">
      <c r="A387" s="11" t="s">
        <v>919</v>
      </c>
      <c r="B387" s="11" t="s">
        <v>440</v>
      </c>
      <c r="E387" s="41">
        <v>44987.327094907407</v>
      </c>
    </row>
    <row r="388" spans="1:5" x14ac:dyDescent="0.35">
      <c r="A388" s="11" t="s">
        <v>829</v>
      </c>
      <c r="B388" s="11" t="s">
        <v>573</v>
      </c>
      <c r="E388" s="41">
        <v>44988.299467592595</v>
      </c>
    </row>
    <row r="389" spans="1:5" x14ac:dyDescent="0.35">
      <c r="A389" s="11" t="s">
        <v>920</v>
      </c>
      <c r="B389" s="11" t="s">
        <v>573</v>
      </c>
      <c r="E389" s="41">
        <v>44988.29991898148</v>
      </c>
    </row>
    <row r="390" spans="1:5" x14ac:dyDescent="0.35">
      <c r="A390" s="11" t="s">
        <v>828</v>
      </c>
      <c r="B390" s="11" t="s">
        <v>572</v>
      </c>
      <c r="E390" s="41">
        <v>44988.300081018519</v>
      </c>
    </row>
    <row r="391" spans="1:5" x14ac:dyDescent="0.35">
      <c r="A391" s="11" t="s">
        <v>921</v>
      </c>
      <c r="B391" s="11" t="s">
        <v>572</v>
      </c>
      <c r="E391" s="41">
        <v>44988.300104166665</v>
      </c>
    </row>
    <row r="392" spans="1:5" x14ac:dyDescent="0.35">
      <c r="A392" s="11" t="s">
        <v>922</v>
      </c>
      <c r="B392" s="11" t="s">
        <v>573</v>
      </c>
      <c r="E392" s="41">
        <v>44988.300150462965</v>
      </c>
    </row>
    <row r="393" spans="1:5" x14ac:dyDescent="0.35">
      <c r="A393" s="11" t="s">
        <v>922</v>
      </c>
      <c r="B393" s="11" t="s">
        <v>573</v>
      </c>
      <c r="E393" s="41">
        <v>44988.300185185188</v>
      </c>
    </row>
    <row r="394" spans="1:5" x14ac:dyDescent="0.35">
      <c r="A394" s="11" t="s">
        <v>915</v>
      </c>
      <c r="B394" s="11" t="s">
        <v>572</v>
      </c>
      <c r="E394" s="41">
        <v>44988.300208333334</v>
      </c>
    </row>
    <row r="395" spans="1:5" x14ac:dyDescent="0.35">
      <c r="A395" s="11" t="s">
        <v>924</v>
      </c>
      <c r="B395" s="11" t="s">
        <v>573</v>
      </c>
      <c r="E395" s="41">
        <v>44988.30028935185</v>
      </c>
    </row>
    <row r="396" spans="1:5" x14ac:dyDescent="0.35">
      <c r="A396" s="11" t="s">
        <v>923</v>
      </c>
      <c r="B396" s="11" t="s">
        <v>572</v>
      </c>
      <c r="E396" s="41">
        <v>44988.300312500003</v>
      </c>
    </row>
    <row r="397" spans="1:5" x14ac:dyDescent="0.35">
      <c r="A397" s="11" t="s">
        <v>925</v>
      </c>
      <c r="B397" s="11" t="s">
        <v>573</v>
      </c>
      <c r="E397" s="41">
        <v>44988.300347222219</v>
      </c>
    </row>
    <row r="398" spans="1:5" x14ac:dyDescent="0.35">
      <c r="A398" s="11" t="s">
        <v>926</v>
      </c>
      <c r="B398" s="11" t="s">
        <v>572</v>
      </c>
      <c r="E398" s="41">
        <v>44988.300370370373</v>
      </c>
    </row>
    <row r="399" spans="1:5" x14ac:dyDescent="0.35">
      <c r="A399" s="11" t="s">
        <v>928</v>
      </c>
      <c r="B399" s="11" t="s">
        <v>572</v>
      </c>
      <c r="E399" s="41">
        <v>44988.300416666665</v>
      </c>
    </row>
    <row r="400" spans="1:5" x14ac:dyDescent="0.35">
      <c r="A400" s="11" t="s">
        <v>928</v>
      </c>
      <c r="B400" s="11" t="s">
        <v>572</v>
      </c>
      <c r="E400" s="41">
        <v>44988.300428240742</v>
      </c>
    </row>
    <row r="401" spans="1:5" x14ac:dyDescent="0.35">
      <c r="A401" s="11" t="s">
        <v>927</v>
      </c>
      <c r="B401" s="11" t="s">
        <v>573</v>
      </c>
      <c r="E401" s="41">
        <v>44988.300462962965</v>
      </c>
    </row>
    <row r="402" spans="1:5" x14ac:dyDescent="0.35">
      <c r="A402" s="11" t="s">
        <v>929</v>
      </c>
      <c r="B402" s="11" t="s">
        <v>573</v>
      </c>
      <c r="E402" s="41">
        <v>44988.300486111111</v>
      </c>
    </row>
    <row r="403" spans="1:5" x14ac:dyDescent="0.35">
      <c r="A403" s="11" t="s">
        <v>930</v>
      </c>
      <c r="B403" s="11" t="s">
        <v>572</v>
      </c>
      <c r="E403" s="41">
        <v>44988.300509259258</v>
      </c>
    </row>
    <row r="404" spans="1:5" x14ac:dyDescent="0.35">
      <c r="A404" s="11" t="s">
        <v>930</v>
      </c>
      <c r="B404" s="11" t="s">
        <v>572</v>
      </c>
      <c r="E404" s="41">
        <v>44988.300543981481</v>
      </c>
    </row>
    <row r="405" spans="1:5" x14ac:dyDescent="0.35">
      <c r="A405" s="11" t="s">
        <v>931</v>
      </c>
      <c r="B405" s="11" t="s">
        <v>572</v>
      </c>
      <c r="E405" s="41">
        <v>44988.30059027778</v>
      </c>
    </row>
    <row r="406" spans="1:5" x14ac:dyDescent="0.35">
      <c r="A406" s="11" t="s">
        <v>932</v>
      </c>
      <c r="B406" s="11" t="s">
        <v>573</v>
      </c>
      <c r="E406" s="41">
        <v>44988.300613425927</v>
      </c>
    </row>
    <row r="407" spans="1:5" x14ac:dyDescent="0.35">
      <c r="A407" s="11" t="s">
        <v>871</v>
      </c>
      <c r="B407" s="11" t="s">
        <v>571</v>
      </c>
      <c r="E407" s="41">
        <v>44988.357395833336</v>
      </c>
    </row>
    <row r="408" spans="1:5" x14ac:dyDescent="0.35">
      <c r="A408" s="11" t="s">
        <v>903</v>
      </c>
      <c r="B408" s="11" t="s">
        <v>571</v>
      </c>
      <c r="E408" s="41">
        <v>44988.357418981483</v>
      </c>
    </row>
    <row r="409" spans="1:5" x14ac:dyDescent="0.35">
      <c r="A409" s="11" t="s">
        <v>877</v>
      </c>
      <c r="B409" s="11" t="s">
        <v>571</v>
      </c>
      <c r="E409" s="41">
        <v>44988.357453703706</v>
      </c>
    </row>
    <row r="410" spans="1:5" x14ac:dyDescent="0.35">
      <c r="A410" s="11" t="s">
        <v>836</v>
      </c>
      <c r="B410" s="11" t="s">
        <v>571</v>
      </c>
      <c r="E410" s="41">
        <v>44988.357476851852</v>
      </c>
    </row>
    <row r="411" spans="1:5" x14ac:dyDescent="0.35">
      <c r="A411" s="11" t="s">
        <v>837</v>
      </c>
      <c r="B411" s="11" t="s">
        <v>571</v>
      </c>
      <c r="E411" s="41">
        <v>44988.357499999998</v>
      </c>
    </row>
    <row r="412" spans="1:5" x14ac:dyDescent="0.35">
      <c r="A412" s="11" t="s">
        <v>837</v>
      </c>
      <c r="B412" s="11" t="s">
        <v>571</v>
      </c>
      <c r="E412" s="41">
        <v>44988.357534722221</v>
      </c>
    </row>
    <row r="413" spans="1:5" x14ac:dyDescent="0.35">
      <c r="A413" s="11" t="s">
        <v>934</v>
      </c>
      <c r="B413" s="11" t="s">
        <v>933</v>
      </c>
      <c r="E413" s="41">
        <v>44989.295648148145</v>
      </c>
    </row>
    <row r="414" spans="1:5" x14ac:dyDescent="0.35">
      <c r="A414" s="11" t="s">
        <v>934</v>
      </c>
      <c r="B414" s="11" t="s">
        <v>933</v>
      </c>
      <c r="E414" s="41">
        <v>44989.295671296299</v>
      </c>
    </row>
    <row r="415" spans="1:5" x14ac:dyDescent="0.35">
      <c r="A415" s="11" t="s">
        <v>934</v>
      </c>
      <c r="B415" s="11" t="s">
        <v>933</v>
      </c>
      <c r="E415" s="41">
        <v>44989.295706018522</v>
      </c>
    </row>
    <row r="416" spans="1:5" x14ac:dyDescent="0.35">
      <c r="A416" s="11" t="s">
        <v>880</v>
      </c>
      <c r="B416" s="11" t="s">
        <v>802</v>
      </c>
      <c r="E416" s="41">
        <v>45052.371724537035</v>
      </c>
    </row>
    <row r="417" spans="1:5" x14ac:dyDescent="0.35">
      <c r="A417" s="11" t="s">
        <v>879</v>
      </c>
      <c r="B417" s="11" t="s">
        <v>801</v>
      </c>
      <c r="E417" s="41">
        <v>45052.371747685182</v>
      </c>
    </row>
    <row r="418" spans="1:5" x14ac:dyDescent="0.35">
      <c r="A418" s="11" t="s">
        <v>941</v>
      </c>
      <c r="B418" s="11" t="s">
        <v>589</v>
      </c>
      <c r="E418" s="41">
        <v>45052.371863425928</v>
      </c>
    </row>
    <row r="419" spans="1:5" x14ac:dyDescent="0.35">
      <c r="A419" s="11" t="s">
        <v>944</v>
      </c>
      <c r="B419" s="11" t="s">
        <v>939</v>
      </c>
      <c r="E419" s="41">
        <v>45052.371921296297</v>
      </c>
    </row>
    <row r="420" spans="1:5" x14ac:dyDescent="0.35">
      <c r="A420" s="11" t="s">
        <v>945</v>
      </c>
      <c r="B420" s="11" t="s">
        <v>940</v>
      </c>
      <c r="E420" s="41">
        <v>45052.371944444443</v>
      </c>
    </row>
    <row r="421" spans="1:5" x14ac:dyDescent="0.35">
      <c r="A421" s="11" t="s">
        <v>950</v>
      </c>
      <c r="B421" s="11" t="s">
        <v>799</v>
      </c>
      <c r="E421" s="41">
        <v>45052.372013888889</v>
      </c>
    </row>
    <row r="422" spans="1:5" x14ac:dyDescent="0.35">
      <c r="A422" s="11" t="s">
        <v>951</v>
      </c>
      <c r="B422" s="11" t="s">
        <v>800</v>
      </c>
      <c r="E422" s="41">
        <v>45052.372037037036</v>
      </c>
    </row>
    <row r="423" spans="1:5" x14ac:dyDescent="0.35">
      <c r="A423" s="11" t="s">
        <v>951</v>
      </c>
      <c r="B423" s="11" t="s">
        <v>800</v>
      </c>
      <c r="E423" s="41">
        <v>45052.372060185182</v>
      </c>
    </row>
    <row r="424" spans="1:5" x14ac:dyDescent="0.35">
      <c r="A424" s="11" t="s">
        <v>952</v>
      </c>
      <c r="B424" s="11" t="s">
        <v>173</v>
      </c>
      <c r="E424" s="41">
        <v>45052.372164351851</v>
      </c>
    </row>
    <row r="425" spans="1:5" x14ac:dyDescent="0.35">
      <c r="A425" s="11" t="s">
        <v>961</v>
      </c>
      <c r="B425" s="11" t="s">
        <v>656</v>
      </c>
      <c r="E425" s="41">
        <v>45052.372210648151</v>
      </c>
    </row>
    <row r="426" spans="1:5" x14ac:dyDescent="0.35">
      <c r="A426" s="11" t="s">
        <v>961</v>
      </c>
      <c r="B426" s="11" t="s">
        <v>656</v>
      </c>
      <c r="E426" s="41">
        <v>45052.372245370374</v>
      </c>
    </row>
    <row r="427" spans="1:5" x14ac:dyDescent="0.35">
      <c r="A427" s="11" t="s">
        <v>960</v>
      </c>
      <c r="B427" s="11" t="s">
        <v>624</v>
      </c>
      <c r="E427" s="41">
        <v>45052.37226851852</v>
      </c>
    </row>
    <row r="428" spans="1:5" x14ac:dyDescent="0.35">
      <c r="A428" s="11" t="s">
        <v>954</v>
      </c>
      <c r="B428" s="11" t="s">
        <v>453</v>
      </c>
      <c r="E428" s="41">
        <v>45055.333645833336</v>
      </c>
    </row>
    <row r="429" spans="1:5" x14ac:dyDescent="0.35">
      <c r="A429" s="11" t="s">
        <v>955</v>
      </c>
      <c r="B429" s="11" t="s">
        <v>452</v>
      </c>
      <c r="E429" s="41">
        <v>45055.333981481483</v>
      </c>
    </row>
    <row r="430" spans="1:5" x14ac:dyDescent="0.35">
      <c r="A430" s="11" t="s">
        <v>956</v>
      </c>
      <c r="B430" s="11" t="s">
        <v>452</v>
      </c>
      <c r="E430" s="41">
        <v>45055.334027777775</v>
      </c>
    </row>
    <row r="431" spans="1:5" x14ac:dyDescent="0.35">
      <c r="A431" s="11" t="s">
        <v>953</v>
      </c>
      <c r="B431" s="11" t="s">
        <v>946</v>
      </c>
      <c r="E431" s="41">
        <v>45055.340821759259</v>
      </c>
    </row>
    <row r="432" spans="1:5" x14ac:dyDescent="0.35">
      <c r="A432" s="11" t="s">
        <v>953</v>
      </c>
      <c r="B432" s="11" t="s">
        <v>946</v>
      </c>
      <c r="E432" s="41">
        <v>45055.340844907405</v>
      </c>
    </row>
    <row r="433" spans="1:5" x14ac:dyDescent="0.35">
      <c r="A433" s="11" t="s">
        <v>957</v>
      </c>
      <c r="B433" s="11" t="s">
        <v>948</v>
      </c>
      <c r="E433" s="41">
        <v>45055.344236111108</v>
      </c>
    </row>
    <row r="434" spans="1:5" x14ac:dyDescent="0.35">
      <c r="A434" s="11" t="s">
        <v>958</v>
      </c>
      <c r="B434" s="11" t="s">
        <v>948</v>
      </c>
      <c r="E434" s="41">
        <v>45055.344293981485</v>
      </c>
    </row>
    <row r="435" spans="1:5" x14ac:dyDescent="0.35">
      <c r="A435" s="11" t="s">
        <v>959</v>
      </c>
      <c r="B435" s="11" t="s">
        <v>948</v>
      </c>
      <c r="E435" s="41">
        <v>45055.344328703701</v>
      </c>
    </row>
    <row r="436" spans="1:5" x14ac:dyDescent="0.35">
      <c r="A436" s="11" t="s">
        <v>943</v>
      </c>
      <c r="B436" s="11" t="s">
        <v>935</v>
      </c>
      <c r="E436" s="41">
        <v>45055.345069444447</v>
      </c>
    </row>
    <row r="437" spans="1:5" x14ac:dyDescent="0.35">
      <c r="A437" s="11" t="s">
        <v>942</v>
      </c>
      <c r="B437" s="11" t="s">
        <v>938</v>
      </c>
      <c r="E437" s="41">
        <v>45055.345081018517</v>
      </c>
    </row>
    <row r="438" spans="1:5" x14ac:dyDescent="0.35">
      <c r="A438" s="11" t="s">
        <v>1005</v>
      </c>
      <c r="B438" s="11" t="s">
        <v>986</v>
      </c>
      <c r="E438" s="41">
        <v>45061.541759259257</v>
      </c>
    </row>
    <row r="439" spans="1:5" x14ac:dyDescent="0.35">
      <c r="A439" s="11" t="s">
        <v>1003</v>
      </c>
      <c r="B439" s="11" t="s">
        <v>987</v>
      </c>
      <c r="E439" s="41">
        <v>45061.54178240741</v>
      </c>
    </row>
    <row r="440" spans="1:5" x14ac:dyDescent="0.35">
      <c r="A440" s="11" t="s">
        <v>1010</v>
      </c>
      <c r="B440" s="11" t="s">
        <v>992</v>
      </c>
      <c r="E440" s="41">
        <v>45061.541805555556</v>
      </c>
    </row>
    <row r="441" spans="1:5" x14ac:dyDescent="0.35">
      <c r="A441" s="11" t="s">
        <v>1006</v>
      </c>
      <c r="B441" s="11" t="s">
        <v>983</v>
      </c>
      <c r="E441" s="41">
        <v>45061.54184027778</v>
      </c>
    </row>
    <row r="442" spans="1:5" x14ac:dyDescent="0.35">
      <c r="A442" s="11" t="s">
        <v>1004</v>
      </c>
      <c r="B442" s="11" t="s">
        <v>984</v>
      </c>
      <c r="E442" s="41">
        <v>45061.541863425926</v>
      </c>
    </row>
    <row r="443" spans="1:5" x14ac:dyDescent="0.35">
      <c r="A443" s="11" t="s">
        <v>1008</v>
      </c>
      <c r="B443" s="11" t="s">
        <v>989</v>
      </c>
      <c r="E443" s="41">
        <v>45061.541898148149</v>
      </c>
    </row>
    <row r="444" spans="1:5" x14ac:dyDescent="0.35">
      <c r="A444" s="11" t="s">
        <v>1009</v>
      </c>
      <c r="B444" s="11" t="s">
        <v>991</v>
      </c>
      <c r="E444" s="41">
        <v>45061.541921296295</v>
      </c>
    </row>
    <row r="445" spans="1:5" x14ac:dyDescent="0.35">
      <c r="A445" s="11" t="s">
        <v>1009</v>
      </c>
      <c r="B445" s="11" t="s">
        <v>991</v>
      </c>
      <c r="E445" s="41">
        <v>45061.541979166665</v>
      </c>
    </row>
    <row r="446" spans="1:5" x14ac:dyDescent="0.35">
      <c r="A446" s="11" t="s">
        <v>1011</v>
      </c>
      <c r="B446" s="11" t="s">
        <v>990</v>
      </c>
      <c r="E446" s="41">
        <v>45061.542025462964</v>
      </c>
    </row>
    <row r="447" spans="1:5" x14ac:dyDescent="0.35">
      <c r="A447" s="11" t="s">
        <v>1007</v>
      </c>
      <c r="B447" s="11" t="s">
        <v>985</v>
      </c>
      <c r="E447" s="41">
        <v>45061.542060185187</v>
      </c>
    </row>
    <row r="448" spans="1:5" x14ac:dyDescent="0.35">
      <c r="A448" s="11" t="s">
        <v>1015</v>
      </c>
      <c r="B448" s="11" t="s">
        <v>985</v>
      </c>
      <c r="E448" s="41">
        <v>45061.542361111111</v>
      </c>
    </row>
    <row r="449" spans="1:5" x14ac:dyDescent="0.35">
      <c r="A449" s="11" t="s">
        <v>1018</v>
      </c>
      <c r="B449" s="11" t="s">
        <v>983</v>
      </c>
      <c r="E449" s="41">
        <v>45061.542384259257</v>
      </c>
    </row>
    <row r="450" spans="1:5" x14ac:dyDescent="0.35">
      <c r="A450" s="11" t="s">
        <v>1012</v>
      </c>
      <c r="B450" s="11" t="s">
        <v>991</v>
      </c>
      <c r="E450" s="41">
        <v>45061.54241898148</v>
      </c>
    </row>
    <row r="451" spans="1:5" x14ac:dyDescent="0.35">
      <c r="A451" s="11" t="s">
        <v>1012</v>
      </c>
      <c r="B451" s="11" t="s">
        <v>991</v>
      </c>
      <c r="E451" s="41">
        <v>45061.54246527778</v>
      </c>
    </row>
    <row r="452" spans="1:5" x14ac:dyDescent="0.35">
      <c r="A452" s="11" t="s">
        <v>1014</v>
      </c>
      <c r="B452" s="11" t="s">
        <v>990</v>
      </c>
      <c r="E452" s="41">
        <v>45061.542488425926</v>
      </c>
    </row>
    <row r="453" spans="1:5" x14ac:dyDescent="0.35">
      <c r="A453" s="11" t="s">
        <v>1021</v>
      </c>
      <c r="B453" s="11" t="s">
        <v>988</v>
      </c>
      <c r="E453" s="41">
        <v>45061.542523148149</v>
      </c>
    </row>
    <row r="454" spans="1:5" x14ac:dyDescent="0.35">
      <c r="A454" s="11" t="s">
        <v>1019</v>
      </c>
      <c r="B454" s="11" t="s">
        <v>984</v>
      </c>
      <c r="E454" s="41">
        <v>45061.542546296296</v>
      </c>
    </row>
    <row r="455" spans="1:5" x14ac:dyDescent="0.35">
      <c r="A455" s="11" t="s">
        <v>1020</v>
      </c>
      <c r="B455" s="11" t="s">
        <v>992</v>
      </c>
      <c r="E455" s="41">
        <v>45061.542627314811</v>
      </c>
    </row>
    <row r="456" spans="1:5" x14ac:dyDescent="0.35">
      <c r="A456" s="11" t="s">
        <v>1017</v>
      </c>
      <c r="B456" s="11" t="s">
        <v>989</v>
      </c>
      <c r="E456" s="41">
        <v>45061.54928240741</v>
      </c>
    </row>
    <row r="457" spans="1:5" x14ac:dyDescent="0.35">
      <c r="A457" s="11" t="s">
        <v>1013</v>
      </c>
      <c r="B457" s="11" t="s">
        <v>986</v>
      </c>
      <c r="E457" s="41">
        <v>45061.549317129633</v>
      </c>
    </row>
    <row r="458" spans="1:5" x14ac:dyDescent="0.35">
      <c r="A458" s="11" t="s">
        <v>1016</v>
      </c>
      <c r="B458" s="11" t="s">
        <v>987</v>
      </c>
      <c r="E458" s="41">
        <v>45061.549340277779</v>
      </c>
    </row>
    <row r="459" spans="1:5" x14ac:dyDescent="0.35">
      <c r="A459" s="11" t="s">
        <v>1028</v>
      </c>
      <c r="B459" s="11" t="s">
        <v>450</v>
      </c>
      <c r="E459" s="41">
        <v>45063.317766203705</v>
      </c>
    </row>
    <row r="460" spans="1:5" x14ac:dyDescent="0.35">
      <c r="A460" s="11" t="s">
        <v>1028</v>
      </c>
      <c r="B460" s="11" t="s">
        <v>450</v>
      </c>
      <c r="E460" s="41">
        <v>45063.317812499998</v>
      </c>
    </row>
    <row r="461" spans="1:5" x14ac:dyDescent="0.35">
      <c r="A461" s="11" t="s">
        <v>1029</v>
      </c>
      <c r="B461" s="11" t="s">
        <v>450</v>
      </c>
      <c r="E461" s="41">
        <v>45063.317893518521</v>
      </c>
    </row>
    <row r="462" spans="1:5" x14ac:dyDescent="0.35">
      <c r="A462" s="11" t="s">
        <v>1029</v>
      </c>
      <c r="B462" s="11" t="s">
        <v>450</v>
      </c>
      <c r="E462" s="41">
        <v>45063.317928240744</v>
      </c>
    </row>
    <row r="463" spans="1:5" x14ac:dyDescent="0.35">
      <c r="A463" s="11" t="s">
        <v>1030</v>
      </c>
      <c r="B463" s="11" t="s">
        <v>450</v>
      </c>
      <c r="E463" s="41">
        <v>45063.317974537036</v>
      </c>
    </row>
    <row r="464" spans="1:5" x14ac:dyDescent="0.35">
      <c r="A464" s="11" t="s">
        <v>1030</v>
      </c>
      <c r="B464" s="11" t="s">
        <v>450</v>
      </c>
      <c r="E464" s="41">
        <v>45063.318009259259</v>
      </c>
    </row>
    <row r="465" spans="1:5" x14ac:dyDescent="0.35">
      <c r="A465" s="11" t="s">
        <v>1031</v>
      </c>
      <c r="B465" s="11" t="s">
        <v>450</v>
      </c>
      <c r="E465" s="41">
        <v>45063.318043981482</v>
      </c>
    </row>
    <row r="466" spans="1:5" x14ac:dyDescent="0.35">
      <c r="A466" s="11" t="s">
        <v>1031</v>
      </c>
      <c r="B466" s="11" t="s">
        <v>450</v>
      </c>
      <c r="E466" s="41">
        <v>45063.318067129629</v>
      </c>
    </row>
    <row r="467" spans="1:5" x14ac:dyDescent="0.35">
      <c r="A467" s="11" t="s">
        <v>962</v>
      </c>
      <c r="B467" s="11" t="s">
        <v>935</v>
      </c>
      <c r="E467" s="41">
        <v>45078.3122337963</v>
      </c>
    </row>
    <row r="468" spans="1:5" x14ac:dyDescent="0.35">
      <c r="A468" s="11" t="s">
        <v>1038</v>
      </c>
      <c r="B468" s="11" t="s">
        <v>441</v>
      </c>
      <c r="E468" s="41">
        <v>45078.312407407408</v>
      </c>
    </row>
    <row r="469" spans="1:5" x14ac:dyDescent="0.35">
      <c r="A469" s="11" t="s">
        <v>1038</v>
      </c>
      <c r="B469" s="11" t="s">
        <v>441</v>
      </c>
      <c r="E469" s="41">
        <v>45078.312430555554</v>
      </c>
    </row>
    <row r="470" spans="1:5" x14ac:dyDescent="0.35">
      <c r="A470" s="11" t="s">
        <v>1038</v>
      </c>
      <c r="B470" s="11" t="s">
        <v>441</v>
      </c>
      <c r="E470" s="41">
        <v>45078.312465277777</v>
      </c>
    </row>
    <row r="471" spans="1:5" x14ac:dyDescent="0.35">
      <c r="A471" s="11" t="s">
        <v>1038</v>
      </c>
      <c r="B471" s="11" t="s">
        <v>441</v>
      </c>
      <c r="E471" s="41">
        <v>45078.3125</v>
      </c>
    </row>
    <row r="472" spans="1:5" x14ac:dyDescent="0.35">
      <c r="A472" s="11" t="s">
        <v>1038</v>
      </c>
      <c r="B472" s="11" t="s">
        <v>441</v>
      </c>
      <c r="E472" s="41">
        <v>45078.312523148146</v>
      </c>
    </row>
    <row r="473" spans="1:5" x14ac:dyDescent="0.35">
      <c r="A473" s="11" t="s">
        <v>1027</v>
      </c>
      <c r="B473" s="11" t="s">
        <v>975</v>
      </c>
      <c r="E473" s="41">
        <v>45078.3125462963</v>
      </c>
    </row>
    <row r="474" spans="1:5" x14ac:dyDescent="0.35">
      <c r="A474" s="11" t="s">
        <v>1027</v>
      </c>
      <c r="B474" s="11" t="s">
        <v>975</v>
      </c>
      <c r="E474" s="41">
        <v>45078.312581018516</v>
      </c>
    </row>
    <row r="475" spans="1:5" x14ac:dyDescent="0.35">
      <c r="A475" s="11" t="s">
        <v>1043</v>
      </c>
      <c r="B475" s="11" t="s">
        <v>1034</v>
      </c>
      <c r="E475" s="41">
        <v>45078.313634259262</v>
      </c>
    </row>
    <row r="476" spans="1:5" x14ac:dyDescent="0.35">
      <c r="A476" s="11" t="s">
        <v>1043</v>
      </c>
      <c r="B476" s="11" t="s">
        <v>1034</v>
      </c>
      <c r="E476" s="41">
        <v>45078.313692129632</v>
      </c>
    </row>
    <row r="477" spans="1:5" x14ac:dyDescent="0.35">
      <c r="A477" s="11" t="s">
        <v>1002</v>
      </c>
      <c r="B477" s="11" t="s">
        <v>973</v>
      </c>
      <c r="E477" s="41">
        <v>45078.313877314817</v>
      </c>
    </row>
    <row r="478" spans="1:5" x14ac:dyDescent="0.35">
      <c r="A478" s="11" t="s">
        <v>1042</v>
      </c>
      <c r="B478" s="11" t="s">
        <v>976</v>
      </c>
      <c r="E478" s="41">
        <v>45084.515648148146</v>
      </c>
    </row>
    <row r="479" spans="1:5" x14ac:dyDescent="0.35">
      <c r="A479" s="11" t="s">
        <v>1041</v>
      </c>
      <c r="B479" s="11" t="s">
        <v>981</v>
      </c>
      <c r="E479" s="41">
        <v>45084.515706018516</v>
      </c>
    </row>
    <row r="480" spans="1:5" x14ac:dyDescent="0.35">
      <c r="A480" s="11" t="s">
        <v>1044</v>
      </c>
      <c r="B480" s="11" t="s">
        <v>982</v>
      </c>
      <c r="E480" s="41">
        <v>45084.515717592592</v>
      </c>
    </row>
    <row r="481" spans="1:5" x14ac:dyDescent="0.35">
      <c r="A481" s="11" t="s">
        <v>1036</v>
      </c>
      <c r="B481" s="11" t="s">
        <v>1033</v>
      </c>
      <c r="E481" s="41">
        <v>45084.515810185185</v>
      </c>
    </row>
    <row r="482" spans="1:5" x14ac:dyDescent="0.35">
      <c r="A482" s="11" t="s">
        <v>1035</v>
      </c>
      <c r="B482" s="11" t="s">
        <v>1033</v>
      </c>
      <c r="E482" s="41">
        <v>45084.515833333331</v>
      </c>
    </row>
    <row r="483" spans="1:5" x14ac:dyDescent="0.35">
      <c r="A483" s="11" t="s">
        <v>1035</v>
      </c>
      <c r="B483" s="11" t="s">
        <v>1033</v>
      </c>
      <c r="E483" s="41">
        <v>45084.515925925924</v>
      </c>
    </row>
    <row r="484" spans="1:5" x14ac:dyDescent="0.35">
      <c r="A484" s="11" t="s">
        <v>1054</v>
      </c>
      <c r="B484" s="11" t="s">
        <v>1040</v>
      </c>
      <c r="E484" s="41">
        <v>45084.515949074077</v>
      </c>
    </row>
    <row r="485" spans="1:5" x14ac:dyDescent="0.35">
      <c r="A485" s="11" t="s">
        <v>1047</v>
      </c>
      <c r="B485" s="11" t="s">
        <v>980</v>
      </c>
      <c r="E485" s="41">
        <v>45084.516041666669</v>
      </c>
    </row>
    <row r="486" spans="1:5" x14ac:dyDescent="0.35">
      <c r="A486" s="11" t="s">
        <v>1045</v>
      </c>
      <c r="B486" s="11" t="s">
        <v>665</v>
      </c>
      <c r="E486" s="41">
        <v>45084.516689814816</v>
      </c>
    </row>
    <row r="487" spans="1:5" x14ac:dyDescent="0.35">
      <c r="A487" s="11" t="s">
        <v>1046</v>
      </c>
      <c r="B487" s="11" t="s">
        <v>665</v>
      </c>
      <c r="E487" s="41">
        <v>45084.516724537039</v>
      </c>
    </row>
    <row r="488" spans="1:5" x14ac:dyDescent="0.35">
      <c r="A488" s="11" t="s">
        <v>1048</v>
      </c>
      <c r="B488" s="11" t="s">
        <v>247</v>
      </c>
      <c r="E488" s="41">
        <v>45087.304050925923</v>
      </c>
    </row>
    <row r="489" spans="1:5" x14ac:dyDescent="0.35">
      <c r="A489" s="11" t="s">
        <v>1057</v>
      </c>
      <c r="B489" s="11" t="s">
        <v>246</v>
      </c>
      <c r="E489" s="41">
        <v>45087.304375</v>
      </c>
    </row>
    <row r="490" spans="1:5" x14ac:dyDescent="0.35">
      <c r="A490" s="11" t="s">
        <v>1058</v>
      </c>
      <c r="B490" s="11" t="s">
        <v>248</v>
      </c>
      <c r="E490" s="41">
        <v>45087.304398148146</v>
      </c>
    </row>
    <row r="491" spans="1:5" x14ac:dyDescent="0.35">
      <c r="A491" s="11" t="s">
        <v>1058</v>
      </c>
      <c r="B491" s="11" t="s">
        <v>248</v>
      </c>
      <c r="E491" s="41">
        <v>45087.3044212963</v>
      </c>
    </row>
    <row r="492" spans="1:5" x14ac:dyDescent="0.35">
      <c r="A492" s="11" t="s">
        <v>1039</v>
      </c>
      <c r="B492" s="11" t="s">
        <v>582</v>
      </c>
      <c r="E492" s="41">
        <v>45087.3046412037</v>
      </c>
    </row>
    <row r="493" spans="1:5" x14ac:dyDescent="0.35">
      <c r="A493" s="11" t="s">
        <v>1055</v>
      </c>
      <c r="B493" s="11" t="s">
        <v>996</v>
      </c>
      <c r="E493" s="41">
        <v>45087.305856481478</v>
      </c>
    </row>
    <row r="494" spans="1:5" x14ac:dyDescent="0.35">
      <c r="A494" s="11" t="s">
        <v>1056</v>
      </c>
      <c r="B494" s="11" t="s">
        <v>995</v>
      </c>
      <c r="E494" s="41">
        <v>45087.305868055555</v>
      </c>
    </row>
    <row r="495" spans="1:5" x14ac:dyDescent="0.35">
      <c r="A495" s="11" t="s">
        <v>1061</v>
      </c>
      <c r="B495" s="11" t="s">
        <v>997</v>
      </c>
      <c r="E495" s="41">
        <v>45087.305891203701</v>
      </c>
    </row>
    <row r="496" spans="1:5" x14ac:dyDescent="0.35">
      <c r="A496" s="11" t="s">
        <v>1062</v>
      </c>
      <c r="B496" s="11" t="s">
        <v>999</v>
      </c>
      <c r="E496" s="41">
        <v>45087.305925925924</v>
      </c>
    </row>
    <row r="497" spans="1:5" x14ac:dyDescent="0.35">
      <c r="A497" s="11" t="s">
        <v>1065</v>
      </c>
      <c r="B497" s="11" t="s">
        <v>997</v>
      </c>
      <c r="E497" s="41">
        <v>45087.306273148148</v>
      </c>
    </row>
    <row r="498" spans="1:5" x14ac:dyDescent="0.35">
      <c r="A498" s="11" t="s">
        <v>1065</v>
      </c>
      <c r="B498" s="11" t="s">
        <v>997</v>
      </c>
      <c r="E498" s="41">
        <v>45087.306296296294</v>
      </c>
    </row>
    <row r="499" spans="1:5" x14ac:dyDescent="0.35">
      <c r="A499" s="11" t="s">
        <v>1065</v>
      </c>
      <c r="B499" s="11" t="s">
        <v>997</v>
      </c>
      <c r="E499" s="41">
        <v>45087.306319444448</v>
      </c>
    </row>
    <row r="500" spans="1:5" x14ac:dyDescent="0.35">
      <c r="A500" s="11" t="s">
        <v>1065</v>
      </c>
      <c r="B500" s="11" t="s">
        <v>997</v>
      </c>
      <c r="E500" s="41">
        <v>45087.306354166663</v>
      </c>
    </row>
    <row r="501" spans="1:5" x14ac:dyDescent="0.35">
      <c r="A501" s="11" t="s">
        <v>1063</v>
      </c>
      <c r="B501" s="11" t="s">
        <v>978</v>
      </c>
      <c r="E501" s="41">
        <v>45091.329814814817</v>
      </c>
    </row>
    <row r="502" spans="1:5" x14ac:dyDescent="0.35">
      <c r="A502" s="11" t="s">
        <v>1049</v>
      </c>
      <c r="B502" s="11" t="s">
        <v>1001</v>
      </c>
      <c r="E502" s="41">
        <v>45091.330625000002</v>
      </c>
    </row>
    <row r="503" spans="1:5" x14ac:dyDescent="0.35">
      <c r="A503" s="11" t="s">
        <v>1051</v>
      </c>
      <c r="B503" s="11" t="s">
        <v>1000</v>
      </c>
      <c r="E503" s="41">
        <v>45091.330763888887</v>
      </c>
    </row>
    <row r="504" spans="1:5" x14ac:dyDescent="0.35">
      <c r="A504" s="11" t="s">
        <v>1050</v>
      </c>
      <c r="B504" s="11" t="s">
        <v>1001</v>
      </c>
      <c r="E504" s="41">
        <v>45091.331006944441</v>
      </c>
    </row>
    <row r="505" spans="1:5" x14ac:dyDescent="0.35">
      <c r="A505" s="11" t="s">
        <v>1059</v>
      </c>
      <c r="B505" s="11" t="s">
        <v>937</v>
      </c>
      <c r="E505" s="41">
        <v>45091.33116898148</v>
      </c>
    </row>
    <row r="506" spans="1:5" x14ac:dyDescent="0.35">
      <c r="A506" s="11" t="s">
        <v>1053</v>
      </c>
      <c r="B506" s="11" t="s">
        <v>1037</v>
      </c>
      <c r="E506" s="41">
        <v>45094.303888888891</v>
      </c>
    </row>
    <row r="507" spans="1:5" x14ac:dyDescent="0.35">
      <c r="A507" s="11" t="s">
        <v>1053</v>
      </c>
      <c r="B507" s="11" t="s">
        <v>1037</v>
      </c>
      <c r="E507" s="41">
        <v>45094.303912037038</v>
      </c>
    </row>
    <row r="508" spans="1:5" x14ac:dyDescent="0.35">
      <c r="A508" s="11" t="s">
        <v>1053</v>
      </c>
      <c r="B508" s="11" t="s">
        <v>1037</v>
      </c>
      <c r="E508" s="41">
        <v>45094.303935185184</v>
      </c>
    </row>
    <row r="509" spans="1:5" x14ac:dyDescent="0.35">
      <c r="A509" s="11" t="s">
        <v>1064</v>
      </c>
      <c r="B509" s="11" t="s">
        <v>467</v>
      </c>
      <c r="E509" s="41">
        <v>45094.303981481484</v>
      </c>
    </row>
    <row r="510" spans="1:5" x14ac:dyDescent="0.35">
      <c r="A510" s="11" t="s">
        <v>1064</v>
      </c>
      <c r="B510" s="11" t="s">
        <v>467</v>
      </c>
      <c r="E510" s="41">
        <v>45094.30400462963</v>
      </c>
    </row>
    <row r="511" spans="1:5" x14ac:dyDescent="0.35">
      <c r="A511" s="11" t="s">
        <v>1060</v>
      </c>
      <c r="B511" s="11" t="s">
        <v>1040</v>
      </c>
      <c r="E511" s="41">
        <v>45098.326423611114</v>
      </c>
    </row>
    <row r="512" spans="1:5" x14ac:dyDescent="0.35">
      <c r="A512" s="11" t="s">
        <v>1078</v>
      </c>
      <c r="B512" s="11" t="s">
        <v>248</v>
      </c>
      <c r="E512" s="41">
        <v>45133.310034722221</v>
      </c>
    </row>
    <row r="513" spans="1:5" x14ac:dyDescent="0.35">
      <c r="A513" s="11" t="s">
        <v>1069</v>
      </c>
      <c r="B513" s="11" t="s">
        <v>1032</v>
      </c>
      <c r="E513" s="41">
        <v>45133.310057870367</v>
      </c>
    </row>
    <row r="514" spans="1:5" x14ac:dyDescent="0.35">
      <c r="A514" s="11" t="s">
        <v>1081</v>
      </c>
      <c r="B514" s="11" t="s">
        <v>239</v>
      </c>
      <c r="E514" s="41">
        <v>45133.31009259259</v>
      </c>
    </row>
    <row r="515" spans="1:5" x14ac:dyDescent="0.35">
      <c r="A515" s="11" t="s">
        <v>1083</v>
      </c>
      <c r="B515" s="11" t="s">
        <v>239</v>
      </c>
      <c r="E515" s="41">
        <v>45133.310127314813</v>
      </c>
    </row>
    <row r="516" spans="1:5" x14ac:dyDescent="0.35">
      <c r="A516" s="11" t="s">
        <v>1083</v>
      </c>
      <c r="B516" s="11" t="s">
        <v>239</v>
      </c>
      <c r="E516" s="41">
        <v>45133.310150462959</v>
      </c>
    </row>
    <row r="517" spans="1:5" x14ac:dyDescent="0.35">
      <c r="A517" s="11" t="s">
        <v>1070</v>
      </c>
      <c r="B517" s="11" t="s">
        <v>998</v>
      </c>
      <c r="E517" s="41">
        <v>45133.310370370367</v>
      </c>
    </row>
    <row r="518" spans="1:5" x14ac:dyDescent="0.35">
      <c r="A518" s="11" t="s">
        <v>1077</v>
      </c>
      <c r="B518" s="11" t="s">
        <v>947</v>
      </c>
      <c r="E518" s="41">
        <v>45135.305671296293</v>
      </c>
    </row>
    <row r="519" spans="1:5" x14ac:dyDescent="0.35">
      <c r="A519" s="11" t="s">
        <v>1084</v>
      </c>
      <c r="B519" s="11" t="s">
        <v>947</v>
      </c>
      <c r="E519" s="41">
        <v>45135.30574074074</v>
      </c>
    </row>
    <row r="520" spans="1:5" x14ac:dyDescent="0.35">
      <c r="A520" s="11" t="s">
        <v>1085</v>
      </c>
      <c r="B520" s="11" t="s">
        <v>979</v>
      </c>
      <c r="E520" s="41">
        <v>45135.305914351855</v>
      </c>
    </row>
    <row r="521" spans="1:5" x14ac:dyDescent="0.35">
      <c r="A521" t="s">
        <v>1080</v>
      </c>
      <c r="B521" t="s">
        <v>1079</v>
      </c>
      <c r="C521">
        <v>175379</v>
      </c>
      <c r="D521" t="s">
        <v>26</v>
      </c>
      <c r="E521" s="41">
        <v>45138.395520833335</v>
      </c>
    </row>
    <row r="522" spans="1:5" x14ac:dyDescent="0.35">
      <c r="A522" t="s">
        <v>1080</v>
      </c>
      <c r="B522" t="s">
        <v>1079</v>
      </c>
      <c r="C522">
        <v>175379</v>
      </c>
      <c r="D522" t="s">
        <v>26</v>
      </c>
      <c r="E522" s="41">
        <v>45138.395624999997</v>
      </c>
    </row>
    <row r="523" spans="1:5" x14ac:dyDescent="0.35">
      <c r="A523" s="11" t="s">
        <v>1121</v>
      </c>
      <c r="B523" s="11" t="s">
        <v>1120</v>
      </c>
      <c r="E523" s="41">
        <v>45142.295775462961</v>
      </c>
    </row>
    <row r="524" spans="1:5" x14ac:dyDescent="0.35">
      <c r="A524" s="11" t="s">
        <v>1121</v>
      </c>
      <c r="B524" s="11" t="s">
        <v>1120</v>
      </c>
      <c r="E524" s="41">
        <v>45142.295798611114</v>
      </c>
    </row>
    <row r="525" spans="1:5" x14ac:dyDescent="0.35">
      <c r="A525" s="11" t="s">
        <v>1122</v>
      </c>
      <c r="B525" s="11" t="s">
        <v>1119</v>
      </c>
      <c r="E525" s="41">
        <v>45142.29582175926</v>
      </c>
    </row>
    <row r="526" spans="1:5" x14ac:dyDescent="0.35">
      <c r="A526" s="11" t="s">
        <v>1122</v>
      </c>
      <c r="B526" s="11" t="s">
        <v>1119</v>
      </c>
      <c r="E526" s="41">
        <v>45142.295856481483</v>
      </c>
    </row>
    <row r="527" spans="1:5" x14ac:dyDescent="0.35">
      <c r="A527" s="11" t="s">
        <v>1122</v>
      </c>
      <c r="B527" s="11" t="s">
        <v>1119</v>
      </c>
      <c r="E527" s="41">
        <v>45142.29587962963</v>
      </c>
    </row>
    <row r="528" spans="1:5" x14ac:dyDescent="0.35">
      <c r="A528" s="11" t="s">
        <v>1122</v>
      </c>
      <c r="B528" s="11" t="s">
        <v>1119</v>
      </c>
      <c r="E528" s="41">
        <v>45142.295902777776</v>
      </c>
    </row>
    <row r="529" spans="1:5" x14ac:dyDescent="0.35">
      <c r="A529" s="11" t="s">
        <v>1122</v>
      </c>
      <c r="B529" s="11" t="s">
        <v>1119</v>
      </c>
      <c r="E529" s="41">
        <v>45142.295937499999</v>
      </c>
    </row>
    <row r="530" spans="1:5" x14ac:dyDescent="0.35">
      <c r="A530" s="11" t="s">
        <v>1087</v>
      </c>
      <c r="B530" s="11" t="s">
        <v>238</v>
      </c>
      <c r="E530" s="41">
        <v>45149.484884259262</v>
      </c>
    </row>
    <row r="531" spans="1:5" x14ac:dyDescent="0.35">
      <c r="A531" s="11" t="s">
        <v>1088</v>
      </c>
      <c r="B531" s="11" t="s">
        <v>237</v>
      </c>
      <c r="E531" s="41">
        <v>45149.484907407408</v>
      </c>
    </row>
    <row r="532" spans="1:5" x14ac:dyDescent="0.35">
      <c r="A532" s="11" t="s">
        <v>1090</v>
      </c>
      <c r="B532" s="11" t="s">
        <v>978</v>
      </c>
      <c r="E532" s="41">
        <v>45149.485011574077</v>
      </c>
    </row>
    <row r="533" spans="1:5" x14ac:dyDescent="0.35">
      <c r="A533" s="11" t="s">
        <v>1090</v>
      </c>
      <c r="B533" s="11" t="s">
        <v>978</v>
      </c>
      <c r="E533" s="41">
        <v>45149.485034722224</v>
      </c>
    </row>
    <row r="534" spans="1:5" x14ac:dyDescent="0.35">
      <c r="A534" s="11" t="s">
        <v>1133</v>
      </c>
      <c r="B534" s="11" t="s">
        <v>440</v>
      </c>
      <c r="E534" s="41">
        <v>45181.615868055553</v>
      </c>
    </row>
    <row r="535" spans="1:5" x14ac:dyDescent="0.35">
      <c r="A535" s="11" t="s">
        <v>1135</v>
      </c>
      <c r="B535" s="11" t="s">
        <v>440</v>
      </c>
      <c r="E535" s="41">
        <v>45181.615891203706</v>
      </c>
    </row>
    <row r="536" spans="1:5" x14ac:dyDescent="0.35">
      <c r="A536" s="11" t="s">
        <v>1135</v>
      </c>
      <c r="B536" s="11" t="s">
        <v>440</v>
      </c>
      <c r="E536" s="41">
        <v>45181.615914351853</v>
      </c>
    </row>
    <row r="537" spans="1:5" x14ac:dyDescent="0.35">
      <c r="A537" s="11" t="s">
        <v>1136</v>
      </c>
      <c r="B537" s="11" t="s">
        <v>440</v>
      </c>
      <c r="E537" s="41">
        <v>45181.615949074076</v>
      </c>
    </row>
    <row r="538" spans="1:5" x14ac:dyDescent="0.35">
      <c r="A538" s="11" t="s">
        <v>1137</v>
      </c>
      <c r="B538" s="11" t="s">
        <v>440</v>
      </c>
      <c r="E538" s="41">
        <v>45181.615983796299</v>
      </c>
    </row>
    <row r="539" spans="1:5" x14ac:dyDescent="0.35">
      <c r="A539" s="11" t="s">
        <v>1134</v>
      </c>
      <c r="B539" s="11" t="s">
        <v>1131</v>
      </c>
      <c r="E539" s="41">
        <v>45181.616215277776</v>
      </c>
    </row>
    <row r="540" spans="1:5" x14ac:dyDescent="0.35">
      <c r="A540" s="11" t="s">
        <v>1134</v>
      </c>
      <c r="B540" s="11" t="s">
        <v>1131</v>
      </c>
      <c r="E540" s="41">
        <v>45181.616238425922</v>
      </c>
    </row>
    <row r="541" spans="1:5" x14ac:dyDescent="0.35">
      <c r="A541" s="11" t="s">
        <v>1134</v>
      </c>
      <c r="B541" s="11" t="s">
        <v>1131</v>
      </c>
      <c r="E541" s="41">
        <v>45181.616261574076</v>
      </c>
    </row>
    <row r="542" spans="1:5" x14ac:dyDescent="0.35">
      <c r="A542" s="11" t="s">
        <v>1123</v>
      </c>
      <c r="B542" s="11" t="s">
        <v>243</v>
      </c>
      <c r="E542" s="41">
        <v>45181.617337962962</v>
      </c>
    </row>
    <row r="543" spans="1:5" x14ac:dyDescent="0.35">
      <c r="A543" s="11" t="s">
        <v>1124</v>
      </c>
      <c r="B543" s="11" t="s">
        <v>583</v>
      </c>
      <c r="E543" s="41">
        <v>45181.617361111108</v>
      </c>
    </row>
    <row r="544" spans="1:5" x14ac:dyDescent="0.35">
      <c r="A544" s="11" t="s">
        <v>1169</v>
      </c>
      <c r="B544" s="11" t="s">
        <v>1082</v>
      </c>
      <c r="E544" s="41">
        <v>45195.580300925925</v>
      </c>
    </row>
    <row r="545" spans="1:5" x14ac:dyDescent="0.35">
      <c r="A545" s="11" t="s">
        <v>1170</v>
      </c>
      <c r="B545" s="11" t="s">
        <v>1082</v>
      </c>
      <c r="E545" s="41">
        <v>45195.580324074072</v>
      </c>
    </row>
    <row r="546" spans="1:5" x14ac:dyDescent="0.35">
      <c r="A546" s="11" t="s">
        <v>1171</v>
      </c>
      <c r="B546" s="11" t="s">
        <v>1082</v>
      </c>
      <c r="E546" s="41">
        <v>45195.580347222225</v>
      </c>
    </row>
    <row r="547" spans="1:5" x14ac:dyDescent="0.35">
      <c r="A547" s="11" t="s">
        <v>1171</v>
      </c>
      <c r="B547" s="11" t="s">
        <v>1082</v>
      </c>
      <c r="E547" s="41">
        <v>45195.580370370371</v>
      </c>
    </row>
    <row r="548" spans="1:5" x14ac:dyDescent="0.35">
      <c r="A548" s="11" t="s">
        <v>1172</v>
      </c>
      <c r="B548" s="11" t="s">
        <v>1082</v>
      </c>
      <c r="E548" s="41">
        <v>45195.580393518518</v>
      </c>
    </row>
    <row r="549" spans="1:5" x14ac:dyDescent="0.35">
      <c r="A549" s="11" t="s">
        <v>1175</v>
      </c>
      <c r="B549" s="11" t="s">
        <v>179</v>
      </c>
      <c r="E549" s="41">
        <v>45195.580416666664</v>
      </c>
    </row>
    <row r="550" spans="1:5" x14ac:dyDescent="0.35">
      <c r="A550" s="11" t="s">
        <v>1189</v>
      </c>
      <c r="B550" s="11" t="s">
        <v>179</v>
      </c>
      <c r="E550" s="41">
        <v>45195.58048611111</v>
      </c>
    </row>
    <row r="551" spans="1:5" x14ac:dyDescent="0.35">
      <c r="A551" s="11" t="s">
        <v>1193</v>
      </c>
      <c r="B551" s="11" t="s">
        <v>179</v>
      </c>
      <c r="E551" s="41">
        <v>45195.580509259256</v>
      </c>
    </row>
    <row r="552" spans="1:5" x14ac:dyDescent="0.35">
      <c r="A552" s="11" t="s">
        <v>1193</v>
      </c>
      <c r="B552" s="11" t="s">
        <v>179</v>
      </c>
      <c r="E552" s="41">
        <v>45195.58053240741</v>
      </c>
    </row>
    <row r="553" spans="1:5" x14ac:dyDescent="0.35">
      <c r="A553" s="11" t="s">
        <v>1202</v>
      </c>
      <c r="B553" s="11" t="s">
        <v>179</v>
      </c>
      <c r="E553" s="41">
        <v>45195.580590277779</v>
      </c>
    </row>
    <row r="554" spans="1:5" x14ac:dyDescent="0.35">
      <c r="A554" s="11" t="s">
        <v>1142</v>
      </c>
      <c r="B554" s="11" t="s">
        <v>1086</v>
      </c>
      <c r="E554" s="41">
        <v>45195.581111111111</v>
      </c>
    </row>
    <row r="555" spans="1:5" x14ac:dyDescent="0.35">
      <c r="A555" s="11" t="s">
        <v>1142</v>
      </c>
      <c r="B555" s="11" t="s">
        <v>1086</v>
      </c>
      <c r="E555" s="41">
        <v>45195.581157407411</v>
      </c>
    </row>
    <row r="556" spans="1:5" x14ac:dyDescent="0.35">
      <c r="A556" s="11" t="s">
        <v>1147</v>
      </c>
      <c r="B556" s="11" t="s">
        <v>464</v>
      </c>
      <c r="E556" s="41">
        <v>45195.581377314818</v>
      </c>
    </row>
    <row r="557" spans="1:5" x14ac:dyDescent="0.35">
      <c r="A557" s="11" t="s">
        <v>1148</v>
      </c>
      <c r="B557" s="11" t="s">
        <v>1076</v>
      </c>
      <c r="E557" s="41">
        <v>45195.581400462965</v>
      </c>
    </row>
    <row r="558" spans="1:5" x14ac:dyDescent="0.35">
      <c r="A558" s="11" t="s">
        <v>1149</v>
      </c>
      <c r="B558" s="11" t="s">
        <v>463</v>
      </c>
      <c r="E558" s="41">
        <v>45195.581423611111</v>
      </c>
    </row>
    <row r="559" spans="1:5" x14ac:dyDescent="0.35">
      <c r="A559" s="11" t="s">
        <v>1150</v>
      </c>
      <c r="B559" s="11" t="s">
        <v>464</v>
      </c>
      <c r="E559" s="41">
        <v>45195.581446759257</v>
      </c>
    </row>
    <row r="560" spans="1:5" x14ac:dyDescent="0.35">
      <c r="A560" s="11" t="s">
        <v>1151</v>
      </c>
      <c r="B560" s="11" t="s">
        <v>463</v>
      </c>
      <c r="E560" s="41">
        <v>45195.581469907411</v>
      </c>
    </row>
    <row r="561" spans="1:5" x14ac:dyDescent="0.35">
      <c r="A561" s="11" t="s">
        <v>1152</v>
      </c>
      <c r="B561" s="11" t="s">
        <v>1076</v>
      </c>
      <c r="E561" s="41">
        <v>45195.581493055557</v>
      </c>
    </row>
    <row r="562" spans="1:5" x14ac:dyDescent="0.35">
      <c r="A562" s="11" t="s">
        <v>1153</v>
      </c>
      <c r="B562" s="11" t="s">
        <v>1076</v>
      </c>
      <c r="E562" s="41">
        <v>45195.581516203703</v>
      </c>
    </row>
    <row r="563" spans="1:5" x14ac:dyDescent="0.35">
      <c r="A563" s="11" t="s">
        <v>1154</v>
      </c>
      <c r="B563" s="11" t="s">
        <v>464</v>
      </c>
      <c r="E563" s="41">
        <v>45195.58153935185</v>
      </c>
    </row>
    <row r="564" spans="1:5" x14ac:dyDescent="0.35">
      <c r="A564" s="11" t="s">
        <v>1155</v>
      </c>
      <c r="B564" s="11" t="s">
        <v>463</v>
      </c>
      <c r="E564" s="41">
        <v>45195.581562500003</v>
      </c>
    </row>
    <row r="565" spans="1:5" x14ac:dyDescent="0.35">
      <c r="A565" s="11" t="s">
        <v>1143</v>
      </c>
      <c r="B565" s="11" t="s">
        <v>1130</v>
      </c>
      <c r="E565" s="41">
        <v>45195.581990740742</v>
      </c>
    </row>
    <row r="566" spans="1:5" x14ac:dyDescent="0.35">
      <c r="A566" s="11" t="s">
        <v>1144</v>
      </c>
      <c r="B566" s="11" t="s">
        <v>1129</v>
      </c>
      <c r="E566" s="41">
        <v>45195.582002314812</v>
      </c>
    </row>
    <row r="567" spans="1:5" x14ac:dyDescent="0.35">
      <c r="A567" s="11" t="s">
        <v>1145</v>
      </c>
      <c r="B567" s="11" t="s">
        <v>1067</v>
      </c>
      <c r="E567" s="41">
        <v>45195.58216435185</v>
      </c>
    </row>
    <row r="568" spans="1:5" x14ac:dyDescent="0.35">
      <c r="A568" s="11" t="s">
        <v>1146</v>
      </c>
      <c r="B568" s="11" t="s">
        <v>1066</v>
      </c>
      <c r="E568" s="41">
        <v>45195.582187499997</v>
      </c>
    </row>
    <row r="569" spans="1:5" x14ac:dyDescent="0.35">
      <c r="A569" s="11" t="s">
        <v>1156</v>
      </c>
      <c r="B569" s="11" t="s">
        <v>453</v>
      </c>
      <c r="E569" s="41">
        <v>45195.582384259258</v>
      </c>
    </row>
    <row r="570" spans="1:5" x14ac:dyDescent="0.35">
      <c r="A570" s="11" t="s">
        <v>1157</v>
      </c>
      <c r="B570" s="11" t="s">
        <v>451</v>
      </c>
      <c r="E570" s="41">
        <v>45195.582407407404</v>
      </c>
    </row>
    <row r="571" spans="1:5" x14ac:dyDescent="0.35">
      <c r="A571" s="11" t="s">
        <v>1158</v>
      </c>
      <c r="B571" s="11" t="s">
        <v>1089</v>
      </c>
      <c r="E571" s="41">
        <v>45195.582465277781</v>
      </c>
    </row>
    <row r="572" spans="1:5" x14ac:dyDescent="0.35">
      <c r="A572" s="11" t="s">
        <v>1159</v>
      </c>
      <c r="B572" s="11" t="s">
        <v>1091</v>
      </c>
      <c r="E572" s="41">
        <v>45195.582499999997</v>
      </c>
    </row>
    <row r="573" spans="1:5" x14ac:dyDescent="0.35">
      <c r="A573" s="11" t="s">
        <v>1160</v>
      </c>
      <c r="B573" s="11" t="s">
        <v>1104</v>
      </c>
      <c r="E573" s="41">
        <v>45195.58252314815</v>
      </c>
    </row>
    <row r="574" spans="1:5" x14ac:dyDescent="0.35">
      <c r="A574" s="11" t="s">
        <v>1161</v>
      </c>
      <c r="B574" s="11" t="s">
        <v>1132</v>
      </c>
      <c r="E574" s="41">
        <v>45195.582557870373</v>
      </c>
    </row>
    <row r="575" spans="1:5" x14ac:dyDescent="0.35">
      <c r="A575" s="11" t="s">
        <v>1161</v>
      </c>
      <c r="B575" s="11" t="s">
        <v>1132</v>
      </c>
      <c r="E575" s="41">
        <v>45195.582592592589</v>
      </c>
    </row>
    <row r="576" spans="1:5" x14ac:dyDescent="0.35">
      <c r="A576" s="11" t="s">
        <v>1162</v>
      </c>
      <c r="B576" s="11" t="s">
        <v>248</v>
      </c>
      <c r="E576" s="41">
        <v>45195.582650462966</v>
      </c>
    </row>
    <row r="577" spans="1:5" x14ac:dyDescent="0.35">
      <c r="A577" s="11" t="s">
        <v>1163</v>
      </c>
      <c r="B577" s="11" t="s">
        <v>247</v>
      </c>
      <c r="E577" s="41">
        <v>45195.582673611112</v>
      </c>
    </row>
    <row r="578" spans="1:5" x14ac:dyDescent="0.35">
      <c r="A578" s="11" t="s">
        <v>1164</v>
      </c>
      <c r="B578" s="11" t="s">
        <v>452</v>
      </c>
      <c r="E578" s="41">
        <v>45195.582881944443</v>
      </c>
    </row>
    <row r="579" spans="1:5" x14ac:dyDescent="0.35">
      <c r="A579" s="11" t="s">
        <v>1165</v>
      </c>
      <c r="B579" s="11" t="s">
        <v>452</v>
      </c>
      <c r="E579" s="41">
        <v>45195.582905092589</v>
      </c>
    </row>
    <row r="580" spans="1:5" x14ac:dyDescent="0.35">
      <c r="A580" s="11" t="s">
        <v>1166</v>
      </c>
      <c r="B580" s="11" t="s">
        <v>1068</v>
      </c>
      <c r="E580" s="41">
        <v>45195.582962962966</v>
      </c>
    </row>
    <row r="581" spans="1:5" x14ac:dyDescent="0.35">
      <c r="A581" s="11" t="s">
        <v>1167</v>
      </c>
      <c r="B581" s="11" t="s">
        <v>1091</v>
      </c>
      <c r="E581" s="41">
        <v>45195.583252314813</v>
      </c>
    </row>
    <row r="582" spans="1:5" x14ac:dyDescent="0.35">
      <c r="A582" s="11" t="s">
        <v>1168</v>
      </c>
      <c r="B582" s="11" t="s">
        <v>1105</v>
      </c>
      <c r="E582" s="41">
        <v>45195.583333333336</v>
      </c>
    </row>
    <row r="583" spans="1:5" x14ac:dyDescent="0.35">
      <c r="A583" s="11" t="s">
        <v>1173</v>
      </c>
      <c r="B583" s="11" t="s">
        <v>443</v>
      </c>
      <c r="E583" s="41">
        <v>45195.58494212963</v>
      </c>
    </row>
    <row r="584" spans="1:5" x14ac:dyDescent="0.35">
      <c r="A584" s="11" t="s">
        <v>1174</v>
      </c>
      <c r="B584" s="11" t="s">
        <v>444</v>
      </c>
      <c r="E584" s="41">
        <v>45195.585057870368</v>
      </c>
    </row>
    <row r="585" spans="1:5" x14ac:dyDescent="0.35">
      <c r="A585" s="11" t="s">
        <v>1179</v>
      </c>
      <c r="B585" s="11" t="s">
        <v>1096</v>
      </c>
      <c r="E585" s="41">
        <v>45195.586770833332</v>
      </c>
    </row>
    <row r="586" spans="1:5" x14ac:dyDescent="0.35">
      <c r="A586" s="11" t="s">
        <v>1180</v>
      </c>
      <c r="B586" s="11" t="s">
        <v>1098</v>
      </c>
      <c r="E586" s="41">
        <v>45195.586793981478</v>
      </c>
    </row>
    <row r="587" spans="1:5" x14ac:dyDescent="0.35">
      <c r="A587" s="11" t="s">
        <v>1181</v>
      </c>
      <c r="B587" s="11" t="s">
        <v>1097</v>
      </c>
      <c r="E587" s="41">
        <v>45195.586817129632</v>
      </c>
    </row>
    <row r="588" spans="1:5" x14ac:dyDescent="0.35">
      <c r="A588" s="11" t="s">
        <v>1181</v>
      </c>
      <c r="B588" s="11" t="s">
        <v>1097</v>
      </c>
      <c r="E588" s="41">
        <v>45195.586840277778</v>
      </c>
    </row>
    <row r="589" spans="1:5" x14ac:dyDescent="0.35">
      <c r="A589" s="11" t="s">
        <v>1182</v>
      </c>
      <c r="B589" s="11" t="s">
        <v>1092</v>
      </c>
      <c r="E589" s="41">
        <v>45195.586863425924</v>
      </c>
    </row>
    <row r="590" spans="1:5" x14ac:dyDescent="0.35">
      <c r="A590" s="11" t="s">
        <v>1183</v>
      </c>
      <c r="B590" s="11" t="s">
        <v>1093</v>
      </c>
      <c r="E590" s="41">
        <v>45195.586886574078</v>
      </c>
    </row>
    <row r="591" spans="1:5" x14ac:dyDescent="0.35">
      <c r="A591" s="11" t="s">
        <v>1184</v>
      </c>
      <c r="B591" s="11" t="s">
        <v>1094</v>
      </c>
      <c r="E591" s="41">
        <v>45195.586944444447</v>
      </c>
    </row>
    <row r="592" spans="1:5" x14ac:dyDescent="0.35">
      <c r="A592" s="11" t="s">
        <v>1185</v>
      </c>
      <c r="B592" s="11" t="s">
        <v>1095</v>
      </c>
      <c r="E592" s="41">
        <v>45195.586967592593</v>
      </c>
    </row>
    <row r="593" spans="1:5" x14ac:dyDescent="0.35">
      <c r="A593" s="11" t="s">
        <v>1186</v>
      </c>
      <c r="B593" s="11" t="s">
        <v>1052</v>
      </c>
      <c r="E593" s="41">
        <v>45195.587002314816</v>
      </c>
    </row>
    <row r="594" spans="1:5" x14ac:dyDescent="0.35">
      <c r="A594" s="11" t="s">
        <v>1187</v>
      </c>
      <c r="B594" s="11" t="s">
        <v>949</v>
      </c>
      <c r="E594" s="41">
        <v>45195.587060185186</v>
      </c>
    </row>
    <row r="595" spans="1:5" x14ac:dyDescent="0.35">
      <c r="A595" s="11" t="s">
        <v>1176</v>
      </c>
      <c r="B595" s="11" t="s">
        <v>1101</v>
      </c>
      <c r="E595" s="41">
        <v>45195.587083333332</v>
      </c>
    </row>
    <row r="596" spans="1:5" x14ac:dyDescent="0.35">
      <c r="A596" s="11" t="s">
        <v>1177</v>
      </c>
      <c r="B596" s="11" t="s">
        <v>1099</v>
      </c>
      <c r="E596" s="41">
        <v>45195.587094907409</v>
      </c>
    </row>
    <row r="597" spans="1:5" x14ac:dyDescent="0.35">
      <c r="A597" s="11" t="s">
        <v>1178</v>
      </c>
      <c r="B597" s="11" t="s">
        <v>1100</v>
      </c>
      <c r="E597" s="41">
        <v>45195.587118055555</v>
      </c>
    </row>
    <row r="598" spans="1:5" x14ac:dyDescent="0.35">
      <c r="A598" s="11" t="s">
        <v>1188</v>
      </c>
      <c r="B598" s="11" t="s">
        <v>443</v>
      </c>
      <c r="E598" s="41">
        <v>45195.587280092594</v>
      </c>
    </row>
    <row r="599" spans="1:5" x14ac:dyDescent="0.35">
      <c r="A599" s="11" t="s">
        <v>1190</v>
      </c>
      <c r="B599" s="11" t="s">
        <v>444</v>
      </c>
      <c r="E599" s="41">
        <v>45195.58730324074</v>
      </c>
    </row>
    <row r="600" spans="1:5" x14ac:dyDescent="0.35">
      <c r="A600" s="11" t="s">
        <v>1191</v>
      </c>
      <c r="B600" s="11" t="s">
        <v>444</v>
      </c>
      <c r="E600" s="41">
        <v>45195.587314814817</v>
      </c>
    </row>
    <row r="601" spans="1:5" x14ac:dyDescent="0.35">
      <c r="A601" s="11" t="s">
        <v>1192</v>
      </c>
      <c r="B601" s="11" t="s">
        <v>443</v>
      </c>
      <c r="E601" s="41">
        <v>45195.587337962963</v>
      </c>
    </row>
    <row r="602" spans="1:5" x14ac:dyDescent="0.35">
      <c r="A602" s="11" t="s">
        <v>1194</v>
      </c>
      <c r="B602" s="11" t="s">
        <v>1126</v>
      </c>
      <c r="E602" s="41">
        <v>45195.587407407409</v>
      </c>
    </row>
    <row r="603" spans="1:5" x14ac:dyDescent="0.35">
      <c r="A603" s="11" t="s">
        <v>1195</v>
      </c>
      <c r="B603" s="11" t="s">
        <v>1125</v>
      </c>
      <c r="E603" s="41">
        <v>45195.587430555555</v>
      </c>
    </row>
    <row r="604" spans="1:5" x14ac:dyDescent="0.35">
      <c r="A604" s="11" t="s">
        <v>1196</v>
      </c>
      <c r="B604" s="11" t="s">
        <v>1128</v>
      </c>
      <c r="E604" s="41">
        <v>45195.587453703702</v>
      </c>
    </row>
    <row r="605" spans="1:5" x14ac:dyDescent="0.35">
      <c r="A605" s="11" t="s">
        <v>1197</v>
      </c>
      <c r="B605" s="11" t="s">
        <v>1127</v>
      </c>
      <c r="E605" s="41">
        <v>45195.587476851855</v>
      </c>
    </row>
    <row r="606" spans="1:5" x14ac:dyDescent="0.35">
      <c r="A606" s="11" t="s">
        <v>1198</v>
      </c>
      <c r="B606" s="11" t="s">
        <v>1100</v>
      </c>
      <c r="E606" s="41">
        <v>45195.587581018517</v>
      </c>
    </row>
    <row r="607" spans="1:5" x14ac:dyDescent="0.35">
      <c r="A607" s="11" t="s">
        <v>1199</v>
      </c>
      <c r="B607" s="11" t="s">
        <v>1099</v>
      </c>
      <c r="E607" s="41">
        <v>45195.587604166663</v>
      </c>
    </row>
    <row r="608" spans="1:5" x14ac:dyDescent="0.35">
      <c r="A608" s="11" t="s">
        <v>1200</v>
      </c>
      <c r="B608" s="11" t="s">
        <v>1101</v>
      </c>
      <c r="E608" s="41">
        <v>45195.587627314817</v>
      </c>
    </row>
    <row r="609" spans="1:5" x14ac:dyDescent="0.35">
      <c r="A609" s="11" t="s">
        <v>1201</v>
      </c>
      <c r="B609" s="11" t="s">
        <v>443</v>
      </c>
      <c r="E609" s="41">
        <v>45195.587719907409</v>
      </c>
    </row>
    <row r="610" spans="1:5" x14ac:dyDescent="0.35">
      <c r="A610" s="11" t="s">
        <v>1203</v>
      </c>
      <c r="B610" s="11" t="s">
        <v>444</v>
      </c>
      <c r="E610" s="41">
        <v>45195.587743055556</v>
      </c>
    </row>
    <row r="611" spans="1:5" x14ac:dyDescent="0.35">
      <c r="A611" s="11" t="s">
        <v>1204</v>
      </c>
      <c r="B611" s="11" t="s">
        <v>1117</v>
      </c>
      <c r="E611" s="41">
        <v>45195.587800925925</v>
      </c>
    </row>
    <row r="612" spans="1:5" x14ac:dyDescent="0.35">
      <c r="A612" s="11" t="s">
        <v>1205</v>
      </c>
      <c r="B612" s="11" t="s">
        <v>1114</v>
      </c>
      <c r="E612" s="41">
        <v>45195.587824074071</v>
      </c>
    </row>
    <row r="613" spans="1:5" x14ac:dyDescent="0.35">
      <c r="A613" s="11" t="s">
        <v>1205</v>
      </c>
      <c r="B613" s="11" t="s">
        <v>1114</v>
      </c>
      <c r="E613" s="41">
        <v>45195.587847222225</v>
      </c>
    </row>
    <row r="614" spans="1:5" x14ac:dyDescent="0.35">
      <c r="A614" s="11" t="s">
        <v>1206</v>
      </c>
      <c r="B614" s="11" t="s">
        <v>1112</v>
      </c>
      <c r="E614" s="41">
        <v>45195.587870370371</v>
      </c>
    </row>
    <row r="615" spans="1:5" x14ac:dyDescent="0.35">
      <c r="A615" s="11" t="s">
        <v>1207</v>
      </c>
      <c r="B615" s="11" t="s">
        <v>1115</v>
      </c>
      <c r="E615" s="41">
        <v>45195.587893518517</v>
      </c>
    </row>
    <row r="616" spans="1:5" x14ac:dyDescent="0.35">
      <c r="A616" s="11" t="s">
        <v>1208</v>
      </c>
      <c r="B616" s="11" t="s">
        <v>1116</v>
      </c>
      <c r="E616" s="41">
        <v>45195.587916666664</v>
      </c>
    </row>
    <row r="617" spans="1:5" x14ac:dyDescent="0.35">
      <c r="A617" s="11" t="s">
        <v>1209</v>
      </c>
      <c r="B617" s="11" t="s">
        <v>1111</v>
      </c>
      <c r="E617" s="41">
        <v>45195.587951388887</v>
      </c>
    </row>
    <row r="618" spans="1:5" x14ac:dyDescent="0.35">
      <c r="A618" s="11" t="s">
        <v>1210</v>
      </c>
      <c r="B618" s="11" t="s">
        <v>1118</v>
      </c>
      <c r="E618" s="41">
        <v>45195.58797453704</v>
      </c>
    </row>
    <row r="619" spans="1:5" x14ac:dyDescent="0.35">
      <c r="A619" s="11" t="s">
        <v>1211</v>
      </c>
      <c r="B619" s="11" t="s">
        <v>1113</v>
      </c>
      <c r="E619" s="41">
        <v>45195.587997685187</v>
      </c>
    </row>
    <row r="620" spans="1:5" x14ac:dyDescent="0.35">
      <c r="A620" s="11" t="s">
        <v>1212</v>
      </c>
      <c r="B620" s="11" t="s">
        <v>1113</v>
      </c>
      <c r="E620" s="41">
        <v>45195.588020833333</v>
      </c>
    </row>
    <row r="621" spans="1:5" x14ac:dyDescent="0.35">
      <c r="A621" s="11" t="s">
        <v>1213</v>
      </c>
      <c r="B621" s="11" t="s">
        <v>1112</v>
      </c>
      <c r="E621" s="41">
        <v>45195.588043981479</v>
      </c>
    </row>
    <row r="622" spans="1:5" x14ac:dyDescent="0.35">
      <c r="A622" s="11" t="s">
        <v>1214</v>
      </c>
      <c r="B622" s="11" t="s">
        <v>1114</v>
      </c>
      <c r="E622" s="41">
        <v>45195.588078703702</v>
      </c>
    </row>
    <row r="623" spans="1:5" x14ac:dyDescent="0.35">
      <c r="A623" s="11" t="s">
        <v>1215</v>
      </c>
      <c r="B623" s="11" t="s">
        <v>1111</v>
      </c>
      <c r="E623" s="41">
        <v>45195.588101851848</v>
      </c>
    </row>
    <row r="624" spans="1:5" x14ac:dyDescent="0.35">
      <c r="A624" s="11" t="s">
        <v>1216</v>
      </c>
      <c r="B624" s="11" t="s">
        <v>1118</v>
      </c>
      <c r="E624" s="41">
        <v>45195.588125000002</v>
      </c>
    </row>
    <row r="625" spans="1:5" x14ac:dyDescent="0.35">
      <c r="A625" s="11" t="s">
        <v>1217</v>
      </c>
      <c r="B625" s="11" t="s">
        <v>1115</v>
      </c>
      <c r="E625" s="41">
        <v>45195.588148148148</v>
      </c>
    </row>
    <row r="626" spans="1:5" x14ac:dyDescent="0.35">
      <c r="A626" s="11" t="s">
        <v>1218</v>
      </c>
      <c r="B626" s="11" t="s">
        <v>1116</v>
      </c>
      <c r="E626" s="41">
        <v>45195.588182870371</v>
      </c>
    </row>
    <row r="627" spans="1:5" x14ac:dyDescent="0.35">
      <c r="A627" s="11" t="s">
        <v>1219</v>
      </c>
      <c r="B627" s="11" t="s">
        <v>1110</v>
      </c>
      <c r="E627" s="41">
        <v>45195.588206018518</v>
      </c>
    </row>
    <row r="628" spans="1:5" x14ac:dyDescent="0.35">
      <c r="A628" s="11" t="s">
        <v>1220</v>
      </c>
      <c r="B628" s="11" t="s">
        <v>1117</v>
      </c>
      <c r="E628" s="41">
        <v>45195.588252314818</v>
      </c>
    </row>
    <row r="629" spans="1:5" x14ac:dyDescent="0.35">
      <c r="A629" s="11" t="s">
        <v>1221</v>
      </c>
      <c r="B629" s="11" t="s">
        <v>237</v>
      </c>
      <c r="E629" s="41">
        <v>45195.588726851849</v>
      </c>
    </row>
    <row r="630" spans="1:5" x14ac:dyDescent="0.35">
      <c r="A630" s="11" t="s">
        <v>1222</v>
      </c>
      <c r="B630" s="11" t="s">
        <v>243</v>
      </c>
      <c r="E630" s="41">
        <v>45195.588750000003</v>
      </c>
    </row>
    <row r="631" spans="1:5" x14ac:dyDescent="0.35">
      <c r="A631" s="11" t="s">
        <v>1223</v>
      </c>
      <c r="B631" s="11" t="s">
        <v>239</v>
      </c>
      <c r="E631" s="41">
        <v>45195.588784722226</v>
      </c>
    </row>
    <row r="632" spans="1:5" x14ac:dyDescent="0.35">
      <c r="A632" s="11" t="s">
        <v>1224</v>
      </c>
      <c r="B632" s="11" t="s">
        <v>238</v>
      </c>
      <c r="E632" s="41">
        <v>45195.588807870372</v>
      </c>
    </row>
    <row r="633" spans="1:5" x14ac:dyDescent="0.35">
      <c r="A633" s="11" t="s">
        <v>1224</v>
      </c>
      <c r="B633" s="11" t="s">
        <v>238</v>
      </c>
      <c r="E633" s="41">
        <v>45195.588912037034</v>
      </c>
    </row>
    <row r="634" spans="1:5" x14ac:dyDescent="0.35">
      <c r="A634" s="11" t="s">
        <v>1225</v>
      </c>
      <c r="B634" s="11" t="s">
        <v>247</v>
      </c>
      <c r="E634" s="41">
        <v>45195.589236111111</v>
      </c>
    </row>
    <row r="635" spans="1:5" x14ac:dyDescent="0.35">
      <c r="A635" s="11" t="s">
        <v>1227</v>
      </c>
      <c r="B635" s="11" t="s">
        <v>246</v>
      </c>
      <c r="E635" s="41">
        <v>45195.589259259257</v>
      </c>
    </row>
    <row r="636" spans="1:5" x14ac:dyDescent="0.35">
      <c r="A636" s="11" t="s">
        <v>1226</v>
      </c>
      <c r="B636" s="11" t="s">
        <v>248</v>
      </c>
      <c r="E636" s="41">
        <v>45195.58934027778</v>
      </c>
    </row>
    <row r="637" spans="1:5" x14ac:dyDescent="0.35">
      <c r="A637" s="11" t="s">
        <v>1228</v>
      </c>
      <c r="B637" s="11" t="s">
        <v>173</v>
      </c>
      <c r="E637" s="41">
        <v>45195.589363425926</v>
      </c>
    </row>
    <row r="638" spans="1:5" x14ac:dyDescent="0.35">
      <c r="A638" s="11" t="s">
        <v>1229</v>
      </c>
      <c r="B638" s="11" t="s">
        <v>998</v>
      </c>
      <c r="E638" s="41">
        <v>45195.589386574073</v>
      </c>
    </row>
    <row r="639" spans="1:5" x14ac:dyDescent="0.35">
      <c r="A639" s="11" t="s">
        <v>1230</v>
      </c>
      <c r="B639" s="11" t="s">
        <v>997</v>
      </c>
      <c r="E639" s="41">
        <v>45195.589409722219</v>
      </c>
    </row>
    <row r="640" spans="1:5" x14ac:dyDescent="0.35">
      <c r="A640" s="11" t="s">
        <v>1231</v>
      </c>
      <c r="B640" s="11" t="s">
        <v>1103</v>
      </c>
      <c r="E640" s="41">
        <v>45195.589502314811</v>
      </c>
    </row>
    <row r="641" spans="1:5" x14ac:dyDescent="0.35">
      <c r="A641" s="11" t="s">
        <v>1232</v>
      </c>
      <c r="B641" s="11" t="s">
        <v>1102</v>
      </c>
      <c r="E641" s="41">
        <v>45195.589537037034</v>
      </c>
    </row>
    <row r="642" spans="1:5" x14ac:dyDescent="0.35">
      <c r="A642" s="11" t="s">
        <v>1233</v>
      </c>
      <c r="B642" s="11" t="s">
        <v>1103</v>
      </c>
      <c r="E642" s="41">
        <v>45195.589560185188</v>
      </c>
    </row>
    <row r="643" spans="1:5" x14ac:dyDescent="0.35">
      <c r="A643" s="11" t="s">
        <v>1234</v>
      </c>
      <c r="B643" s="11" t="s">
        <v>1140</v>
      </c>
      <c r="E643" s="41">
        <v>45253.438726851855</v>
      </c>
    </row>
    <row r="644" spans="1:5" x14ac:dyDescent="0.35">
      <c r="A644" s="11" t="s">
        <v>1235</v>
      </c>
      <c r="B644" s="11" t="s">
        <v>1141</v>
      </c>
      <c r="E644" s="41">
        <v>45253.438750000001</v>
      </c>
    </row>
    <row r="645" spans="1:5" x14ac:dyDescent="0.35">
      <c r="A645" s="11" t="s">
        <v>1242</v>
      </c>
      <c r="B645" s="11" t="s">
        <v>936</v>
      </c>
      <c r="E645" s="41">
        <v>45259.316770833335</v>
      </c>
    </row>
    <row r="646" spans="1:5" x14ac:dyDescent="0.35">
      <c r="A646" s="11" t="s">
        <v>1241</v>
      </c>
      <c r="B646" s="11" t="s">
        <v>937</v>
      </c>
      <c r="E646" s="41">
        <v>45259.316793981481</v>
      </c>
    </row>
    <row r="647" spans="1:5" x14ac:dyDescent="0.35">
      <c r="A647" s="11" t="s">
        <v>1245</v>
      </c>
      <c r="B647" s="11" t="s">
        <v>935</v>
      </c>
      <c r="E647" s="41">
        <v>45259.316817129627</v>
      </c>
    </row>
    <row r="648" spans="1:5" x14ac:dyDescent="0.35">
      <c r="A648" s="11" t="s">
        <v>1244</v>
      </c>
      <c r="B648" s="11" t="s">
        <v>1073</v>
      </c>
      <c r="E648" s="41">
        <v>45259.316851851851</v>
      </c>
    </row>
    <row r="649" spans="1:5" x14ac:dyDescent="0.35">
      <c r="A649" s="11" t="s">
        <v>1247</v>
      </c>
      <c r="B649" s="11" t="s">
        <v>1072</v>
      </c>
      <c r="E649" s="41">
        <v>45259.316874999997</v>
      </c>
    </row>
    <row r="650" spans="1:5" x14ac:dyDescent="0.35">
      <c r="A650" s="11" t="s">
        <v>1246</v>
      </c>
      <c r="B650" s="11" t="s">
        <v>1023</v>
      </c>
      <c r="E650" s="41">
        <v>45259.31689814815</v>
      </c>
    </row>
    <row r="651" spans="1:5" x14ac:dyDescent="0.35">
      <c r="A651" s="11" t="s">
        <v>1243</v>
      </c>
      <c r="B651" s="11" t="s">
        <v>1022</v>
      </c>
      <c r="E651" s="41">
        <v>45259.316932870373</v>
      </c>
    </row>
    <row r="652" spans="1:5" x14ac:dyDescent="0.35">
      <c r="A652" s="11" t="s">
        <v>1253</v>
      </c>
      <c r="B652" s="11" t="s">
        <v>976</v>
      </c>
      <c r="E652" s="41">
        <v>45259.31695601852</v>
      </c>
    </row>
    <row r="653" spans="1:5" x14ac:dyDescent="0.35">
      <c r="A653" s="11" t="s">
        <v>1255</v>
      </c>
      <c r="B653" s="11" t="s">
        <v>1025</v>
      </c>
      <c r="E653" s="41">
        <v>45259.316979166666</v>
      </c>
    </row>
    <row r="654" spans="1:5" x14ac:dyDescent="0.35">
      <c r="A654" s="11" t="s">
        <v>1255</v>
      </c>
      <c r="B654" s="11" t="s">
        <v>1025</v>
      </c>
      <c r="E654" s="41">
        <v>45259.317002314812</v>
      </c>
    </row>
    <row r="655" spans="1:5" x14ac:dyDescent="0.35">
      <c r="A655" s="11" t="s">
        <v>1251</v>
      </c>
      <c r="B655" s="11" t="s">
        <v>1024</v>
      </c>
      <c r="E655" s="41">
        <v>45259.317048611112</v>
      </c>
    </row>
    <row r="656" spans="1:5" x14ac:dyDescent="0.35">
      <c r="A656" s="11" t="s">
        <v>1254</v>
      </c>
      <c r="B656" s="11" t="s">
        <v>974</v>
      </c>
      <c r="E656" s="41">
        <v>45259.317071759258</v>
      </c>
    </row>
    <row r="657" spans="1:5" x14ac:dyDescent="0.35">
      <c r="A657" s="11" t="s">
        <v>1250</v>
      </c>
      <c r="B657" s="11" t="s">
        <v>1026</v>
      </c>
      <c r="E657" s="41">
        <v>45259.317106481481</v>
      </c>
    </row>
    <row r="658" spans="1:5" x14ac:dyDescent="0.35">
      <c r="A658" s="11" t="s">
        <v>1252</v>
      </c>
      <c r="B658" s="11" t="s">
        <v>1075</v>
      </c>
      <c r="E658" s="41">
        <v>45259.317129629628</v>
      </c>
    </row>
    <row r="659" spans="1:5" x14ac:dyDescent="0.35">
      <c r="A659" s="11" t="s">
        <v>1248</v>
      </c>
      <c r="B659" s="11" t="s">
        <v>938</v>
      </c>
      <c r="E659" s="41">
        <v>45259.317164351851</v>
      </c>
    </row>
    <row r="660" spans="1:5" x14ac:dyDescent="0.35">
      <c r="A660" s="11" t="s">
        <v>1249</v>
      </c>
      <c r="B660" s="11" t="s">
        <v>975</v>
      </c>
      <c r="E660" s="41">
        <v>45259.317187499997</v>
      </c>
    </row>
    <row r="661" spans="1:5" x14ac:dyDescent="0.35">
      <c r="A661" s="11" t="s">
        <v>1237</v>
      </c>
      <c r="B661" s="11" t="s">
        <v>1071</v>
      </c>
      <c r="E661" s="41">
        <v>45259.317245370374</v>
      </c>
    </row>
    <row r="662" spans="1:5" x14ac:dyDescent="0.35">
      <c r="A662" s="11" t="s">
        <v>1237</v>
      </c>
      <c r="B662" s="11" t="s">
        <v>1071</v>
      </c>
      <c r="E662" s="41">
        <v>45259.317280092589</v>
      </c>
    </row>
    <row r="663" spans="1:5" x14ac:dyDescent="0.35">
      <c r="A663" s="11" t="s">
        <v>1238</v>
      </c>
      <c r="B663" s="11" t="s">
        <v>935</v>
      </c>
      <c r="E663" s="41">
        <v>45259.317303240743</v>
      </c>
    </row>
    <row r="664" spans="1:5" x14ac:dyDescent="0.35">
      <c r="A664" s="11" t="s">
        <v>1239</v>
      </c>
      <c r="B664" s="11" t="s">
        <v>1074</v>
      </c>
      <c r="E664" s="41">
        <v>45259.317326388889</v>
      </c>
    </row>
    <row r="665" spans="1:5" x14ac:dyDescent="0.35">
      <c r="A665" s="11" t="s">
        <v>1240</v>
      </c>
      <c r="B665" s="11" t="s">
        <v>1073</v>
      </c>
      <c r="E665" s="41">
        <v>45259.317361111112</v>
      </c>
    </row>
    <row r="666" spans="1:5" x14ac:dyDescent="0.35">
      <c r="A666" s="11" t="s">
        <v>1236</v>
      </c>
      <c r="B666" s="11" t="s">
        <v>1023</v>
      </c>
      <c r="E666" s="41">
        <v>45259.317395833335</v>
      </c>
    </row>
    <row r="667" spans="1:5" x14ac:dyDescent="0.35">
      <c r="A667" s="11" t="s">
        <v>1257</v>
      </c>
      <c r="B667" s="11" t="s">
        <v>1026</v>
      </c>
      <c r="E667" s="41">
        <v>45259.317465277774</v>
      </c>
    </row>
    <row r="668" spans="1:5" x14ac:dyDescent="0.35">
      <c r="A668" s="11" t="s">
        <v>1259</v>
      </c>
      <c r="B668" s="11" t="s">
        <v>975</v>
      </c>
      <c r="E668" s="41">
        <v>45259.317488425928</v>
      </c>
    </row>
    <row r="669" spans="1:5" x14ac:dyDescent="0.35">
      <c r="A669" s="11" t="s">
        <v>1258</v>
      </c>
      <c r="B669" s="11" t="s">
        <v>1075</v>
      </c>
      <c r="E669" s="41">
        <v>45259.317511574074</v>
      </c>
    </row>
    <row r="670" spans="1:5" x14ac:dyDescent="0.35">
      <c r="A670" s="11" t="s">
        <v>1469</v>
      </c>
      <c r="B670" s="11" t="s">
        <v>246</v>
      </c>
      <c r="E670" s="41">
        <v>45505.575231481482</v>
      </c>
    </row>
    <row r="671" spans="1:5" x14ac:dyDescent="0.35">
      <c r="A671" s="11" t="s">
        <v>1470</v>
      </c>
      <c r="B671" s="11" t="s">
        <v>247</v>
      </c>
      <c r="E671" s="41">
        <v>45505.575254629628</v>
      </c>
    </row>
    <row r="672" spans="1:5" x14ac:dyDescent="0.35">
      <c r="A672" s="11" t="s">
        <v>1471</v>
      </c>
      <c r="B672" s="11" t="s">
        <v>248</v>
      </c>
      <c r="E672" s="41">
        <v>45505.575277777774</v>
      </c>
    </row>
    <row r="673" spans="1:5" x14ac:dyDescent="0.35">
      <c r="A673" s="11" t="s">
        <v>1477</v>
      </c>
      <c r="B673" s="11" t="s">
        <v>572</v>
      </c>
      <c r="E673" s="41">
        <v>45548.494895833333</v>
      </c>
    </row>
    <row r="674" spans="1:5" x14ac:dyDescent="0.35">
      <c r="A674" s="11" t="s">
        <v>1478</v>
      </c>
      <c r="B674" s="11" t="s">
        <v>572</v>
      </c>
      <c r="E674" s="41">
        <v>45548.49491898148</v>
      </c>
    </row>
    <row r="675" spans="1:5" x14ac:dyDescent="0.35">
      <c r="A675" s="11" t="s">
        <v>1479</v>
      </c>
      <c r="B675" s="11" t="s">
        <v>572</v>
      </c>
      <c r="E675" s="41">
        <v>45548.494942129626</v>
      </c>
    </row>
    <row r="676" spans="1:5" x14ac:dyDescent="0.35">
      <c r="A676" s="11" t="s">
        <v>1481</v>
      </c>
      <c r="B676" s="11" t="s">
        <v>572</v>
      </c>
      <c r="E676" s="41">
        <v>45548.49496527778</v>
      </c>
    </row>
    <row r="677" spans="1:5" x14ac:dyDescent="0.35">
      <c r="A677" s="11" t="s">
        <v>1482</v>
      </c>
      <c r="B677" s="11" t="s">
        <v>572</v>
      </c>
      <c r="E677" s="41">
        <v>45548.494976851849</v>
      </c>
    </row>
    <row r="678" spans="1:5" x14ac:dyDescent="0.35">
      <c r="A678" s="11" t="s">
        <v>1483</v>
      </c>
      <c r="B678" s="11" t="s">
        <v>572</v>
      </c>
      <c r="E678" s="41">
        <v>45548.495000000003</v>
      </c>
    </row>
    <row r="679" spans="1:5" x14ac:dyDescent="0.35">
      <c r="A679" s="11" t="s">
        <v>1483</v>
      </c>
      <c r="B679" s="11" t="s">
        <v>572</v>
      </c>
      <c r="E679" s="41">
        <v>45548.495023148149</v>
      </c>
    </row>
    <row r="680" spans="1:5" x14ac:dyDescent="0.35">
      <c r="A680" s="11" t="s">
        <v>1513</v>
      </c>
      <c r="B680" s="11" t="s">
        <v>571</v>
      </c>
      <c r="E680" s="41">
        <v>45548.495104166665</v>
      </c>
    </row>
    <row r="681" spans="1:5" x14ac:dyDescent="0.35">
      <c r="A681" s="11" t="s">
        <v>1515</v>
      </c>
      <c r="B681" s="11" t="s">
        <v>571</v>
      </c>
      <c r="E681" s="41">
        <v>45548.495127314818</v>
      </c>
    </row>
    <row r="682" spans="1:5" x14ac:dyDescent="0.35">
      <c r="A682" s="11" t="s">
        <v>1514</v>
      </c>
      <c r="B682" s="11" t="s">
        <v>571</v>
      </c>
      <c r="E682" s="41">
        <v>45548.495150462964</v>
      </c>
    </row>
    <row r="683" spans="1:5" x14ac:dyDescent="0.35">
      <c r="A683" s="11" t="s">
        <v>1516</v>
      </c>
      <c r="B683" s="11" t="s">
        <v>571</v>
      </c>
      <c r="E683" s="41">
        <v>45548.495185185187</v>
      </c>
    </row>
    <row r="684" spans="1:5" x14ac:dyDescent="0.35">
      <c r="A684" s="11" t="s">
        <v>1529</v>
      </c>
      <c r="B684" s="11" t="s">
        <v>572</v>
      </c>
      <c r="E684" s="41">
        <v>45548.49527777778</v>
      </c>
    </row>
    <row r="685" spans="1:5" x14ac:dyDescent="0.35">
      <c r="A685" s="11" t="s">
        <v>1528</v>
      </c>
      <c r="B685" s="11" t="s">
        <v>573</v>
      </c>
      <c r="E685" s="41">
        <v>45548.495300925926</v>
      </c>
    </row>
    <row r="686" spans="1:5" x14ac:dyDescent="0.35">
      <c r="A686" s="11" t="s">
        <v>1531</v>
      </c>
      <c r="B686" s="11" t="s">
        <v>572</v>
      </c>
      <c r="E686" s="41">
        <v>45548.495324074072</v>
      </c>
    </row>
    <row r="687" spans="1:5" x14ac:dyDescent="0.35">
      <c r="A687" s="11" t="s">
        <v>1530</v>
      </c>
      <c r="B687" s="11" t="s">
        <v>573</v>
      </c>
      <c r="E687" s="41">
        <v>45548.495347222219</v>
      </c>
    </row>
    <row r="688" spans="1:5" x14ac:dyDescent="0.35">
      <c r="A688" s="11" t="s">
        <v>1533</v>
      </c>
      <c r="B688" s="11" t="s">
        <v>572</v>
      </c>
      <c r="E688" s="41">
        <v>45548.495370370372</v>
      </c>
    </row>
    <row r="689" spans="1:5" x14ac:dyDescent="0.35">
      <c r="A689" s="11" t="s">
        <v>1532</v>
      </c>
      <c r="B689" s="11" t="s">
        <v>573</v>
      </c>
      <c r="E689" s="41">
        <v>45548.495393518519</v>
      </c>
    </row>
    <row r="690" spans="1:5" x14ac:dyDescent="0.35">
      <c r="A690" s="11" t="s">
        <v>1534</v>
      </c>
      <c r="B690" s="11" t="s">
        <v>573</v>
      </c>
      <c r="E690" s="41">
        <v>45548.495416666665</v>
      </c>
    </row>
    <row r="691" spans="1:5" x14ac:dyDescent="0.35">
      <c r="A691" s="11" t="s">
        <v>1535</v>
      </c>
      <c r="B691" s="11" t="s">
        <v>572</v>
      </c>
      <c r="E691" s="41">
        <v>45548.495439814818</v>
      </c>
    </row>
    <row r="692" spans="1:5" x14ac:dyDescent="0.35">
      <c r="A692" s="11" t="s">
        <v>1536</v>
      </c>
      <c r="B692" s="11" t="s">
        <v>571</v>
      </c>
      <c r="E692" s="41">
        <v>45548.495520833334</v>
      </c>
    </row>
    <row r="693" spans="1:5" x14ac:dyDescent="0.35">
      <c r="A693" s="11" t="s">
        <v>1537</v>
      </c>
      <c r="B693" s="11" t="s">
        <v>571</v>
      </c>
      <c r="E693" s="41">
        <v>45548.49554398148</v>
      </c>
    </row>
    <row r="694" spans="1:5" x14ac:dyDescent="0.35">
      <c r="A694" s="11" t="s">
        <v>1538</v>
      </c>
      <c r="B694" s="11" t="s">
        <v>571</v>
      </c>
      <c r="E694" s="41">
        <v>45548.495578703703</v>
      </c>
    </row>
    <row r="695" spans="1:5" x14ac:dyDescent="0.35">
      <c r="A695" s="11" t="s">
        <v>1507</v>
      </c>
      <c r="B695" s="11" t="s">
        <v>573</v>
      </c>
      <c r="E695" s="41">
        <v>45548.496076388888</v>
      </c>
    </row>
    <row r="696" spans="1:5" x14ac:dyDescent="0.35">
      <c r="A696" s="11" t="s">
        <v>1508</v>
      </c>
      <c r="B696" s="11" t="s">
        <v>573</v>
      </c>
      <c r="E696" s="41">
        <v>45548.496099537035</v>
      </c>
    </row>
    <row r="697" spans="1:5" x14ac:dyDescent="0.35">
      <c r="A697" s="11" t="s">
        <v>1509</v>
      </c>
      <c r="B697" s="11" t="s">
        <v>1304</v>
      </c>
      <c r="E697" s="41">
        <v>45548.496122685188</v>
      </c>
    </row>
    <row r="698" spans="1:5" x14ac:dyDescent="0.35">
      <c r="A698" s="11" t="s">
        <v>1509</v>
      </c>
      <c r="B698" s="11" t="s">
        <v>1304</v>
      </c>
      <c r="E698" s="41">
        <v>45548.496145833335</v>
      </c>
    </row>
    <row r="699" spans="1:5" x14ac:dyDescent="0.35">
      <c r="A699" s="11" t="s">
        <v>1517</v>
      </c>
      <c r="B699" s="11" t="s">
        <v>572</v>
      </c>
      <c r="E699" s="41">
        <v>45548.496215277781</v>
      </c>
    </row>
    <row r="700" spans="1:5" x14ac:dyDescent="0.35">
      <c r="A700" s="11" t="s">
        <v>1518</v>
      </c>
      <c r="B700" s="11" t="s">
        <v>572</v>
      </c>
      <c r="E700" s="41">
        <v>45548.496238425927</v>
      </c>
    </row>
    <row r="701" spans="1:5" x14ac:dyDescent="0.35">
      <c r="A701" s="11" t="s">
        <v>1519</v>
      </c>
      <c r="B701" s="11" t="s">
        <v>572</v>
      </c>
      <c r="E701" s="41">
        <v>45548.496261574073</v>
      </c>
    </row>
    <row r="702" spans="1:5" x14ac:dyDescent="0.35">
      <c r="A702" s="11" t="s">
        <v>1519</v>
      </c>
      <c r="B702" s="11" t="s">
        <v>572</v>
      </c>
      <c r="E702" s="41">
        <v>45548.49628472222</v>
      </c>
    </row>
    <row r="703" spans="1:5" x14ac:dyDescent="0.35">
      <c r="A703" s="11" t="s">
        <v>1520</v>
      </c>
      <c r="B703" s="11" t="s">
        <v>572</v>
      </c>
      <c r="E703" s="41">
        <v>45548.496319444443</v>
      </c>
    </row>
    <row r="704" spans="1:5" x14ac:dyDescent="0.35">
      <c r="A704" s="11" t="s">
        <v>1473</v>
      </c>
      <c r="B704" s="11" t="s">
        <v>1311</v>
      </c>
      <c r="E704" s="41">
        <v>45548.497916666667</v>
      </c>
    </row>
    <row r="705" spans="1:5" x14ac:dyDescent="0.35">
      <c r="A705" s="11" t="s">
        <v>1472</v>
      </c>
      <c r="B705" s="11" t="s">
        <v>1310</v>
      </c>
      <c r="E705" s="41">
        <v>45548.497939814813</v>
      </c>
    </row>
    <row r="706" spans="1:5" x14ac:dyDescent="0.35">
      <c r="A706" s="11" t="s">
        <v>1480</v>
      </c>
      <c r="B706" s="11" t="s">
        <v>1312</v>
      </c>
      <c r="E706" s="41">
        <v>45548.49796296296</v>
      </c>
    </row>
    <row r="707" spans="1:5" x14ac:dyDescent="0.35">
      <c r="A707" s="11" t="s">
        <v>1506</v>
      </c>
      <c r="B707" s="11" t="s">
        <v>1455</v>
      </c>
      <c r="E707" s="41">
        <v>45548.498067129629</v>
      </c>
    </row>
    <row r="708" spans="1:5" x14ac:dyDescent="0.35">
      <c r="A708" s="11" t="s">
        <v>1506</v>
      </c>
      <c r="B708" s="11" t="s">
        <v>1455</v>
      </c>
      <c r="E708" s="41">
        <v>45548.498090277775</v>
      </c>
    </row>
    <row r="709" spans="1:5" x14ac:dyDescent="0.35">
      <c r="A709" s="11" t="s">
        <v>1485</v>
      </c>
      <c r="B709" s="11" t="s">
        <v>1102</v>
      </c>
      <c r="E709" s="41">
        <v>45548.498738425929</v>
      </c>
    </row>
    <row r="710" spans="1:5" x14ac:dyDescent="0.35">
      <c r="A710" s="11" t="s">
        <v>1486</v>
      </c>
      <c r="B710" s="11" t="s">
        <v>1103</v>
      </c>
      <c r="E710" s="41">
        <v>45548.498749999999</v>
      </c>
    </row>
    <row r="711" spans="1:5" x14ac:dyDescent="0.35">
      <c r="A711" s="11" t="s">
        <v>1484</v>
      </c>
      <c r="B711" s="11" t="s">
        <v>248</v>
      </c>
      <c r="E711" s="41">
        <v>45548.498796296299</v>
      </c>
    </row>
    <row r="712" spans="1:5" x14ac:dyDescent="0.35">
      <c r="A712" s="11" t="s">
        <v>1511</v>
      </c>
      <c r="B712" s="11" t="s">
        <v>1139</v>
      </c>
      <c r="E712" s="41">
        <v>45574.488587962966</v>
      </c>
    </row>
    <row r="713" spans="1:5" x14ac:dyDescent="0.35">
      <c r="A713" s="11" t="s">
        <v>1510</v>
      </c>
      <c r="B713" s="11" t="s">
        <v>1138</v>
      </c>
      <c r="E713" s="41">
        <v>45574.488611111112</v>
      </c>
    </row>
    <row r="714" spans="1:5" x14ac:dyDescent="0.35">
      <c r="A714" s="11" t="s">
        <v>1544</v>
      </c>
      <c r="B714" s="11" t="s">
        <v>305</v>
      </c>
      <c r="E714" s="41">
        <v>45574.489421296297</v>
      </c>
    </row>
    <row r="715" spans="1:5" x14ac:dyDescent="0.35">
      <c r="A715" s="11" t="s">
        <v>1527</v>
      </c>
      <c r="B715" s="11" t="s">
        <v>1256</v>
      </c>
      <c r="E715" s="41">
        <v>45574.489594907405</v>
      </c>
    </row>
    <row r="716" spans="1:5" x14ac:dyDescent="0.35">
      <c r="A716" s="11" t="s">
        <v>1526</v>
      </c>
      <c r="B716" s="11" t="s">
        <v>1256</v>
      </c>
      <c r="E716" s="41">
        <v>45574.489618055559</v>
      </c>
    </row>
    <row r="717" spans="1:5" x14ac:dyDescent="0.35">
      <c r="A717" s="11" t="s">
        <v>1588</v>
      </c>
      <c r="B717" s="11" t="s">
        <v>1577</v>
      </c>
      <c r="E717" s="41">
        <v>45574.490243055552</v>
      </c>
    </row>
    <row r="718" spans="1:5" x14ac:dyDescent="0.35">
      <c r="A718" s="11" t="s">
        <v>1589</v>
      </c>
      <c r="B718" s="11" t="s">
        <v>1577</v>
      </c>
      <c r="E718" s="41">
        <v>45574.490393518521</v>
      </c>
    </row>
    <row r="719" spans="1:5" x14ac:dyDescent="0.35">
      <c r="A719" s="11" t="s">
        <v>1590</v>
      </c>
      <c r="B719" s="11" t="s">
        <v>1577</v>
      </c>
      <c r="E719" s="41">
        <v>45574.490428240744</v>
      </c>
    </row>
    <row r="720" spans="1:5" x14ac:dyDescent="0.35">
      <c r="A720" s="11" t="s">
        <v>1591</v>
      </c>
      <c r="B720" s="11" t="s">
        <v>1577</v>
      </c>
      <c r="E720" s="41">
        <v>45574.490451388891</v>
      </c>
    </row>
    <row r="721" spans="1:5" x14ac:dyDescent="0.35">
      <c r="A721" s="11" t="s">
        <v>1592</v>
      </c>
      <c r="B721" s="11" t="s">
        <v>1577</v>
      </c>
      <c r="E721" s="41">
        <v>45574.490486111114</v>
      </c>
    </row>
    <row r="722" spans="1:5" x14ac:dyDescent="0.35">
      <c r="A722" s="11" t="s">
        <v>1525</v>
      </c>
      <c r="B722" s="11" t="s">
        <v>246</v>
      </c>
      <c r="E722" s="41">
        <v>45574.490798611114</v>
      </c>
    </row>
    <row r="723" spans="1:5" x14ac:dyDescent="0.35">
      <c r="A723" s="11" t="s">
        <v>1524</v>
      </c>
      <c r="B723" s="11" t="s">
        <v>247</v>
      </c>
      <c r="E723" s="41">
        <v>45574.49082175926</v>
      </c>
    </row>
    <row r="724" spans="1:5" x14ac:dyDescent="0.35">
      <c r="A724" s="11" t="s">
        <v>1524</v>
      </c>
      <c r="B724" s="11" t="s">
        <v>247</v>
      </c>
      <c r="E724" s="41">
        <v>45574.490856481483</v>
      </c>
    </row>
    <row r="725" spans="1:5" x14ac:dyDescent="0.35">
      <c r="A725" s="11" t="s">
        <v>1593</v>
      </c>
      <c r="B725" s="11" t="s">
        <v>1577</v>
      </c>
      <c r="E725" s="41">
        <v>45574.490891203706</v>
      </c>
    </row>
    <row r="726" spans="1:5" x14ac:dyDescent="0.35">
      <c r="A726" s="11" t="s">
        <v>1594</v>
      </c>
      <c r="B726" s="11" t="s">
        <v>1577</v>
      </c>
      <c r="E726" s="41">
        <v>45574.490925925929</v>
      </c>
    </row>
    <row r="727" spans="1:5" x14ac:dyDescent="0.35">
      <c r="A727" s="11" t="s">
        <v>1564</v>
      </c>
      <c r="B727" s="11" t="s">
        <v>572</v>
      </c>
      <c r="E727" s="41">
        <v>45574.491215277776</v>
      </c>
    </row>
    <row r="728" spans="1:5" x14ac:dyDescent="0.35">
      <c r="A728" s="11" t="s">
        <v>1563</v>
      </c>
      <c r="B728" s="11" t="s">
        <v>573</v>
      </c>
      <c r="E728" s="41">
        <v>45574.491238425922</v>
      </c>
    </row>
    <row r="729" spans="1:5" x14ac:dyDescent="0.35">
      <c r="A729" s="11" t="s">
        <v>1565</v>
      </c>
      <c r="B729" s="11" t="s">
        <v>572</v>
      </c>
      <c r="E729" s="41">
        <v>45574.491261574076</v>
      </c>
    </row>
    <row r="730" spans="1:5" x14ac:dyDescent="0.35">
      <c r="A730" s="11" t="s">
        <v>1566</v>
      </c>
      <c r="B730" s="11" t="s">
        <v>573</v>
      </c>
      <c r="E730" s="41">
        <v>45574.491284722222</v>
      </c>
    </row>
    <row r="731" spans="1:5" x14ac:dyDescent="0.35">
      <c r="A731" s="11" t="s">
        <v>1567</v>
      </c>
      <c r="B731" s="11" t="s">
        <v>571</v>
      </c>
      <c r="E731" s="41">
        <v>45574.491319444445</v>
      </c>
    </row>
    <row r="732" spans="1:5" x14ac:dyDescent="0.35">
      <c r="A732" s="11" t="s">
        <v>1568</v>
      </c>
      <c r="B732" s="11" t="s">
        <v>571</v>
      </c>
      <c r="E732" s="41">
        <v>45574.491342592592</v>
      </c>
    </row>
    <row r="733" spans="1:5" x14ac:dyDescent="0.35">
      <c r="A733" s="11" t="s">
        <v>1595</v>
      </c>
      <c r="B733" s="11" t="s">
        <v>1577</v>
      </c>
      <c r="E733" s="41">
        <v>45574.491770833331</v>
      </c>
    </row>
    <row r="734" spans="1:5" x14ac:dyDescent="0.35">
      <c r="A734" s="11" t="s">
        <v>1596</v>
      </c>
      <c r="B734" s="11" t="s">
        <v>1577</v>
      </c>
      <c r="E734" s="41">
        <v>45574.491805555554</v>
      </c>
    </row>
    <row r="735" spans="1:5" x14ac:dyDescent="0.35">
      <c r="A735" s="11" t="s">
        <v>1540</v>
      </c>
      <c r="B735" s="11" t="s">
        <v>246</v>
      </c>
      <c r="E735" s="41">
        <v>45574.49181712963</v>
      </c>
    </row>
    <row r="736" spans="1:5" x14ac:dyDescent="0.35">
      <c r="A736" s="11" t="s">
        <v>1540</v>
      </c>
      <c r="B736" s="11" t="s">
        <v>246</v>
      </c>
      <c r="E736" s="41">
        <v>45574.491840277777</v>
      </c>
    </row>
    <row r="737" spans="1:5" x14ac:dyDescent="0.35">
      <c r="A737" s="11" t="s">
        <v>1541</v>
      </c>
      <c r="B737" s="11" t="s">
        <v>247</v>
      </c>
      <c r="E737" s="41">
        <v>45574.491875</v>
      </c>
    </row>
    <row r="738" spans="1:5" x14ac:dyDescent="0.35">
      <c r="A738" s="11" t="s">
        <v>1597</v>
      </c>
      <c r="B738" s="11" t="s">
        <v>1577</v>
      </c>
      <c r="E738" s="41">
        <v>45574.491932870369</v>
      </c>
    </row>
    <row r="739" spans="1:5" x14ac:dyDescent="0.35">
      <c r="A739" s="11" t="s">
        <v>1598</v>
      </c>
      <c r="B739" s="11" t="s">
        <v>1577</v>
      </c>
      <c r="E739" s="41">
        <v>45574.491956018515</v>
      </c>
    </row>
    <row r="740" spans="1:5" x14ac:dyDescent="0.35">
      <c r="A740" s="11" t="s">
        <v>1599</v>
      </c>
      <c r="B740" s="11" t="s">
        <v>1577</v>
      </c>
      <c r="E740" s="41">
        <v>45574.491979166669</v>
      </c>
    </row>
    <row r="741" spans="1:5" x14ac:dyDescent="0.35">
      <c r="A741" s="11" t="s">
        <v>1543</v>
      </c>
      <c r="B741" s="11" t="s">
        <v>1462</v>
      </c>
      <c r="E741" s="41">
        <v>45575.533414351848</v>
      </c>
    </row>
    <row r="742" spans="1:5" x14ac:dyDescent="0.35">
      <c r="A742" s="11" t="s">
        <v>1523</v>
      </c>
      <c r="B742" s="11" t="s">
        <v>1489</v>
      </c>
      <c r="E742" s="41">
        <v>45575.533495370371</v>
      </c>
    </row>
    <row r="743" spans="1:5" x14ac:dyDescent="0.35">
      <c r="A743" s="11" t="s">
        <v>1555</v>
      </c>
      <c r="B743" s="11" t="s">
        <v>1457</v>
      </c>
      <c r="E743" s="41">
        <v>45575.535960648151</v>
      </c>
    </row>
    <row r="744" spans="1:5" x14ac:dyDescent="0.35">
      <c r="A744" s="11" t="s">
        <v>1553</v>
      </c>
      <c r="B744" s="11" t="s">
        <v>1457</v>
      </c>
      <c r="E744" s="41">
        <v>45575.535983796297</v>
      </c>
    </row>
    <row r="745" spans="1:5" x14ac:dyDescent="0.35">
      <c r="A745" s="11" t="s">
        <v>1556</v>
      </c>
      <c r="B745" s="11" t="s">
        <v>1457</v>
      </c>
      <c r="E745" s="41">
        <v>45575.53601851852</v>
      </c>
    </row>
    <row r="746" spans="1:5" x14ac:dyDescent="0.35">
      <c r="A746" s="11" t="s">
        <v>1556</v>
      </c>
      <c r="B746" s="11" t="s">
        <v>1457</v>
      </c>
      <c r="E746" s="41">
        <v>45575.536053240743</v>
      </c>
    </row>
    <row r="747" spans="1:5" x14ac:dyDescent="0.35">
      <c r="A747" s="11" t="s">
        <v>1554</v>
      </c>
      <c r="B747" s="11" t="s">
        <v>1457</v>
      </c>
      <c r="E747" s="41">
        <v>45575.536064814813</v>
      </c>
    </row>
    <row r="748" spans="1:5" x14ac:dyDescent="0.35">
      <c r="A748" s="11" t="s">
        <v>1576</v>
      </c>
      <c r="B748" s="11" t="s">
        <v>1306</v>
      </c>
      <c r="E748" s="41">
        <v>45575.536122685182</v>
      </c>
    </row>
    <row r="749" spans="1:5" x14ac:dyDescent="0.35">
      <c r="A749" s="11" t="s">
        <v>1548</v>
      </c>
      <c r="B749" s="11" t="s">
        <v>463</v>
      </c>
      <c r="E749" s="41">
        <v>45587.482106481482</v>
      </c>
    </row>
    <row r="750" spans="1:5" x14ac:dyDescent="0.35">
      <c r="A750" s="11" t="s">
        <v>1522</v>
      </c>
      <c r="B750" s="11" t="s">
        <v>1487</v>
      </c>
      <c r="E750" s="41">
        <v>45587.482187499998</v>
      </c>
    </row>
    <row r="751" spans="1:5" x14ac:dyDescent="0.35">
      <c r="A751" s="11" t="s">
        <v>1512</v>
      </c>
      <c r="B751" s="11" t="s">
        <v>1487</v>
      </c>
      <c r="E751" s="41">
        <v>45587.482222222221</v>
      </c>
    </row>
    <row r="752" spans="1:5" x14ac:dyDescent="0.35">
      <c r="A752" s="11" t="s">
        <v>1560</v>
      </c>
      <c r="B752" s="11" t="s">
        <v>1488</v>
      </c>
      <c r="E752" s="41">
        <v>45587.482245370367</v>
      </c>
    </row>
    <row r="753" spans="1:5" x14ac:dyDescent="0.35">
      <c r="A753" s="11" t="s">
        <v>1549</v>
      </c>
      <c r="B753" s="11" t="s">
        <v>1492</v>
      </c>
      <c r="E753" s="41">
        <v>45587.48228009259</v>
      </c>
    </row>
    <row r="754" spans="1:5" x14ac:dyDescent="0.35">
      <c r="A754" s="11" t="s">
        <v>1550</v>
      </c>
      <c r="B754" s="11" t="s">
        <v>1493</v>
      </c>
      <c r="E754" s="41">
        <v>45587.482361111113</v>
      </c>
    </row>
    <row r="755" spans="1:5" x14ac:dyDescent="0.35">
      <c r="A755" s="11" t="s">
        <v>1551</v>
      </c>
      <c r="B755" s="11" t="s">
        <v>463</v>
      </c>
      <c r="E755" s="41">
        <v>45587.482546296298</v>
      </c>
    </row>
    <row r="756" spans="1:5" x14ac:dyDescent="0.35">
      <c r="A756" s="11" t="s">
        <v>1521</v>
      </c>
      <c r="B756" s="11" t="s">
        <v>1487</v>
      </c>
      <c r="E756" s="41">
        <v>45587.482581018521</v>
      </c>
    </row>
    <row r="757" spans="1:5" x14ac:dyDescent="0.35">
      <c r="A757" s="11" t="s">
        <v>1552</v>
      </c>
      <c r="B757" s="11" t="s">
        <v>463</v>
      </c>
      <c r="E757" s="41">
        <v>45587.482604166667</v>
      </c>
    </row>
    <row r="758" spans="1:5" x14ac:dyDescent="0.35">
      <c r="A758" s="11" t="s">
        <v>1558</v>
      </c>
      <c r="B758" s="11" t="s">
        <v>1495</v>
      </c>
      <c r="E758" s="41">
        <v>45587.482789351852</v>
      </c>
    </row>
    <row r="759" spans="1:5" x14ac:dyDescent="0.35">
      <c r="A759" s="11" t="s">
        <v>1559</v>
      </c>
      <c r="B759" s="11" t="s">
        <v>1496</v>
      </c>
      <c r="E759" s="41">
        <v>45587.482812499999</v>
      </c>
    </row>
    <row r="760" spans="1:5" x14ac:dyDescent="0.35">
      <c r="A760" s="11" t="s">
        <v>1557</v>
      </c>
      <c r="B760" s="11" t="s">
        <v>1494</v>
      </c>
      <c r="E760" s="41">
        <v>45587.482847222222</v>
      </c>
    </row>
    <row r="761" spans="1:5" x14ac:dyDescent="0.35">
      <c r="A761" s="11" t="s">
        <v>1539</v>
      </c>
      <c r="B761" s="11" t="s">
        <v>171</v>
      </c>
      <c r="E761" s="41">
        <v>45587.482893518521</v>
      </c>
    </row>
    <row r="762" spans="1:5" x14ac:dyDescent="0.35">
      <c r="A762" s="11" t="s">
        <v>1542</v>
      </c>
      <c r="B762" s="11" t="s">
        <v>243</v>
      </c>
      <c r="E762" s="41">
        <v>45587.482928240737</v>
      </c>
    </row>
    <row r="763" spans="1:5" x14ac:dyDescent="0.35">
      <c r="A763" s="11" t="s">
        <v>1571</v>
      </c>
      <c r="B763" s="11" t="s">
        <v>1499</v>
      </c>
      <c r="E763" s="41">
        <v>45587.482986111114</v>
      </c>
    </row>
    <row r="764" spans="1:5" x14ac:dyDescent="0.35">
      <c r="A764" s="11" t="s">
        <v>1570</v>
      </c>
      <c r="B764" s="11" t="s">
        <v>1498</v>
      </c>
      <c r="E764" s="41">
        <v>45587.483020833337</v>
      </c>
    </row>
    <row r="765" spans="1:5" x14ac:dyDescent="0.35">
      <c r="A765" s="11" t="s">
        <v>1570</v>
      </c>
      <c r="B765" s="11" t="s">
        <v>1498</v>
      </c>
      <c r="E765" s="41">
        <v>45587.483043981483</v>
      </c>
    </row>
    <row r="766" spans="1:5" x14ac:dyDescent="0.35">
      <c r="A766" s="11" t="s">
        <v>1569</v>
      </c>
      <c r="B766" s="11" t="s">
        <v>1497</v>
      </c>
      <c r="E766" s="41">
        <v>45587.483078703706</v>
      </c>
    </row>
    <row r="767" spans="1:5" x14ac:dyDescent="0.35">
      <c r="A767" s="11" t="s">
        <v>1605</v>
      </c>
      <c r="B767" s="11" t="s">
        <v>1604</v>
      </c>
      <c r="E767" s="41">
        <v>45587.483217592591</v>
      </c>
    </row>
    <row r="768" spans="1:5" x14ac:dyDescent="0.35">
      <c r="A768" s="11" t="s">
        <v>1575</v>
      </c>
      <c r="B768" s="11" t="s">
        <v>1500</v>
      </c>
      <c r="E768" s="41">
        <v>45587.483240740738</v>
      </c>
    </row>
    <row r="769" spans="1:5" x14ac:dyDescent="0.35">
      <c r="A769" s="11" t="s">
        <v>1573</v>
      </c>
      <c r="B769" s="11" t="s">
        <v>1502</v>
      </c>
      <c r="E769" s="41">
        <v>45587.483275462961</v>
      </c>
    </row>
    <row r="770" spans="1:5" x14ac:dyDescent="0.35">
      <c r="A770" s="11" t="s">
        <v>1572</v>
      </c>
      <c r="B770" s="11" t="s">
        <v>1503</v>
      </c>
      <c r="E770" s="41">
        <v>45587.483298611114</v>
      </c>
    </row>
    <row r="771" spans="1:5" x14ac:dyDescent="0.35">
      <c r="A771" s="11" t="s">
        <v>1574</v>
      </c>
      <c r="B771" s="11" t="s">
        <v>1501</v>
      </c>
      <c r="E771" s="41">
        <v>45587.48332175926</v>
      </c>
    </row>
    <row r="772" spans="1:5" x14ac:dyDescent="0.35">
      <c r="A772" s="11" t="s">
        <v>1606</v>
      </c>
      <c r="B772" s="11" t="s">
        <v>1604</v>
      </c>
      <c r="E772" s="41">
        <v>45587.483449074076</v>
      </c>
    </row>
    <row r="773" spans="1:5" x14ac:dyDescent="0.35">
      <c r="A773" s="11" t="s">
        <v>1546</v>
      </c>
      <c r="B773" s="11" t="s">
        <v>1490</v>
      </c>
      <c r="E773" s="41">
        <v>45587.483576388891</v>
      </c>
    </row>
    <row r="774" spans="1:5" x14ac:dyDescent="0.35">
      <c r="A774" s="11" t="s">
        <v>1545</v>
      </c>
      <c r="B774" s="11" t="s">
        <v>975</v>
      </c>
      <c r="E774" s="41">
        <v>45587.483599537038</v>
      </c>
    </row>
    <row r="775" spans="1:5" x14ac:dyDescent="0.35">
      <c r="A775" s="11" t="s">
        <v>1545</v>
      </c>
      <c r="B775" s="11" t="s">
        <v>975</v>
      </c>
      <c r="E775" s="41">
        <v>45587.483622685184</v>
      </c>
    </row>
    <row r="776" spans="1:5" x14ac:dyDescent="0.35">
      <c r="A776" s="11" t="s">
        <v>1547</v>
      </c>
      <c r="B776" s="11" t="s">
        <v>1026</v>
      </c>
      <c r="E776" s="41">
        <v>45587.483668981484</v>
      </c>
    </row>
    <row r="777" spans="1:5" x14ac:dyDescent="0.35">
      <c r="A777" s="11" t="s">
        <v>1600</v>
      </c>
      <c r="B777" s="11" t="s">
        <v>1578</v>
      </c>
      <c r="E777" s="41">
        <v>45587.483761574076</v>
      </c>
    </row>
    <row r="778" spans="1:5" x14ac:dyDescent="0.35">
      <c r="A778" s="11" t="s">
        <v>1601</v>
      </c>
      <c r="B778" s="11" t="s">
        <v>1579</v>
      </c>
      <c r="E778" s="41">
        <v>45587.483784722222</v>
      </c>
    </row>
    <row r="779" spans="1:5" x14ac:dyDescent="0.35">
      <c r="A779" s="11" t="s">
        <v>1602</v>
      </c>
      <c r="B779" s="11" t="s">
        <v>1580</v>
      </c>
      <c r="E779" s="41">
        <v>45587.483807870369</v>
      </c>
    </row>
    <row r="780" spans="1:5" x14ac:dyDescent="0.35">
      <c r="A780" s="11" t="s">
        <v>1661</v>
      </c>
      <c r="B780" s="11" t="s">
        <v>1561</v>
      </c>
      <c r="E780" s="41">
        <v>45679.357928240737</v>
      </c>
    </row>
    <row r="781" spans="1:5" x14ac:dyDescent="0.35">
      <c r="A781" s="11" t="s">
        <v>1662</v>
      </c>
      <c r="B781" s="11" t="s">
        <v>1562</v>
      </c>
      <c r="E781" s="41">
        <v>45679.357951388891</v>
      </c>
    </row>
    <row r="782" spans="1:5" x14ac:dyDescent="0.35">
      <c r="A782" s="11" t="s">
        <v>1665</v>
      </c>
      <c r="B782" s="11" t="s">
        <v>1610</v>
      </c>
      <c r="E782" s="41">
        <v>45679.359363425923</v>
      </c>
    </row>
    <row r="783" spans="1:5" x14ac:dyDescent="0.35">
      <c r="A783" s="11" t="s">
        <v>1665</v>
      </c>
      <c r="B783" s="11" t="s">
        <v>1610</v>
      </c>
      <c r="E783" s="41">
        <v>45679.359386574077</v>
      </c>
    </row>
    <row r="784" spans="1:5" x14ac:dyDescent="0.35">
      <c r="A784" s="11" t="s">
        <v>1680</v>
      </c>
      <c r="B784" s="11" t="s">
        <v>467</v>
      </c>
      <c r="E784" s="41">
        <v>45679.359814814816</v>
      </c>
    </row>
    <row r="785" spans="1:5" x14ac:dyDescent="0.35">
      <c r="A785" s="11" t="s">
        <v>1687</v>
      </c>
      <c r="B785" s="11" t="s">
        <v>467</v>
      </c>
      <c r="E785" s="41">
        <v>45679.359930555554</v>
      </c>
    </row>
    <row r="786" spans="1:5" x14ac:dyDescent="0.35">
      <c r="A786" s="11" t="s">
        <v>1687</v>
      </c>
      <c r="B786" s="11" t="s">
        <v>467</v>
      </c>
      <c r="E786" s="41">
        <v>45679.359953703701</v>
      </c>
    </row>
    <row r="787" spans="1:5" x14ac:dyDescent="0.35">
      <c r="A787" s="11" t="s">
        <v>1603</v>
      </c>
      <c r="B787" s="11" t="s">
        <v>1491</v>
      </c>
      <c r="E787" s="41">
        <v>45679.360868055555</v>
      </c>
    </row>
    <row r="788" spans="1:5" x14ac:dyDescent="0.35">
      <c r="A788" s="11" t="s">
        <v>1663</v>
      </c>
      <c r="B788" s="11" t="s">
        <v>246</v>
      </c>
      <c r="E788" s="41">
        <v>45679.36109953704</v>
      </c>
    </row>
    <row r="789" spans="1:5" x14ac:dyDescent="0.35">
      <c r="A789" s="11" t="s">
        <v>1664</v>
      </c>
      <c r="B789" s="11" t="s">
        <v>305</v>
      </c>
      <c r="E789" s="41">
        <v>45679.361145833333</v>
      </c>
    </row>
    <row r="790" spans="1:5" x14ac:dyDescent="0.35">
      <c r="A790" s="11" t="s">
        <v>1666</v>
      </c>
      <c r="B790" s="11" t="s">
        <v>1501</v>
      </c>
      <c r="E790" s="41">
        <v>45679.361631944441</v>
      </c>
    </row>
    <row r="791" spans="1:5" x14ac:dyDescent="0.35">
      <c r="A791" s="11" t="s">
        <v>1667</v>
      </c>
      <c r="B791" s="11" t="s">
        <v>1501</v>
      </c>
      <c r="E791" s="41">
        <v>45679.361655092594</v>
      </c>
    </row>
    <row r="792" spans="1:5" x14ac:dyDescent="0.35">
      <c r="A792" s="11" t="s">
        <v>1668</v>
      </c>
      <c r="B792" s="11" t="s">
        <v>1501</v>
      </c>
      <c r="E792" s="41">
        <v>45679.361666666664</v>
      </c>
    </row>
    <row r="793" spans="1:5" x14ac:dyDescent="0.35">
      <c r="A793" s="11" t="s">
        <v>1669</v>
      </c>
      <c r="B793" s="11" t="s">
        <v>1501</v>
      </c>
      <c r="E793" s="41">
        <v>45679.361689814818</v>
      </c>
    </row>
    <row r="794" spans="1:5" x14ac:dyDescent="0.35">
      <c r="A794" s="11" t="s">
        <v>1670</v>
      </c>
      <c r="B794" s="11" t="s">
        <v>246</v>
      </c>
      <c r="E794" s="41">
        <v>45679.362384259257</v>
      </c>
    </row>
    <row r="795" spans="1:5" x14ac:dyDescent="0.35">
      <c r="A795" s="11" t="s">
        <v>1675</v>
      </c>
      <c r="B795" s="11" t="s">
        <v>246</v>
      </c>
      <c r="E795" s="41">
        <v>45679.363854166666</v>
      </c>
    </row>
    <row r="796" spans="1:5" x14ac:dyDescent="0.35">
      <c r="A796" s="11" t="s">
        <v>1676</v>
      </c>
      <c r="B796" s="11" t="s">
        <v>246</v>
      </c>
      <c r="E796" s="41">
        <v>45679.364108796297</v>
      </c>
    </row>
    <row r="797" spans="1:5" x14ac:dyDescent="0.35">
      <c r="A797" s="11" t="s">
        <v>1695</v>
      </c>
      <c r="B797" s="11" t="s">
        <v>1308</v>
      </c>
      <c r="E797" s="41">
        <v>45684.403761574074</v>
      </c>
    </row>
    <row r="798" spans="1:5" x14ac:dyDescent="0.35">
      <c r="A798" s="11" t="s">
        <v>1694</v>
      </c>
      <c r="B798" s="11" t="s">
        <v>1307</v>
      </c>
      <c r="E798" s="41">
        <v>45684.403784722221</v>
      </c>
    </row>
    <row r="799" spans="1:5" x14ac:dyDescent="0.35">
      <c r="A799" s="11" t="s">
        <v>1693</v>
      </c>
      <c r="B799" s="11" t="s">
        <v>1305</v>
      </c>
      <c r="E799" s="41">
        <v>45684.403807870367</v>
      </c>
    </row>
    <row r="800" spans="1:5" x14ac:dyDescent="0.35">
      <c r="A800" s="11" t="s">
        <v>1693</v>
      </c>
      <c r="B800" s="11" t="s">
        <v>1305</v>
      </c>
      <c r="E800" s="41">
        <v>45684.403831018521</v>
      </c>
    </row>
    <row r="801" spans="1:5" x14ac:dyDescent="0.35">
      <c r="A801" s="11" t="s">
        <v>1693</v>
      </c>
      <c r="B801" s="11" t="s">
        <v>1305</v>
      </c>
      <c r="E801" s="41">
        <v>45684.403854166667</v>
      </c>
    </row>
    <row r="802" spans="1:5" x14ac:dyDescent="0.35">
      <c r="A802" s="11" t="s">
        <v>1671</v>
      </c>
      <c r="B802" s="11" t="s">
        <v>1577</v>
      </c>
      <c r="E802" s="41">
        <v>45684.403912037036</v>
      </c>
    </row>
    <row r="803" spans="1:5" x14ac:dyDescent="0.35">
      <c r="A803" s="11" t="s">
        <v>1672</v>
      </c>
      <c r="B803" s="11" t="s">
        <v>1577</v>
      </c>
      <c r="E803" s="41">
        <v>45684.403935185182</v>
      </c>
    </row>
    <row r="804" spans="1:5" x14ac:dyDescent="0.35">
      <c r="A804" s="11" t="s">
        <v>1673</v>
      </c>
      <c r="B804" s="11" t="s">
        <v>1577</v>
      </c>
      <c r="E804" s="41">
        <v>45684.403969907406</v>
      </c>
    </row>
    <row r="805" spans="1:5" x14ac:dyDescent="0.35">
      <c r="A805" s="11" t="s">
        <v>1674</v>
      </c>
      <c r="B805" s="11" t="s">
        <v>1577</v>
      </c>
      <c r="E805" s="41">
        <v>45684.403993055559</v>
      </c>
    </row>
    <row r="806" spans="1:5" x14ac:dyDescent="0.35">
      <c r="A806" s="11" t="s">
        <v>1678</v>
      </c>
      <c r="B806" s="11" t="s">
        <v>1577</v>
      </c>
      <c r="E806" s="41">
        <v>45684.404016203705</v>
      </c>
    </row>
    <row r="807" spans="1:5" x14ac:dyDescent="0.35">
      <c r="A807" s="11" t="s">
        <v>1677</v>
      </c>
      <c r="B807" s="11" t="s">
        <v>1577</v>
      </c>
      <c r="E807" s="41">
        <v>45684.404039351852</v>
      </c>
    </row>
    <row r="808" spans="1:5" x14ac:dyDescent="0.35">
      <c r="A808" s="11" t="s">
        <v>1679</v>
      </c>
      <c r="B808" s="11" t="s">
        <v>1577</v>
      </c>
      <c r="E808" s="41">
        <v>45684.404062499998</v>
      </c>
    </row>
    <row r="809" spans="1:5" x14ac:dyDescent="0.35">
      <c r="A809" s="11" t="s">
        <v>1682</v>
      </c>
      <c r="B809" s="11" t="s">
        <v>1577</v>
      </c>
      <c r="E809" s="41">
        <v>45684.404085648152</v>
      </c>
    </row>
    <row r="810" spans="1:5" x14ac:dyDescent="0.35">
      <c r="A810" s="11" t="s">
        <v>1683</v>
      </c>
      <c r="B810" s="11" t="s">
        <v>1577</v>
      </c>
      <c r="E810" s="41">
        <v>45684.404120370367</v>
      </c>
    </row>
    <row r="811" spans="1:5" x14ac:dyDescent="0.35">
      <c r="A811" s="11" t="s">
        <v>1684</v>
      </c>
      <c r="B811" s="11" t="s">
        <v>1577</v>
      </c>
      <c r="E811" s="41">
        <v>45684.404143518521</v>
      </c>
    </row>
    <row r="812" spans="1:5" x14ac:dyDescent="0.35">
      <c r="A812" s="11" t="s">
        <v>1685</v>
      </c>
      <c r="B812" s="11" t="s">
        <v>1577</v>
      </c>
      <c r="E812" s="41">
        <v>45684.404178240744</v>
      </c>
    </row>
    <row r="813" spans="1:5" x14ac:dyDescent="0.35">
      <c r="A813" s="11" t="s">
        <v>1698</v>
      </c>
      <c r="B813" s="11" t="s">
        <v>1307</v>
      </c>
      <c r="E813" s="41">
        <v>45684.404340277775</v>
      </c>
    </row>
    <row r="814" spans="1:5" x14ac:dyDescent="0.35">
      <c r="A814" s="11" t="s">
        <v>1699</v>
      </c>
      <c r="B814" s="11" t="s">
        <v>1308</v>
      </c>
      <c r="E814" s="41">
        <v>45684.404363425929</v>
      </c>
    </row>
    <row r="815" spans="1:5" x14ac:dyDescent="0.35">
      <c r="A815" s="11" t="s">
        <v>1699</v>
      </c>
      <c r="B815" s="11" t="s">
        <v>1308</v>
      </c>
      <c r="E815" s="41">
        <v>45684.404386574075</v>
      </c>
    </row>
    <row r="816" spans="1:5" x14ac:dyDescent="0.35">
      <c r="A816" s="11" t="s">
        <v>1700</v>
      </c>
      <c r="B816" s="11" t="s">
        <v>1305</v>
      </c>
      <c r="E816" s="41">
        <v>45684.404409722221</v>
      </c>
    </row>
    <row r="817" spans="1:5" x14ac:dyDescent="0.35">
      <c r="A817" s="11" t="s">
        <v>1700</v>
      </c>
      <c r="B817" s="11" t="s">
        <v>1305</v>
      </c>
      <c r="E817" s="41">
        <v>45684.404432870368</v>
      </c>
    </row>
    <row r="818" spans="1:5" x14ac:dyDescent="0.35">
      <c r="A818" s="11" t="s">
        <v>1686</v>
      </c>
      <c r="B818" s="11" t="s">
        <v>1613</v>
      </c>
      <c r="E818" s="41">
        <v>45686.404918981483</v>
      </c>
    </row>
    <row r="819" spans="1:5" x14ac:dyDescent="0.35">
      <c r="A819" s="11" t="s">
        <v>1681</v>
      </c>
      <c r="B819" s="11" t="s">
        <v>1491</v>
      </c>
      <c r="E819" s="41">
        <v>45687.30568287037</v>
      </c>
    </row>
    <row r="820" spans="1:5" x14ac:dyDescent="0.35">
      <c r="A820" s="11" t="s">
        <v>1691</v>
      </c>
      <c r="B820" s="11" t="s">
        <v>246</v>
      </c>
      <c r="E820" s="41">
        <v>45687.305891203701</v>
      </c>
    </row>
    <row r="821" spans="1:5" x14ac:dyDescent="0.35">
      <c r="A821" s="11" t="s">
        <v>1692</v>
      </c>
      <c r="B821" s="11" t="s">
        <v>246</v>
      </c>
      <c r="E821" s="41">
        <v>45687.305914351855</v>
      </c>
    </row>
    <row r="822" spans="1:5" x14ac:dyDescent="0.35">
      <c r="A822" s="11" t="s">
        <v>1690</v>
      </c>
      <c r="B822" s="11" t="s">
        <v>1615</v>
      </c>
      <c r="E822" s="41">
        <v>45688.453680555554</v>
      </c>
    </row>
    <row r="823" spans="1:5" x14ac:dyDescent="0.35">
      <c r="A823" s="11" t="s">
        <v>1689</v>
      </c>
      <c r="B823" s="11" t="s">
        <v>1614</v>
      </c>
      <c r="E823" s="41">
        <v>45688.453796296293</v>
      </c>
    </row>
    <row r="824" spans="1:5" x14ac:dyDescent="0.35">
      <c r="A824" s="11" t="s">
        <v>1714</v>
      </c>
      <c r="B824" s="11" t="s">
        <v>467</v>
      </c>
      <c r="E824" s="41">
        <v>45688.464143518519</v>
      </c>
    </row>
    <row r="825" spans="1:5" x14ac:dyDescent="0.35">
      <c r="A825" s="11" t="s">
        <v>1714</v>
      </c>
      <c r="B825" s="11" t="s">
        <v>467</v>
      </c>
      <c r="E825" s="41">
        <v>45688.464166666665</v>
      </c>
    </row>
    <row r="826" spans="1:5" x14ac:dyDescent="0.35">
      <c r="A826" s="11" t="s">
        <v>1697</v>
      </c>
      <c r="B826" s="11" t="s">
        <v>1475</v>
      </c>
      <c r="E826" s="41">
        <v>45692.555810185186</v>
      </c>
    </row>
    <row r="827" spans="1:5" x14ac:dyDescent="0.35">
      <c r="A827" s="11" t="s">
        <v>1688</v>
      </c>
      <c r="B827" s="11" t="s">
        <v>1453</v>
      </c>
      <c r="E827" s="41">
        <v>45692.59207175926</v>
      </c>
    </row>
    <row r="828" spans="1:5" x14ac:dyDescent="0.35">
      <c r="A828" s="11" t="s">
        <v>1701</v>
      </c>
      <c r="B828" s="11" t="s">
        <v>1456</v>
      </c>
      <c r="E828" s="41">
        <v>45701.431215277778</v>
      </c>
    </row>
    <row r="829" spans="1:5" x14ac:dyDescent="0.35">
      <c r="A829" s="11" t="s">
        <v>1701</v>
      </c>
      <c r="B829" s="11" t="s">
        <v>1456</v>
      </c>
      <c r="E829" s="41">
        <v>45701.431238425925</v>
      </c>
    </row>
    <row r="830" spans="1:5" x14ac:dyDescent="0.35">
      <c r="A830" s="11" t="s">
        <v>1701</v>
      </c>
      <c r="B830" s="11" t="s">
        <v>1456</v>
      </c>
      <c r="E830" s="41">
        <v>45701.431273148148</v>
      </c>
    </row>
    <row r="831" spans="1:5" x14ac:dyDescent="0.35">
      <c r="A831" s="11" t="s">
        <v>1726</v>
      </c>
      <c r="B831" s="11" t="s">
        <v>450</v>
      </c>
      <c r="E831" s="41">
        <v>45715.305</v>
      </c>
    </row>
    <row r="832" spans="1:5" x14ac:dyDescent="0.35">
      <c r="A832" s="11" t="s">
        <v>1726</v>
      </c>
      <c r="B832" s="11" t="s">
        <v>450</v>
      </c>
      <c r="E832" s="41">
        <v>45715.305034722223</v>
      </c>
    </row>
    <row r="833" spans="1:5" x14ac:dyDescent="0.35">
      <c r="A833" s="11" t="s">
        <v>1727</v>
      </c>
      <c r="B833" s="11" t="s">
        <v>450</v>
      </c>
      <c r="E833" s="41">
        <v>45715.30505787037</v>
      </c>
    </row>
    <row r="834" spans="1:5" x14ac:dyDescent="0.35">
      <c r="A834" s="11" t="s">
        <v>1728</v>
      </c>
      <c r="B834" s="11" t="s">
        <v>450</v>
      </c>
      <c r="E834" s="41">
        <v>45715.305081018516</v>
      </c>
    </row>
    <row r="835" spans="1:5" x14ac:dyDescent="0.35">
      <c r="A835" s="11" t="s">
        <v>1728</v>
      </c>
      <c r="B835" s="11" t="s">
        <v>450</v>
      </c>
      <c r="E835" s="41">
        <v>45715.305127314816</v>
      </c>
    </row>
    <row r="836" spans="1:5" x14ac:dyDescent="0.35">
      <c r="A836" s="11" t="s">
        <v>1729</v>
      </c>
      <c r="B836" s="11" t="s">
        <v>450</v>
      </c>
      <c r="E836" s="41">
        <v>45715.305150462962</v>
      </c>
    </row>
    <row r="837" spans="1:5" x14ac:dyDescent="0.35">
      <c r="A837" s="11" t="s">
        <v>1729</v>
      </c>
      <c r="B837" s="11" t="s">
        <v>450</v>
      </c>
      <c r="E837" s="41">
        <v>45715.305185185185</v>
      </c>
    </row>
    <row r="838" spans="1:5" x14ac:dyDescent="0.35">
      <c r="A838" s="11" t="s">
        <v>1718</v>
      </c>
      <c r="B838" s="11" t="s">
        <v>1715</v>
      </c>
      <c r="E838" s="41">
        <v>45715.305787037039</v>
      </c>
    </row>
    <row r="839" spans="1:5" x14ac:dyDescent="0.35">
      <c r="A839" s="11" t="s">
        <v>1719</v>
      </c>
      <c r="B839" s="11" t="s">
        <v>1716</v>
      </c>
      <c r="E839" s="41">
        <v>45715.305810185186</v>
      </c>
    </row>
    <row r="840" spans="1:5" x14ac:dyDescent="0.35">
      <c r="A840" s="11" t="s">
        <v>1720</v>
      </c>
      <c r="B840" s="11" t="s">
        <v>1717</v>
      </c>
      <c r="E840" s="41">
        <v>45715.305833333332</v>
      </c>
    </row>
    <row r="841" spans="1:5" x14ac:dyDescent="0.35">
      <c r="A841" s="11" t="s">
        <v>1736</v>
      </c>
      <c r="B841" s="11" t="s">
        <v>1494</v>
      </c>
      <c r="E841" s="41">
        <v>45720.313969907409</v>
      </c>
    </row>
    <row r="842" spans="1:5" x14ac:dyDescent="0.35">
      <c r="A842" s="11" t="s">
        <v>1742</v>
      </c>
      <c r="B842" s="11" t="s">
        <v>1494</v>
      </c>
      <c r="E842" s="41">
        <v>45720.313993055555</v>
      </c>
    </row>
    <row r="843" spans="1:5" x14ac:dyDescent="0.35">
      <c r="A843" s="11" t="s">
        <v>1741</v>
      </c>
      <c r="B843" s="11" t="s">
        <v>1494</v>
      </c>
      <c r="E843" s="41">
        <v>45720.314039351855</v>
      </c>
    </row>
    <row r="844" spans="1:5" x14ac:dyDescent="0.35">
      <c r="A844" s="11" t="s">
        <v>1750</v>
      </c>
      <c r="B844" s="11" t="s">
        <v>1494</v>
      </c>
      <c r="E844" s="41">
        <v>45720.314062500001</v>
      </c>
    </row>
    <row r="845" spans="1:5" x14ac:dyDescent="0.35">
      <c r="A845" s="11" t="s">
        <v>1738</v>
      </c>
      <c r="B845" s="11" t="s">
        <v>1494</v>
      </c>
      <c r="E845" s="41">
        <v>45720.314282407409</v>
      </c>
    </row>
    <row r="846" spans="1:5" x14ac:dyDescent="0.35">
      <c r="A846" s="11" t="s">
        <v>1744</v>
      </c>
      <c r="B846" s="11" t="s">
        <v>1494</v>
      </c>
      <c r="E846" s="41">
        <v>45720.314305555556</v>
      </c>
    </row>
    <row r="847" spans="1:5" x14ac:dyDescent="0.35">
      <c r="A847" s="11" t="s">
        <v>1702</v>
      </c>
      <c r="B847" s="11" t="s">
        <v>1494</v>
      </c>
      <c r="E847" s="41">
        <v>45720.314340277779</v>
      </c>
    </row>
    <row r="848" spans="1:5" x14ac:dyDescent="0.35">
      <c r="A848" s="11" t="s">
        <v>1734</v>
      </c>
      <c r="B848" s="11" t="s">
        <v>1494</v>
      </c>
      <c r="E848" s="41">
        <v>45720.314363425925</v>
      </c>
    </row>
    <row r="849" spans="1:5" x14ac:dyDescent="0.35">
      <c r="A849" s="11" t="s">
        <v>1739</v>
      </c>
      <c r="B849" s="11" t="s">
        <v>1494</v>
      </c>
      <c r="E849" s="41">
        <v>45720.31449074074</v>
      </c>
    </row>
    <row r="850" spans="1:5" x14ac:dyDescent="0.35">
      <c r="A850" s="11" t="s">
        <v>1739</v>
      </c>
      <c r="B850" s="11" t="s">
        <v>1494</v>
      </c>
      <c r="E850" s="41">
        <v>45720.314560185187</v>
      </c>
    </row>
    <row r="851" spans="1:5" x14ac:dyDescent="0.35">
      <c r="A851" s="11" t="s">
        <v>1746</v>
      </c>
      <c r="B851" s="11" t="s">
        <v>1494</v>
      </c>
      <c r="E851" s="41">
        <v>45720.314583333333</v>
      </c>
    </row>
    <row r="852" spans="1:5" x14ac:dyDescent="0.35">
      <c r="A852" s="11" t="s">
        <v>1747</v>
      </c>
      <c r="B852" s="11" t="s">
        <v>1494</v>
      </c>
      <c r="E852" s="41">
        <v>45720.314606481479</v>
      </c>
    </row>
    <row r="853" spans="1:5" x14ac:dyDescent="0.35">
      <c r="A853" s="11" t="s">
        <v>1748</v>
      </c>
      <c r="B853" s="11" t="s">
        <v>1494</v>
      </c>
      <c r="E853" s="41">
        <v>45720.314641203702</v>
      </c>
    </row>
    <row r="854" spans="1:5" x14ac:dyDescent="0.35">
      <c r="A854" s="11" t="s">
        <v>1696</v>
      </c>
      <c r="B854" s="11" t="s">
        <v>1625</v>
      </c>
      <c r="E854" s="41">
        <v>45726.307997685188</v>
      </c>
    </row>
    <row r="855" spans="1:5" x14ac:dyDescent="0.35">
      <c r="A855" s="11" t="s">
        <v>1779</v>
      </c>
      <c r="B855" s="11" t="s">
        <v>225</v>
      </c>
      <c r="E855" s="41">
        <v>45726.308287037034</v>
      </c>
    </row>
    <row r="856" spans="1:5" x14ac:dyDescent="0.35">
      <c r="A856" s="11" t="s">
        <v>1779</v>
      </c>
      <c r="B856" s="11" t="s">
        <v>225</v>
      </c>
      <c r="E856" s="41">
        <v>45726.308310185188</v>
      </c>
    </row>
    <row r="857" spans="1:5" x14ac:dyDescent="0.35">
      <c r="A857" s="11" t="s">
        <v>1704</v>
      </c>
      <c r="B857" s="11" t="s">
        <v>1703</v>
      </c>
      <c r="E857" s="41">
        <v>45798.536134259259</v>
      </c>
    </row>
    <row r="858" spans="1:5" x14ac:dyDescent="0.35">
      <c r="A858" s="11" t="s">
        <v>1713</v>
      </c>
      <c r="B858" s="11" t="s">
        <v>1711</v>
      </c>
      <c r="E858" s="41">
        <v>45798.536157407405</v>
      </c>
    </row>
    <row r="859" spans="1:5" x14ac:dyDescent="0.35">
      <c r="A859" s="11" t="s">
        <v>1731</v>
      </c>
      <c r="B859" s="11" t="s">
        <v>1730</v>
      </c>
      <c r="E859" s="41">
        <v>45798.536203703705</v>
      </c>
    </row>
    <row r="860" spans="1:5" x14ac:dyDescent="0.35">
      <c r="A860" s="11" t="s">
        <v>1721</v>
      </c>
      <c r="B860" s="11" t="s">
        <v>1652</v>
      </c>
      <c r="E860" s="41">
        <v>45798.536261574074</v>
      </c>
    </row>
    <row r="861" spans="1:5" x14ac:dyDescent="0.35">
      <c r="A861" s="11" t="s">
        <v>1722</v>
      </c>
      <c r="B861" s="11" t="s">
        <v>1651</v>
      </c>
      <c r="E861" s="41">
        <v>45798.53628472222</v>
      </c>
    </row>
    <row r="862" spans="1:5" x14ac:dyDescent="0.35">
      <c r="A862" s="11" t="s">
        <v>1709</v>
      </c>
      <c r="B862" s="11" t="s">
        <v>1656</v>
      </c>
      <c r="E862" s="41">
        <v>45798.53634259259</v>
      </c>
    </row>
    <row r="863" spans="1:5" x14ac:dyDescent="0.35">
      <c r="A863" s="11" t="s">
        <v>1709</v>
      </c>
      <c r="B863" s="11" t="s">
        <v>1656</v>
      </c>
      <c r="E863" s="41">
        <v>45798.536365740743</v>
      </c>
    </row>
    <row r="864" spans="1:5" x14ac:dyDescent="0.35">
      <c r="A864" s="11" t="s">
        <v>1756</v>
      </c>
      <c r="B864" s="11" t="s">
        <v>452</v>
      </c>
      <c r="E864" s="41">
        <v>45798.536759259259</v>
      </c>
    </row>
    <row r="865" spans="1:5" x14ac:dyDescent="0.35">
      <c r="A865" s="11" t="s">
        <v>1735</v>
      </c>
      <c r="B865" s="11" t="s">
        <v>1496</v>
      </c>
      <c r="E865" s="41">
        <v>45798.536817129629</v>
      </c>
    </row>
    <row r="866" spans="1:5" x14ac:dyDescent="0.35">
      <c r="A866" s="11" t="s">
        <v>1743</v>
      </c>
      <c r="B866" s="11" t="s">
        <v>1496</v>
      </c>
      <c r="E866" s="41">
        <v>45798.536828703705</v>
      </c>
    </row>
    <row r="867" spans="1:5" x14ac:dyDescent="0.35">
      <c r="A867" s="11" t="s">
        <v>1723</v>
      </c>
      <c r="B867" s="11" t="s">
        <v>1706</v>
      </c>
      <c r="E867" s="41">
        <v>45798.536898148152</v>
      </c>
    </row>
    <row r="868" spans="1:5" x14ac:dyDescent="0.35">
      <c r="A868" s="11" t="s">
        <v>1724</v>
      </c>
      <c r="B868" s="11" t="s">
        <v>1705</v>
      </c>
      <c r="E868" s="41">
        <v>45798.536921296298</v>
      </c>
    </row>
    <row r="869" spans="1:5" x14ac:dyDescent="0.35">
      <c r="A869" s="11" t="s">
        <v>1725</v>
      </c>
      <c r="B869" s="11" t="s">
        <v>1488</v>
      </c>
      <c r="E869" s="41">
        <v>45798.536944444444</v>
      </c>
    </row>
    <row r="870" spans="1:5" x14ac:dyDescent="0.35">
      <c r="A870" s="11" t="s">
        <v>1740</v>
      </c>
      <c r="B870" s="11" t="s">
        <v>1496</v>
      </c>
      <c r="E870" s="41">
        <v>45798.53696759259</v>
      </c>
    </row>
    <row r="871" spans="1:5" x14ac:dyDescent="0.35">
      <c r="A871" s="11" t="s">
        <v>1749</v>
      </c>
      <c r="B871" s="11" t="s">
        <v>1496</v>
      </c>
      <c r="E871" s="41">
        <v>45798.53702546296</v>
      </c>
    </row>
    <row r="872" spans="1:5" x14ac:dyDescent="0.35">
      <c r="A872" s="11" t="s">
        <v>1784</v>
      </c>
      <c r="B872" s="11" t="s">
        <v>1761</v>
      </c>
      <c r="E872" s="41">
        <v>45798.537048611113</v>
      </c>
    </row>
    <row r="873" spans="1:5" x14ac:dyDescent="0.35">
      <c r="A873" s="11" t="s">
        <v>1780</v>
      </c>
      <c r="B873" s="11" t="s">
        <v>1760</v>
      </c>
      <c r="E873" s="41">
        <v>45798.53707175926</v>
      </c>
    </row>
    <row r="874" spans="1:5" x14ac:dyDescent="0.35">
      <c r="A874" s="11" t="s">
        <v>1783</v>
      </c>
      <c r="B874" s="11" t="s">
        <v>1758</v>
      </c>
      <c r="E874" s="41">
        <v>45798.537094907406</v>
      </c>
    </row>
    <row r="875" spans="1:5" x14ac:dyDescent="0.35">
      <c r="A875" s="11" t="s">
        <v>1781</v>
      </c>
      <c r="B875" s="11" t="s">
        <v>1759</v>
      </c>
      <c r="E875" s="41">
        <v>45798.537118055552</v>
      </c>
    </row>
    <row r="876" spans="1:5" x14ac:dyDescent="0.35">
      <c r="A876" s="11" t="s">
        <v>1782</v>
      </c>
      <c r="B876" s="11" t="s">
        <v>1757</v>
      </c>
      <c r="E876" s="41">
        <v>45798.537152777775</v>
      </c>
    </row>
    <row r="877" spans="1:5" x14ac:dyDescent="0.35">
      <c r="A877" s="11" t="s">
        <v>1786</v>
      </c>
      <c r="B877" s="11" t="s">
        <v>1762</v>
      </c>
      <c r="E877" s="41">
        <v>45798.537199074075</v>
      </c>
    </row>
    <row r="878" spans="1:5" x14ac:dyDescent="0.35">
      <c r="A878" s="11" t="s">
        <v>1785</v>
      </c>
      <c r="B878" s="11" t="s">
        <v>1765</v>
      </c>
      <c r="E878" s="41">
        <v>45798.537222222221</v>
      </c>
    </row>
    <row r="879" spans="1:5" x14ac:dyDescent="0.35">
      <c r="A879" s="11" t="s">
        <v>1789</v>
      </c>
      <c r="B879" s="11" t="s">
        <v>1763</v>
      </c>
      <c r="E879" s="41">
        <v>45798.537245370368</v>
      </c>
    </row>
    <row r="880" spans="1:5" x14ac:dyDescent="0.35">
      <c r="A880" s="11" t="s">
        <v>1788</v>
      </c>
      <c r="B880" s="11" t="s">
        <v>1764</v>
      </c>
      <c r="E880" s="41">
        <v>45798.537268518521</v>
      </c>
    </row>
    <row r="881" spans="1:5" x14ac:dyDescent="0.35">
      <c r="A881" s="11" t="s">
        <v>1787</v>
      </c>
      <c r="B881" s="11" t="s">
        <v>611</v>
      </c>
      <c r="E881" s="41">
        <v>45798.537291666667</v>
      </c>
    </row>
    <row r="882" spans="1:5" x14ac:dyDescent="0.35">
      <c r="A882" s="11" t="s">
        <v>1737</v>
      </c>
      <c r="B882" s="11" t="s">
        <v>1496</v>
      </c>
      <c r="E882" s="41">
        <v>45798.53733796296</v>
      </c>
    </row>
    <row r="883" spans="1:5" x14ac:dyDescent="0.35">
      <c r="A883" s="11" t="s">
        <v>1745</v>
      </c>
      <c r="B883" s="11" t="s">
        <v>1496</v>
      </c>
      <c r="E883" s="41">
        <v>45798.537361111114</v>
      </c>
    </row>
    <row r="884" spans="1:5" x14ac:dyDescent="0.35">
      <c r="A884" s="11" t="s">
        <v>1708</v>
      </c>
      <c r="B884" s="11" t="s">
        <v>977</v>
      </c>
      <c r="E884" s="41">
        <v>45798.53738425926</v>
      </c>
    </row>
    <row r="885" spans="1:5" x14ac:dyDescent="0.35">
      <c r="A885" s="11" t="s">
        <v>1707</v>
      </c>
      <c r="B885" s="11" t="s">
        <v>977</v>
      </c>
      <c r="E885" s="41">
        <v>45798.537407407406</v>
      </c>
    </row>
    <row r="886" spans="1:5" x14ac:dyDescent="0.35">
      <c r="A886" s="11" t="s">
        <v>1707</v>
      </c>
      <c r="B886" s="11" t="s">
        <v>977</v>
      </c>
      <c r="E886" s="41">
        <v>45798.537430555552</v>
      </c>
    </row>
    <row r="887" spans="1:5" x14ac:dyDescent="0.35">
      <c r="A887" s="11" t="s">
        <v>2058</v>
      </c>
      <c r="B887" s="11" t="s">
        <v>1810</v>
      </c>
      <c r="E887" s="41">
        <v>45798.537928240738</v>
      </c>
    </row>
    <row r="888" spans="1:5" x14ac:dyDescent="0.35">
      <c r="A888" s="11" t="s">
        <v>2059</v>
      </c>
      <c r="B888" s="11" t="s">
        <v>1812</v>
      </c>
      <c r="E888" s="41">
        <v>45798.537962962961</v>
      </c>
    </row>
    <row r="889" spans="1:5" x14ac:dyDescent="0.35">
      <c r="A889" s="11" t="s">
        <v>2059</v>
      </c>
      <c r="B889" s="11" t="s">
        <v>1812</v>
      </c>
      <c r="E889" s="41">
        <v>45798.537986111114</v>
      </c>
    </row>
    <row r="890" spans="1:5" x14ac:dyDescent="0.35">
      <c r="A890" s="11" t="s">
        <v>1806</v>
      </c>
      <c r="B890" s="11" t="s">
        <v>1112</v>
      </c>
      <c r="E890" s="41">
        <v>45798.53802083333</v>
      </c>
    </row>
    <row r="891" spans="1:5" x14ac:dyDescent="0.35">
      <c r="A891" s="11" t="s">
        <v>1807</v>
      </c>
      <c r="B891" s="11" t="s">
        <v>1117</v>
      </c>
      <c r="E891" s="41">
        <v>45798.538043981483</v>
      </c>
    </row>
    <row r="892" spans="1:5" x14ac:dyDescent="0.35">
      <c r="A892" s="11" t="s">
        <v>2060</v>
      </c>
      <c r="B892" s="11" t="s">
        <v>1813</v>
      </c>
      <c r="E892" s="41">
        <v>45798.538078703707</v>
      </c>
    </row>
  </sheetData>
  <printOptions gridLines="1"/>
  <pageMargins left="0.70866141732283472" right="0.70866141732283472" top="0.74803149606299213" bottom="0.74803149606299213" header="0.31496062992125984" footer="0.31496062992125984"/>
  <pageSetup paperSize="9" scale="76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7"/>
  <dimension ref="A1:D45"/>
  <sheetViews>
    <sheetView zoomScale="253" zoomScaleNormal="253" workbookViewId="0">
      <selection activeCell="D4" sqref="D4"/>
    </sheetView>
  </sheetViews>
  <sheetFormatPr defaultColWidth="0" defaultRowHeight="14.5" x14ac:dyDescent="0.35"/>
  <cols>
    <col min="1" max="1" width="15" style="6" customWidth="1"/>
    <col min="2" max="2" width="16.54296875" customWidth="1"/>
    <col min="3" max="3" width="60.7265625" customWidth="1"/>
    <col min="4" max="4" width="11" customWidth="1"/>
    <col min="5" max="16384" width="9.1796875" hidden="1"/>
  </cols>
  <sheetData>
    <row r="1" spans="1:4" ht="63" customHeight="1" x14ac:dyDescent="0.35">
      <c r="A1" s="6" t="s">
        <v>430</v>
      </c>
      <c r="B1" s="1" t="s">
        <v>431</v>
      </c>
      <c r="C1" t="s">
        <v>211</v>
      </c>
      <c r="D1" t="s">
        <v>429</v>
      </c>
    </row>
    <row r="2" spans="1:4" x14ac:dyDescent="0.35">
      <c r="A2" s="6">
        <v>1</v>
      </c>
      <c r="B2">
        <v>978703</v>
      </c>
      <c r="C2" t="s">
        <v>1616</v>
      </c>
      <c r="D2">
        <v>1</v>
      </c>
    </row>
    <row r="3" spans="1:4" x14ac:dyDescent="0.35">
      <c r="A3" s="6">
        <v>2</v>
      </c>
      <c r="B3">
        <v>982756</v>
      </c>
      <c r="C3" t="s">
        <v>1620</v>
      </c>
      <c r="D3">
        <v>1</v>
      </c>
    </row>
    <row r="4" spans="1:4" x14ac:dyDescent="0.35">
      <c r="A4" s="6">
        <v>3</v>
      </c>
      <c r="B4">
        <v>982245</v>
      </c>
      <c r="C4" t="s">
        <v>1619</v>
      </c>
      <c r="D4">
        <v>1</v>
      </c>
    </row>
    <row r="5" spans="1:4" x14ac:dyDescent="0.35">
      <c r="A5" s="6">
        <v>4</v>
      </c>
      <c r="B5">
        <v>974825</v>
      </c>
      <c r="C5" t="s">
        <v>1627</v>
      </c>
      <c r="D5">
        <v>1</v>
      </c>
    </row>
    <row r="6" spans="1:4" x14ac:dyDescent="0.35">
      <c r="A6" s="6">
        <v>5</v>
      </c>
      <c r="B6">
        <v>984682</v>
      </c>
      <c r="C6" t="s">
        <v>1637</v>
      </c>
      <c r="D6">
        <v>1</v>
      </c>
    </row>
    <row r="7" spans="1:4" x14ac:dyDescent="0.35">
      <c r="A7" s="6">
        <v>6</v>
      </c>
      <c r="B7">
        <v>981127</v>
      </c>
      <c r="C7" t="s">
        <v>1636</v>
      </c>
      <c r="D7">
        <v>1</v>
      </c>
    </row>
    <row r="8" spans="1:4" x14ac:dyDescent="0.35">
      <c r="A8" s="6">
        <v>7</v>
      </c>
      <c r="B8">
        <v>983345</v>
      </c>
      <c r="C8" t="s">
        <v>1630</v>
      </c>
      <c r="D8">
        <v>1</v>
      </c>
    </row>
    <row r="9" spans="1:4" x14ac:dyDescent="0.35">
      <c r="A9" s="6">
        <v>8</v>
      </c>
      <c r="B9">
        <v>937683</v>
      </c>
      <c r="C9" t="s">
        <v>247</v>
      </c>
      <c r="D9">
        <v>2</v>
      </c>
    </row>
    <row r="10" spans="1:4" x14ac:dyDescent="0.35">
      <c r="A10" s="6">
        <v>9</v>
      </c>
      <c r="B10">
        <v>937683</v>
      </c>
      <c r="C10" t="s">
        <v>246</v>
      </c>
      <c r="D10">
        <v>2</v>
      </c>
    </row>
    <row r="11" spans="1:4" x14ac:dyDescent="0.35">
      <c r="A11" s="6">
        <v>10</v>
      </c>
      <c r="B11">
        <v>979223</v>
      </c>
      <c r="C11" t="s">
        <v>1608</v>
      </c>
      <c r="D11">
        <v>2</v>
      </c>
    </row>
    <row r="12" spans="1:4" x14ac:dyDescent="0.35">
      <c r="A12" s="6">
        <v>11</v>
      </c>
      <c r="B12">
        <v>979223</v>
      </c>
      <c r="C12" t="s">
        <v>1608</v>
      </c>
      <c r="D12">
        <v>2</v>
      </c>
    </row>
    <row r="13" spans="1:4" x14ac:dyDescent="0.35">
      <c r="A13" s="6">
        <v>12</v>
      </c>
      <c r="B13">
        <v>979223</v>
      </c>
      <c r="C13" t="s">
        <v>1607</v>
      </c>
      <c r="D13">
        <v>2</v>
      </c>
    </row>
    <row r="14" spans="1:4" x14ac:dyDescent="0.35">
      <c r="A14" s="6">
        <v>13</v>
      </c>
      <c r="B14">
        <v>974833</v>
      </c>
      <c r="C14" t="s">
        <v>1628</v>
      </c>
      <c r="D14">
        <v>2</v>
      </c>
    </row>
    <row r="15" spans="1:4" x14ac:dyDescent="0.35">
      <c r="A15" s="6">
        <v>14</v>
      </c>
      <c r="B15">
        <v>974833</v>
      </c>
      <c r="C15" t="s">
        <v>1629</v>
      </c>
      <c r="D15">
        <v>2</v>
      </c>
    </row>
    <row r="16" spans="1:4" x14ac:dyDescent="0.35">
      <c r="A16" s="6">
        <v>15</v>
      </c>
      <c r="B16">
        <v>978807</v>
      </c>
      <c r="C16" t="s">
        <v>1459</v>
      </c>
      <c r="D16">
        <v>2</v>
      </c>
    </row>
    <row r="17" spans="1:4" x14ac:dyDescent="0.35">
      <c r="A17" s="6">
        <v>16</v>
      </c>
      <c r="B17">
        <v>978807</v>
      </c>
      <c r="C17" t="s">
        <v>1458</v>
      </c>
      <c r="D17">
        <v>2</v>
      </c>
    </row>
    <row r="18" spans="1:4" x14ac:dyDescent="0.35">
      <c r="A18" s="6">
        <v>17</v>
      </c>
      <c r="B18">
        <v>978807</v>
      </c>
      <c r="C18" t="s">
        <v>1505</v>
      </c>
      <c r="D18">
        <v>2</v>
      </c>
    </row>
    <row r="19" spans="1:4" x14ac:dyDescent="0.35">
      <c r="A19" s="6">
        <v>18</v>
      </c>
      <c r="B19">
        <v>978807</v>
      </c>
      <c r="C19" t="s">
        <v>1475</v>
      </c>
      <c r="D19">
        <v>2</v>
      </c>
    </row>
    <row r="20" spans="1:4" x14ac:dyDescent="0.35">
      <c r="A20" s="6">
        <v>19</v>
      </c>
      <c r="B20">
        <v>978807</v>
      </c>
      <c r="C20" t="s">
        <v>1476</v>
      </c>
      <c r="D20">
        <v>2</v>
      </c>
    </row>
    <row r="21" spans="1:4" x14ac:dyDescent="0.35">
      <c r="A21" s="6">
        <v>20</v>
      </c>
      <c r="B21">
        <v>978807</v>
      </c>
      <c r="C21" t="s">
        <v>1474</v>
      </c>
      <c r="D21">
        <v>2</v>
      </c>
    </row>
    <row r="22" spans="1:4" x14ac:dyDescent="0.35">
      <c r="A22" s="6">
        <v>21</v>
      </c>
      <c r="B22">
        <v>979268</v>
      </c>
      <c r="C22" t="s">
        <v>1638</v>
      </c>
      <c r="D22">
        <v>2</v>
      </c>
    </row>
    <row r="23" spans="1:4" x14ac:dyDescent="0.35">
      <c r="A23" s="6">
        <v>22</v>
      </c>
      <c r="B23">
        <v>979268</v>
      </c>
      <c r="C23" t="s">
        <v>342</v>
      </c>
      <c r="D23">
        <v>2</v>
      </c>
    </row>
    <row r="24" spans="1:4" x14ac:dyDescent="0.35">
      <c r="A24" s="6">
        <v>23</v>
      </c>
      <c r="B24">
        <v>979332</v>
      </c>
      <c r="C24" t="s">
        <v>1639</v>
      </c>
      <c r="D24">
        <v>2</v>
      </c>
    </row>
    <row r="25" spans="1:4" x14ac:dyDescent="0.35">
      <c r="A25" s="6">
        <v>24</v>
      </c>
      <c r="B25">
        <v>979332</v>
      </c>
      <c r="C25" t="s">
        <v>343</v>
      </c>
      <c r="D25">
        <v>2</v>
      </c>
    </row>
    <row r="26" spans="1:4" x14ac:dyDescent="0.35">
      <c r="A26" s="6">
        <v>25</v>
      </c>
      <c r="B26">
        <v>982330</v>
      </c>
      <c r="C26" t="s">
        <v>1625</v>
      </c>
      <c r="D26">
        <v>3</v>
      </c>
    </row>
    <row r="27" spans="1:4" x14ac:dyDescent="0.35">
      <c r="A27" s="6">
        <v>26</v>
      </c>
      <c r="B27">
        <v>982330</v>
      </c>
      <c r="C27" t="s">
        <v>1626</v>
      </c>
      <c r="D27">
        <v>3</v>
      </c>
    </row>
    <row r="28" spans="1:4" x14ac:dyDescent="0.35">
      <c r="A28" s="6">
        <v>27</v>
      </c>
      <c r="B28">
        <v>982330</v>
      </c>
      <c r="C28" t="s">
        <v>1624</v>
      </c>
      <c r="D28">
        <v>3</v>
      </c>
    </row>
    <row r="29" spans="1:4" x14ac:dyDescent="0.35">
      <c r="A29" s="6">
        <v>28</v>
      </c>
      <c r="B29">
        <v>980538</v>
      </c>
      <c r="C29" t="s">
        <v>1618</v>
      </c>
      <c r="D29">
        <v>3</v>
      </c>
    </row>
    <row r="30" spans="1:4" x14ac:dyDescent="0.35">
      <c r="A30" s="6">
        <v>29</v>
      </c>
      <c r="B30">
        <v>980538</v>
      </c>
      <c r="C30" t="s">
        <v>1312</v>
      </c>
      <c r="D30">
        <v>3</v>
      </c>
    </row>
    <row r="31" spans="1:4" x14ac:dyDescent="0.35">
      <c r="A31" s="6">
        <v>30</v>
      </c>
      <c r="B31">
        <v>984604</v>
      </c>
      <c r="C31" t="s">
        <v>1635</v>
      </c>
      <c r="D31">
        <v>5</v>
      </c>
    </row>
    <row r="32" spans="1:4" x14ac:dyDescent="0.35">
      <c r="A32" s="6">
        <v>31</v>
      </c>
      <c r="B32">
        <v>984604</v>
      </c>
      <c r="C32" t="s">
        <v>1634</v>
      </c>
      <c r="D32">
        <v>5</v>
      </c>
    </row>
    <row r="33" spans="1:4" x14ac:dyDescent="0.35">
      <c r="A33" s="6">
        <v>32</v>
      </c>
      <c r="B33">
        <v>984604</v>
      </c>
      <c r="C33" t="s">
        <v>1631</v>
      </c>
      <c r="D33">
        <v>5</v>
      </c>
    </row>
    <row r="34" spans="1:4" x14ac:dyDescent="0.35">
      <c r="A34" s="6">
        <v>33</v>
      </c>
      <c r="B34">
        <v>984604</v>
      </c>
      <c r="C34" t="s">
        <v>1632</v>
      </c>
      <c r="D34">
        <v>5</v>
      </c>
    </row>
    <row r="35" spans="1:4" x14ac:dyDescent="0.35">
      <c r="A35" s="6">
        <v>34</v>
      </c>
      <c r="B35">
        <v>984604</v>
      </c>
      <c r="C35" t="s">
        <v>1633</v>
      </c>
      <c r="D35">
        <v>5</v>
      </c>
    </row>
    <row r="36" spans="1:4" x14ac:dyDescent="0.35">
      <c r="A36" s="6">
        <v>35</v>
      </c>
      <c r="B36">
        <v>984697</v>
      </c>
      <c r="C36" t="s">
        <v>1643</v>
      </c>
      <c r="D36">
        <v>10</v>
      </c>
    </row>
    <row r="37" spans="1:4" x14ac:dyDescent="0.35">
      <c r="A37" s="6">
        <v>36</v>
      </c>
      <c r="B37">
        <v>984697</v>
      </c>
      <c r="C37" t="s">
        <v>1647</v>
      </c>
      <c r="D37">
        <v>10</v>
      </c>
    </row>
    <row r="38" spans="1:4" x14ac:dyDescent="0.35">
      <c r="A38" s="6">
        <v>37</v>
      </c>
      <c r="B38">
        <v>984697</v>
      </c>
      <c r="C38" t="s">
        <v>1648</v>
      </c>
      <c r="D38">
        <v>10</v>
      </c>
    </row>
    <row r="39" spans="1:4" x14ac:dyDescent="0.35">
      <c r="A39" s="6">
        <v>38</v>
      </c>
      <c r="B39">
        <v>984697</v>
      </c>
      <c r="C39" t="s">
        <v>1649</v>
      </c>
      <c r="D39">
        <v>10</v>
      </c>
    </row>
    <row r="40" spans="1:4" x14ac:dyDescent="0.35">
      <c r="A40" s="6">
        <v>39</v>
      </c>
      <c r="B40">
        <v>984697</v>
      </c>
      <c r="C40" t="s">
        <v>1646</v>
      </c>
      <c r="D40">
        <v>10</v>
      </c>
    </row>
    <row r="41" spans="1:4" x14ac:dyDescent="0.35">
      <c r="A41" s="6">
        <v>40</v>
      </c>
      <c r="B41">
        <v>984697</v>
      </c>
      <c r="C41" t="s">
        <v>1650</v>
      </c>
      <c r="D41">
        <v>10</v>
      </c>
    </row>
    <row r="42" spans="1:4" x14ac:dyDescent="0.35">
      <c r="A42" s="6">
        <v>41</v>
      </c>
      <c r="B42">
        <v>984697</v>
      </c>
      <c r="C42" t="s">
        <v>1645</v>
      </c>
      <c r="D42">
        <v>10</v>
      </c>
    </row>
    <row r="43" spans="1:4" x14ac:dyDescent="0.35">
      <c r="A43" s="6">
        <v>42</v>
      </c>
      <c r="B43">
        <v>984697</v>
      </c>
      <c r="C43" t="s">
        <v>1641</v>
      </c>
      <c r="D43">
        <v>10</v>
      </c>
    </row>
    <row r="44" spans="1:4" x14ac:dyDescent="0.35">
      <c r="A44" s="6">
        <v>43</v>
      </c>
      <c r="B44">
        <v>984697</v>
      </c>
      <c r="C44" t="s">
        <v>1642</v>
      </c>
      <c r="D44">
        <v>10</v>
      </c>
    </row>
    <row r="45" spans="1:4" x14ac:dyDescent="0.35">
      <c r="A45" s="6">
        <v>44</v>
      </c>
      <c r="B45">
        <v>984697</v>
      </c>
      <c r="C45" t="s">
        <v>1644</v>
      </c>
      <c r="D45">
        <v>10</v>
      </c>
    </row>
  </sheetData>
  <sortState xmlns:xlrd2="http://schemas.microsoft.com/office/spreadsheetml/2017/richdata2" ref="A2:D1048574">
    <sortCondition ref="D1:D1048574"/>
  </sortState>
  <phoneticPr fontId="10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3" name="Button 1">
              <controlPr defaultSize="0" print="0" autoFill="0" autoPict="0" macro="[0]!Ocisti">
                <anchor moveWithCells="1" sizeWithCells="1">
                  <from>
                    <xdr:col>1</xdr:col>
                    <xdr:colOff>152400</xdr:colOff>
                    <xdr:row>0</xdr:row>
                    <xdr:rowOff>184150</xdr:rowOff>
                  </from>
                  <to>
                    <xdr:col>1</xdr:col>
                    <xdr:colOff>952500</xdr:colOff>
                    <xdr:row>0</xdr:row>
                    <xdr:rowOff>508000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6" r:id="rId4" name="Button 2">
              <controlPr defaultSize="0" print="0" autoFill="0" autoPict="0" macro="[0]!Obrisi_red">
                <anchor moveWithCells="1" sizeWithCells="1">
                  <from>
                    <xdr:col>2</xdr:col>
                    <xdr:colOff>146050</xdr:colOff>
                    <xdr:row>0</xdr:row>
                    <xdr:rowOff>171450</xdr:rowOff>
                  </from>
                  <to>
                    <xdr:col>2</xdr:col>
                    <xdr:colOff>946150</xdr:colOff>
                    <xdr:row>0</xdr:row>
                    <xdr:rowOff>488950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2"/>
  <dimension ref="A1:O4"/>
  <sheetViews>
    <sheetView zoomScale="135" zoomScaleNormal="135" workbookViewId="0">
      <selection activeCell="Q11" sqref="Q11"/>
    </sheetView>
  </sheetViews>
  <sheetFormatPr defaultRowHeight="14.5" x14ac:dyDescent="0.35"/>
  <cols>
    <col min="1" max="1" width="12.1796875" style="27" customWidth="1"/>
    <col min="5" max="5" width="10.54296875" customWidth="1"/>
  </cols>
  <sheetData>
    <row r="1" spans="1:15" x14ac:dyDescent="0.35">
      <c r="A1" s="27">
        <v>3.4722222222222222E-5</v>
      </c>
      <c r="B1" s="27">
        <v>6.9444444444444444E-5</v>
      </c>
      <c r="C1" s="27">
        <v>6.9444444444444444E-5</v>
      </c>
      <c r="D1" s="27">
        <v>1.0416666666666667E-4</v>
      </c>
      <c r="E1" s="27">
        <v>1.0416666666666667E-4</v>
      </c>
      <c r="F1" s="27">
        <v>1.1574074074074073E-4</v>
      </c>
      <c r="G1" s="27">
        <v>9.2592592592592588E-5</v>
      </c>
      <c r="H1" s="27">
        <v>1.1574074074074073E-4</v>
      </c>
      <c r="I1" s="27">
        <v>1.0416666666666667E-4</v>
      </c>
      <c r="J1" s="27">
        <v>1.1574074074074073E-4</v>
      </c>
      <c r="K1" s="27">
        <v>1.0416666666666667E-4</v>
      </c>
      <c r="L1" s="27">
        <v>1.1574074074074073E-4</v>
      </c>
      <c r="M1" s="27">
        <v>1.0416666666666667E-4</v>
      </c>
      <c r="N1" s="27">
        <v>8.1018518518518516E-5</v>
      </c>
      <c r="O1" s="27">
        <v>5.7870370370370366E-5</v>
      </c>
    </row>
    <row r="2" spans="1:15" x14ac:dyDescent="0.35">
      <c r="A2" s="27">
        <v>2.0833333333333335E-4</v>
      </c>
      <c r="B2" s="27">
        <v>8.1018518518518516E-5</v>
      </c>
      <c r="C2" s="27">
        <v>5.2083333333333333E-4</v>
      </c>
      <c r="D2" s="27">
        <v>2.0023148148148148E-3</v>
      </c>
      <c r="E2" s="27">
        <v>2.1643518518518518E-3</v>
      </c>
      <c r="F2" s="27">
        <v>2.1296296296296298E-3</v>
      </c>
      <c r="G2" s="27">
        <v>1.5972222222222221E-3</v>
      </c>
      <c r="H2" s="27">
        <v>1.2268518518518518E-3</v>
      </c>
      <c r="I2" s="27">
        <v>1.1574074074074073E-3</v>
      </c>
      <c r="J2" s="27">
        <v>1.0185185185185186E-3</v>
      </c>
      <c r="K2" s="27">
        <v>9.2592592592592585E-4</v>
      </c>
      <c r="L2" s="27">
        <v>6.9444444444444447E-4</v>
      </c>
      <c r="M2" s="27">
        <v>4.1666666666666669E-4</v>
      </c>
      <c r="N2" s="27">
        <v>5.0925925925925921E-4</v>
      </c>
      <c r="O2" s="27">
        <v>2.4305555555555552E-4</v>
      </c>
    </row>
    <row r="3" spans="1:15" x14ac:dyDescent="0.35">
      <c r="A3" s="27">
        <v>0</v>
      </c>
      <c r="B3" s="27">
        <v>1.1574074074074073E-5</v>
      </c>
      <c r="C3" s="27">
        <v>1.1574074074074073E-5</v>
      </c>
      <c r="D3" s="27">
        <v>1.1574074074074073E-5</v>
      </c>
      <c r="E3" s="27">
        <v>0</v>
      </c>
      <c r="F3" s="27">
        <v>1.1574074074074073E-5</v>
      </c>
      <c r="G3" s="27">
        <v>2.3148148148148146E-4</v>
      </c>
      <c r="H3" s="27">
        <v>1.1574074074074073E-5</v>
      </c>
      <c r="I3" s="27">
        <v>1.1574074074074073E-5</v>
      </c>
      <c r="J3" s="27">
        <v>0</v>
      </c>
      <c r="K3" s="27">
        <v>1.1574074074074073E-5</v>
      </c>
      <c r="L3" s="27">
        <v>0</v>
      </c>
      <c r="M3" s="27">
        <v>0</v>
      </c>
      <c r="N3" s="27">
        <v>1.1574074074074073E-5</v>
      </c>
      <c r="O3" s="27">
        <v>0</v>
      </c>
    </row>
    <row r="4" spans="1:15" x14ac:dyDescent="0.35">
      <c r="A4"/>
      <c r="B4" s="27" t="s">
        <v>435</v>
      </c>
      <c r="C4" s="27" t="s">
        <v>436</v>
      </c>
      <c r="D4" t="s">
        <v>323</v>
      </c>
      <c r="E4" t="s">
        <v>324</v>
      </c>
      <c r="F4" t="s">
        <v>325</v>
      </c>
      <c r="G4" t="s">
        <v>326</v>
      </c>
      <c r="H4" t="s">
        <v>327</v>
      </c>
      <c r="I4" t="s">
        <v>328</v>
      </c>
      <c r="J4" t="s">
        <v>329</v>
      </c>
      <c r="K4" t="s">
        <v>330</v>
      </c>
      <c r="L4" t="s">
        <v>331</v>
      </c>
      <c r="M4" t="s">
        <v>332</v>
      </c>
      <c r="N4" t="s">
        <v>333</v>
      </c>
      <c r="O4" s="27" t="s">
        <v>334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5"/>
  <dimension ref="A1:D232"/>
  <sheetViews>
    <sheetView zoomScale="85" zoomScaleNormal="85" workbookViewId="0">
      <selection activeCell="Z30" sqref="Z30"/>
    </sheetView>
  </sheetViews>
  <sheetFormatPr defaultRowHeight="14.5" x14ac:dyDescent="0.35"/>
  <cols>
    <col min="1" max="1" width="10" bestFit="1" customWidth="1"/>
    <col min="2" max="2" width="57.7265625" bestFit="1" customWidth="1"/>
    <col min="3" max="3" width="15.1796875" style="2" customWidth="1"/>
  </cols>
  <sheetData>
    <row r="1" spans="1:4" x14ac:dyDescent="0.35">
      <c r="A1">
        <v>472439</v>
      </c>
      <c r="B1" t="s">
        <v>337</v>
      </c>
      <c r="C1" s="2">
        <v>43923.291666666664</v>
      </c>
      <c r="D1">
        <v>1.3888888888888888E-2</v>
      </c>
    </row>
    <row r="2" spans="1:4" x14ac:dyDescent="0.35">
      <c r="A2">
        <v>475954</v>
      </c>
      <c r="B2" t="s">
        <v>365</v>
      </c>
      <c r="C2" s="2">
        <v>43923.305555555555</v>
      </c>
      <c r="D2">
        <v>1.3888888888888888E-2</v>
      </c>
    </row>
    <row r="3" spans="1:4" x14ac:dyDescent="0.35">
      <c r="A3">
        <v>469926</v>
      </c>
      <c r="B3" t="s">
        <v>243</v>
      </c>
      <c r="C3" s="2">
        <v>43923.319444444445</v>
      </c>
      <c r="D3">
        <v>6.9444444444444441E-3</v>
      </c>
    </row>
    <row r="4" spans="1:4" x14ac:dyDescent="0.35">
      <c r="A4">
        <v>475125</v>
      </c>
      <c r="B4" t="s">
        <v>357</v>
      </c>
      <c r="C4" s="2">
        <v>43923.326388888891</v>
      </c>
      <c r="D4">
        <v>8.3333333333333329E-2</v>
      </c>
    </row>
    <row r="5" spans="1:4" x14ac:dyDescent="0.35">
      <c r="A5">
        <v>475159</v>
      </c>
      <c r="B5" t="s">
        <v>360</v>
      </c>
      <c r="C5" s="2">
        <v>43923.409722222226</v>
      </c>
      <c r="D5">
        <v>6.9444444379769266E-3</v>
      </c>
    </row>
    <row r="6" spans="1:4" x14ac:dyDescent="0.35">
      <c r="A6" t="s">
        <v>198</v>
      </c>
      <c r="B6" t="s">
        <v>198</v>
      </c>
      <c r="C6" s="2">
        <v>43923.416666666664</v>
      </c>
      <c r="D6">
        <v>2.0833333333333356E-2</v>
      </c>
    </row>
    <row r="7" spans="1:4" x14ac:dyDescent="0.35">
      <c r="A7">
        <v>475159</v>
      </c>
      <c r="B7" t="s">
        <v>360</v>
      </c>
      <c r="C7" s="2">
        <v>43923.4375</v>
      </c>
      <c r="D7">
        <v>1.3888888888888888E-2</v>
      </c>
    </row>
    <row r="8" spans="1:4" x14ac:dyDescent="0.35">
      <c r="A8">
        <v>475138</v>
      </c>
      <c r="B8" t="s">
        <v>358</v>
      </c>
      <c r="C8" s="2">
        <v>43923.451388888891</v>
      </c>
      <c r="D8">
        <v>8.3333333333333329E-2</v>
      </c>
    </row>
    <row r="9" spans="1:4" x14ac:dyDescent="0.35">
      <c r="A9">
        <v>475147</v>
      </c>
      <c r="B9" t="s">
        <v>359</v>
      </c>
      <c r="C9" s="2">
        <v>43923.534722222226</v>
      </c>
      <c r="D9">
        <v>2.0833333333333332E-2</v>
      </c>
    </row>
    <row r="10" spans="1:4" x14ac:dyDescent="0.35">
      <c r="A10">
        <v>475648</v>
      </c>
      <c r="B10" t="s">
        <v>363</v>
      </c>
      <c r="C10" s="2">
        <v>43923.555555555562</v>
      </c>
      <c r="D10">
        <v>2.0833333333333332E-2</v>
      </c>
    </row>
    <row r="11" spans="1:4" x14ac:dyDescent="0.35">
      <c r="A11">
        <v>475650</v>
      </c>
      <c r="B11" t="s">
        <v>364</v>
      </c>
      <c r="C11" s="2">
        <v>43923.576388888898</v>
      </c>
      <c r="D11">
        <v>2.0833333333333332E-2</v>
      </c>
    </row>
    <row r="12" spans="1:4" x14ac:dyDescent="0.35">
      <c r="A12">
        <v>476087</v>
      </c>
      <c r="B12" t="s">
        <v>246</v>
      </c>
      <c r="C12" s="2">
        <v>43923.597222222234</v>
      </c>
      <c r="D12">
        <v>8.3333333333333332E-3</v>
      </c>
    </row>
    <row r="13" spans="1:4" x14ac:dyDescent="0.35">
      <c r="A13">
        <v>476096</v>
      </c>
      <c r="B13" t="s">
        <v>247</v>
      </c>
      <c r="C13" s="2">
        <v>43923.605555555565</v>
      </c>
      <c r="D13">
        <v>1.7361111111111112E-2</v>
      </c>
    </row>
    <row r="14" spans="1:4" x14ac:dyDescent="0.35">
      <c r="A14">
        <v>476099</v>
      </c>
      <c r="B14" t="s">
        <v>248</v>
      </c>
      <c r="C14" s="2">
        <v>43923.622916666674</v>
      </c>
      <c r="D14">
        <v>1.3888888888888888E-2</v>
      </c>
    </row>
    <row r="15" spans="1:4" x14ac:dyDescent="0.35">
      <c r="A15">
        <v>472387</v>
      </c>
      <c r="B15" t="s">
        <v>171</v>
      </c>
      <c r="C15" s="2">
        <v>43923.636805555565</v>
      </c>
      <c r="D15">
        <v>1.7361111111111112E-2</v>
      </c>
    </row>
    <row r="16" spans="1:4" x14ac:dyDescent="0.35">
      <c r="A16">
        <v>474467</v>
      </c>
      <c r="B16" t="s">
        <v>171</v>
      </c>
      <c r="C16" s="2">
        <v>43923.654166666674</v>
      </c>
      <c r="D16">
        <v>3.4722222222222224E-2</v>
      </c>
    </row>
    <row r="17" spans="1:4" x14ac:dyDescent="0.35">
      <c r="A17">
        <v>475451</v>
      </c>
      <c r="B17" t="s">
        <v>265</v>
      </c>
      <c r="C17" s="2">
        <v>43923.688888888893</v>
      </c>
      <c r="D17">
        <v>6.1111111106583849E-2</v>
      </c>
    </row>
    <row r="18" spans="1:4" x14ac:dyDescent="0.35">
      <c r="A18" t="s">
        <v>198</v>
      </c>
      <c r="B18" t="s">
        <v>198</v>
      </c>
      <c r="C18" s="2">
        <v>43923.75</v>
      </c>
      <c r="D18">
        <v>2.0833333333333356E-2</v>
      </c>
    </row>
    <row r="19" spans="1:4" x14ac:dyDescent="0.35">
      <c r="A19">
        <v>475451</v>
      </c>
      <c r="B19" t="s">
        <v>265</v>
      </c>
      <c r="C19" s="2">
        <v>43923.770833333336</v>
      </c>
      <c r="D19">
        <v>0.11944444444444445</v>
      </c>
    </row>
    <row r="20" spans="1:4" x14ac:dyDescent="0.35">
      <c r="A20">
        <v>474579</v>
      </c>
      <c r="B20" t="s">
        <v>243</v>
      </c>
      <c r="C20" s="2">
        <v>43923.890277777777</v>
      </c>
      <c r="D20">
        <v>1.3888888888888888E-2</v>
      </c>
    </row>
    <row r="21" spans="1:4" x14ac:dyDescent="0.35">
      <c r="A21">
        <v>474867</v>
      </c>
      <c r="B21" t="s">
        <v>345</v>
      </c>
      <c r="C21" s="2">
        <v>43923.904166666667</v>
      </c>
      <c r="D21">
        <v>1.0416666666666666E-2</v>
      </c>
    </row>
    <row r="22" spans="1:4" x14ac:dyDescent="0.35">
      <c r="A22">
        <v>474867</v>
      </c>
      <c r="B22" t="s">
        <v>345</v>
      </c>
      <c r="C22" s="2">
        <v>43923.914583333331</v>
      </c>
      <c r="D22">
        <v>1.0416666666666666E-2</v>
      </c>
    </row>
    <row r="23" spans="1:4" x14ac:dyDescent="0.35">
      <c r="A23">
        <v>474867</v>
      </c>
      <c r="B23" t="s">
        <v>345</v>
      </c>
      <c r="C23" s="2">
        <v>43923.924999999996</v>
      </c>
      <c r="D23">
        <v>1.0416666666666666E-2</v>
      </c>
    </row>
    <row r="24" spans="1:4" x14ac:dyDescent="0.35">
      <c r="A24">
        <v>474868</v>
      </c>
      <c r="B24" t="s">
        <v>217</v>
      </c>
      <c r="C24" s="2">
        <v>43923.93541666666</v>
      </c>
      <c r="D24">
        <v>3.125E-2</v>
      </c>
    </row>
    <row r="25" spans="1:4" x14ac:dyDescent="0.35">
      <c r="A25">
        <v>474868</v>
      </c>
      <c r="B25" t="s">
        <v>217</v>
      </c>
      <c r="C25" s="2">
        <v>43923.96666666666</v>
      </c>
      <c r="D25">
        <v>3.125E-2</v>
      </c>
    </row>
    <row r="26" spans="1:4" x14ac:dyDescent="0.35">
      <c r="A26">
        <v>474868</v>
      </c>
      <c r="B26" t="s">
        <v>217</v>
      </c>
      <c r="C26" s="2">
        <v>43923.99791666666</v>
      </c>
      <c r="D26">
        <v>3.125E-2</v>
      </c>
    </row>
    <row r="27" spans="1:4" x14ac:dyDescent="0.35">
      <c r="A27">
        <v>475265</v>
      </c>
      <c r="B27" t="s">
        <v>228</v>
      </c>
      <c r="C27" s="2">
        <v>43924.02916666666</v>
      </c>
      <c r="D27">
        <v>6.9444444444444441E-3</v>
      </c>
    </row>
    <row r="28" spans="1:4" x14ac:dyDescent="0.35">
      <c r="A28">
        <v>475271</v>
      </c>
      <c r="B28" t="s">
        <v>348</v>
      </c>
      <c r="C28" s="2">
        <v>43924.036111111105</v>
      </c>
      <c r="D28">
        <v>1.7361111111111112E-2</v>
      </c>
    </row>
    <row r="29" spans="1:4" x14ac:dyDescent="0.35">
      <c r="A29">
        <v>475674</v>
      </c>
      <c r="B29" t="s">
        <v>171</v>
      </c>
      <c r="C29" s="2">
        <v>43924.053472222215</v>
      </c>
      <c r="D29">
        <v>1.7361111111111112E-2</v>
      </c>
    </row>
    <row r="30" spans="1:4" x14ac:dyDescent="0.35">
      <c r="A30">
        <v>476124</v>
      </c>
      <c r="B30" t="s">
        <v>171</v>
      </c>
      <c r="C30" s="2">
        <v>43924.070833333324</v>
      </c>
      <c r="D30">
        <v>1.2500000011641532E-2</v>
      </c>
    </row>
    <row r="31" spans="1:4" x14ac:dyDescent="0.35">
      <c r="A31" t="s">
        <v>198</v>
      </c>
      <c r="B31" t="s">
        <v>198</v>
      </c>
      <c r="C31" s="2">
        <v>43924.083333333336</v>
      </c>
      <c r="D31">
        <v>2.0833333333333356E-2</v>
      </c>
    </row>
    <row r="32" spans="1:4" x14ac:dyDescent="0.35">
      <c r="A32">
        <v>476124</v>
      </c>
      <c r="B32" t="s">
        <v>171</v>
      </c>
      <c r="C32" s="2">
        <v>43924.104166666672</v>
      </c>
      <c r="D32">
        <v>4.8611111111111112E-3</v>
      </c>
    </row>
    <row r="33" spans="1:4" x14ac:dyDescent="0.35">
      <c r="A33">
        <v>468819</v>
      </c>
      <c r="B33" t="s">
        <v>174</v>
      </c>
      <c r="C33" s="2">
        <v>43924.109027777784</v>
      </c>
      <c r="D33">
        <v>5.2083333333333336E-2</v>
      </c>
    </row>
    <row r="34" spans="1:4" x14ac:dyDescent="0.35">
      <c r="A34">
        <v>474619</v>
      </c>
      <c r="B34" t="s">
        <v>171</v>
      </c>
      <c r="C34" s="2">
        <v>43924.16111111112</v>
      </c>
      <c r="D34">
        <v>1.7361111111111112E-2</v>
      </c>
    </row>
    <row r="35" spans="1:4" x14ac:dyDescent="0.35">
      <c r="A35">
        <v>474867</v>
      </c>
      <c r="B35" t="s">
        <v>345</v>
      </c>
      <c r="C35" s="2">
        <v>43924.178472222229</v>
      </c>
      <c r="D35">
        <v>1.0416666666666666E-2</v>
      </c>
    </row>
    <row r="36" spans="1:4" x14ac:dyDescent="0.35">
      <c r="A36">
        <v>474868</v>
      </c>
      <c r="B36" t="s">
        <v>217</v>
      </c>
      <c r="C36" s="2">
        <v>43924.188888888893</v>
      </c>
      <c r="D36">
        <v>3.125E-2</v>
      </c>
    </row>
    <row r="37" spans="1:4" x14ac:dyDescent="0.35">
      <c r="A37">
        <v>475464</v>
      </c>
      <c r="B37" t="s">
        <v>354</v>
      </c>
      <c r="C37" s="2">
        <v>43924.220138888893</v>
      </c>
      <c r="D37">
        <v>2.0833333333333332E-2</v>
      </c>
    </row>
    <row r="38" spans="1:4" x14ac:dyDescent="0.35">
      <c r="A38">
        <v>475470</v>
      </c>
      <c r="B38" t="s">
        <v>304</v>
      </c>
      <c r="C38" s="2">
        <v>43924.240972222229</v>
      </c>
      <c r="D38">
        <v>2.4305555555555556E-2</v>
      </c>
    </row>
    <row r="39" spans="1:4" x14ac:dyDescent="0.35">
      <c r="A39">
        <v>475521</v>
      </c>
      <c r="B39" t="s">
        <v>178</v>
      </c>
      <c r="C39" s="2">
        <v>43924.265277777784</v>
      </c>
      <c r="D39">
        <v>3.4722222222222224E-2</v>
      </c>
    </row>
    <row r="40" spans="1:4" x14ac:dyDescent="0.35">
      <c r="A40">
        <v>469080</v>
      </c>
      <c r="B40" t="s">
        <v>260</v>
      </c>
      <c r="C40" s="2">
        <v>43924.3</v>
      </c>
      <c r="D40">
        <v>0.11666666666133096</v>
      </c>
    </row>
    <row r="41" spans="1:4" x14ac:dyDescent="0.35">
      <c r="A41" t="s">
        <v>198</v>
      </c>
      <c r="B41" t="s">
        <v>198</v>
      </c>
      <c r="C41" s="2">
        <v>43924.416666666664</v>
      </c>
      <c r="D41">
        <v>2.0833333333333356E-2</v>
      </c>
    </row>
    <row r="42" spans="1:4" x14ac:dyDescent="0.35">
      <c r="A42">
        <v>469080</v>
      </c>
      <c r="B42" t="s">
        <v>260</v>
      </c>
      <c r="C42" s="2">
        <v>43924.4375</v>
      </c>
      <c r="D42">
        <v>8.3333333333333332E-3</v>
      </c>
    </row>
    <row r="43" spans="1:4" x14ac:dyDescent="0.35">
      <c r="A43">
        <v>469081</v>
      </c>
      <c r="B43" t="s">
        <v>261</v>
      </c>
      <c r="C43" s="2">
        <v>43924.445833333331</v>
      </c>
      <c r="D43">
        <v>3.4722222222222224E-2</v>
      </c>
    </row>
    <row r="44" spans="1:4" x14ac:dyDescent="0.35">
      <c r="A44">
        <v>472038</v>
      </c>
      <c r="B44" t="s">
        <v>171</v>
      </c>
      <c r="C44" s="2">
        <v>43924.48055555555</v>
      </c>
      <c r="D44">
        <v>1.7361111111111112E-2</v>
      </c>
    </row>
    <row r="45" spans="1:4" x14ac:dyDescent="0.35">
      <c r="A45">
        <v>475614</v>
      </c>
      <c r="B45" t="s">
        <v>350</v>
      </c>
      <c r="C45" s="2">
        <v>43924.49791666666</v>
      </c>
      <c r="D45">
        <v>1.7361111111111112E-2</v>
      </c>
    </row>
    <row r="46" spans="1:4" x14ac:dyDescent="0.35">
      <c r="A46">
        <v>475615</v>
      </c>
      <c r="B46" t="s">
        <v>351</v>
      </c>
      <c r="C46" s="2">
        <v>43924.515277777769</v>
      </c>
      <c r="D46">
        <v>1.7361111111111112E-2</v>
      </c>
    </row>
    <row r="47" spans="1:4" x14ac:dyDescent="0.35">
      <c r="A47">
        <v>475697</v>
      </c>
      <c r="B47" t="s">
        <v>171</v>
      </c>
      <c r="C47" s="2">
        <v>43924.532638888879</v>
      </c>
      <c r="D47">
        <v>1.7361111111111112E-2</v>
      </c>
    </row>
    <row r="48" spans="1:4" x14ac:dyDescent="0.35">
      <c r="A48">
        <v>476160</v>
      </c>
      <c r="B48" t="s">
        <v>305</v>
      </c>
      <c r="C48" s="2">
        <v>43924.549999999988</v>
      </c>
      <c r="D48">
        <v>1.3888888888888888E-2</v>
      </c>
    </row>
    <row r="49" spans="1:4" x14ac:dyDescent="0.35">
      <c r="A49">
        <v>472186</v>
      </c>
      <c r="B49" t="s">
        <v>174</v>
      </c>
      <c r="C49" s="2">
        <v>43924.563888888879</v>
      </c>
      <c r="D49">
        <v>1.7361111111111112E-2</v>
      </c>
    </row>
    <row r="50" spans="1:4" x14ac:dyDescent="0.35">
      <c r="A50">
        <v>473693</v>
      </c>
      <c r="B50" t="s">
        <v>309</v>
      </c>
      <c r="C50" s="2">
        <v>43924.581249999988</v>
      </c>
      <c r="D50">
        <v>0.125</v>
      </c>
    </row>
    <row r="51" spans="1:4" x14ac:dyDescent="0.35">
      <c r="A51">
        <v>473695</v>
      </c>
      <c r="B51" t="s">
        <v>250</v>
      </c>
      <c r="C51" s="2">
        <v>43924.706249999988</v>
      </c>
      <c r="D51">
        <v>4.3750000011641532E-2</v>
      </c>
    </row>
    <row r="52" spans="1:4" x14ac:dyDescent="0.35">
      <c r="A52" t="s">
        <v>198</v>
      </c>
      <c r="B52" t="s">
        <v>198</v>
      </c>
      <c r="C52" s="2">
        <v>43924.75</v>
      </c>
      <c r="D52">
        <v>2.0833333333333356E-2</v>
      </c>
    </row>
    <row r="53" spans="1:4" x14ac:dyDescent="0.35">
      <c r="A53">
        <v>473695</v>
      </c>
      <c r="B53" t="s">
        <v>250</v>
      </c>
      <c r="C53" s="2">
        <v>43924.770833333336</v>
      </c>
      <c r="D53">
        <v>0.3125</v>
      </c>
    </row>
    <row r="54" spans="1:4" x14ac:dyDescent="0.35">
      <c r="A54" t="s">
        <v>198</v>
      </c>
      <c r="B54" t="s">
        <v>198</v>
      </c>
      <c r="C54" s="2">
        <v>43925.083333333336</v>
      </c>
      <c r="D54">
        <v>2.0833333333333356E-2</v>
      </c>
    </row>
    <row r="55" spans="1:4" x14ac:dyDescent="0.35">
      <c r="A55">
        <v>473695</v>
      </c>
      <c r="B55" t="s">
        <v>250</v>
      </c>
      <c r="C55" s="2">
        <v>43925.104166666672</v>
      </c>
      <c r="D55">
        <v>0.31249999999272404</v>
      </c>
    </row>
    <row r="56" spans="1:4" x14ac:dyDescent="0.35">
      <c r="A56" t="s">
        <v>198</v>
      </c>
      <c r="B56" t="s">
        <v>198</v>
      </c>
      <c r="C56" s="2">
        <v>43925.416666666664</v>
      </c>
      <c r="D56">
        <v>2.0833333333333356E-2</v>
      </c>
    </row>
    <row r="57" spans="1:4" x14ac:dyDescent="0.35">
      <c r="A57">
        <v>473695</v>
      </c>
      <c r="B57" t="s">
        <v>250</v>
      </c>
      <c r="C57" s="2">
        <v>43925.4375</v>
      </c>
      <c r="D57">
        <v>0.3125</v>
      </c>
    </row>
    <row r="58" spans="1:4" x14ac:dyDescent="0.35">
      <c r="A58" t="s">
        <v>198</v>
      </c>
      <c r="B58" t="s">
        <v>198</v>
      </c>
      <c r="C58" s="2">
        <v>43925.75</v>
      </c>
      <c r="D58">
        <v>2.0833333333333356E-2</v>
      </c>
    </row>
    <row r="59" spans="1:4" x14ac:dyDescent="0.35">
      <c r="A59">
        <v>473695</v>
      </c>
      <c r="B59" t="s">
        <v>250</v>
      </c>
      <c r="C59" s="2">
        <v>43925.770833333336</v>
      </c>
      <c r="D59">
        <v>4.9999999999999996E-2</v>
      </c>
    </row>
    <row r="60" spans="1:4" x14ac:dyDescent="0.35">
      <c r="A60">
        <v>476629</v>
      </c>
      <c r="B60" t="s">
        <v>341</v>
      </c>
      <c r="C60" s="2">
        <v>43925.820833333339</v>
      </c>
      <c r="D60">
        <v>6.9444444444444448E-2</v>
      </c>
    </row>
    <row r="61" spans="1:4" x14ac:dyDescent="0.35">
      <c r="A61">
        <v>476646</v>
      </c>
      <c r="B61" t="s">
        <v>339</v>
      </c>
      <c r="C61" s="2">
        <v>43925.890277777784</v>
      </c>
      <c r="D61">
        <v>4.1666666666666664E-2</v>
      </c>
    </row>
    <row r="62" spans="1:4" x14ac:dyDescent="0.35">
      <c r="A62">
        <v>472186</v>
      </c>
      <c r="B62" t="s">
        <v>174</v>
      </c>
      <c r="C62" s="2">
        <v>43925.931944444448</v>
      </c>
      <c r="D62">
        <v>3.4722222222222224E-2</v>
      </c>
    </row>
    <row r="63" spans="1:4" x14ac:dyDescent="0.35">
      <c r="A63">
        <v>473682</v>
      </c>
      <c r="B63" t="s">
        <v>258</v>
      </c>
      <c r="C63" s="2">
        <v>43925.966666666667</v>
      </c>
      <c r="D63">
        <v>0.11666666666860692</v>
      </c>
    </row>
    <row r="64" spans="1:4" x14ac:dyDescent="0.35">
      <c r="A64" t="s">
        <v>198</v>
      </c>
      <c r="B64" t="s">
        <v>198</v>
      </c>
      <c r="C64" s="2">
        <v>43926.083333333336</v>
      </c>
      <c r="D64">
        <v>2.0833333333333356E-2</v>
      </c>
    </row>
    <row r="65" spans="1:4" x14ac:dyDescent="0.35">
      <c r="A65">
        <v>473682</v>
      </c>
      <c r="B65" t="s">
        <v>258</v>
      </c>
      <c r="C65" s="2">
        <v>43926.104166666672</v>
      </c>
      <c r="D65">
        <v>7.0833333333333331E-2</v>
      </c>
    </row>
    <row r="66" spans="1:4" x14ac:dyDescent="0.35">
      <c r="A66">
        <v>473683</v>
      </c>
      <c r="B66" t="s">
        <v>259</v>
      </c>
      <c r="C66" s="2">
        <v>43926.175000000003</v>
      </c>
      <c r="D66">
        <v>0.11666666666133096</v>
      </c>
    </row>
    <row r="67" spans="1:4" x14ac:dyDescent="0.35">
      <c r="A67" t="s">
        <v>321</v>
      </c>
      <c r="B67" t="s">
        <v>321</v>
      </c>
      <c r="C67" s="2">
        <v>43926.291666666664</v>
      </c>
      <c r="D67">
        <v>0.33333333333333331</v>
      </c>
    </row>
    <row r="68" spans="1:4" x14ac:dyDescent="0.35">
      <c r="A68" t="s">
        <v>321</v>
      </c>
      <c r="B68" t="s">
        <v>321</v>
      </c>
      <c r="C68" s="2">
        <v>43926.625</v>
      </c>
      <c r="D68">
        <v>0.33333333333333331</v>
      </c>
    </row>
    <row r="69" spans="1:4" x14ac:dyDescent="0.35">
      <c r="A69" t="s">
        <v>321</v>
      </c>
      <c r="B69" t="s">
        <v>321</v>
      </c>
      <c r="C69" s="2">
        <v>43926.958333333336</v>
      </c>
      <c r="D69">
        <v>0.33333333333333331</v>
      </c>
    </row>
    <row r="70" spans="1:4" x14ac:dyDescent="0.35">
      <c r="A70">
        <v>473683</v>
      </c>
      <c r="B70" t="s">
        <v>259</v>
      </c>
      <c r="C70" s="2">
        <v>43927.291666666672</v>
      </c>
      <c r="D70">
        <v>7.0833333333333331E-2</v>
      </c>
    </row>
    <row r="71" spans="1:4" x14ac:dyDescent="0.35">
      <c r="A71">
        <v>473684</v>
      </c>
      <c r="B71" t="s">
        <v>240</v>
      </c>
      <c r="C71" s="2">
        <v>43927.362500000003</v>
      </c>
      <c r="D71">
        <v>5.4166666661330964E-2</v>
      </c>
    </row>
    <row r="72" spans="1:4" x14ac:dyDescent="0.35">
      <c r="A72" t="s">
        <v>198</v>
      </c>
      <c r="B72" t="s">
        <v>198</v>
      </c>
      <c r="C72" s="2">
        <v>43927.416666666664</v>
      </c>
      <c r="D72">
        <v>2.0833333333333356E-2</v>
      </c>
    </row>
    <row r="73" spans="1:4" x14ac:dyDescent="0.35">
      <c r="A73">
        <v>473684</v>
      </c>
      <c r="B73" t="s">
        <v>240</v>
      </c>
      <c r="C73" s="2">
        <v>43927.4375</v>
      </c>
      <c r="D73">
        <v>0.3125</v>
      </c>
    </row>
    <row r="74" spans="1:4" x14ac:dyDescent="0.35">
      <c r="A74" t="s">
        <v>198</v>
      </c>
      <c r="B74" t="s">
        <v>198</v>
      </c>
      <c r="C74" s="2">
        <v>43927.75</v>
      </c>
      <c r="D74">
        <v>2.0833333333333356E-2</v>
      </c>
    </row>
    <row r="75" spans="1:4" x14ac:dyDescent="0.35">
      <c r="A75">
        <v>473684</v>
      </c>
      <c r="B75" t="s">
        <v>240</v>
      </c>
      <c r="C75" s="2">
        <v>43927.770833333336</v>
      </c>
      <c r="D75">
        <v>0.25833333333333336</v>
      </c>
    </row>
    <row r="76" spans="1:4" x14ac:dyDescent="0.35">
      <c r="A76">
        <v>473685</v>
      </c>
      <c r="B76" t="s">
        <v>241</v>
      </c>
      <c r="C76" s="2">
        <v>43928.029166666667</v>
      </c>
      <c r="D76">
        <v>5.4166666668606922E-2</v>
      </c>
    </row>
    <row r="77" spans="1:4" x14ac:dyDescent="0.35">
      <c r="A77" t="s">
        <v>198</v>
      </c>
      <c r="B77" t="s">
        <v>198</v>
      </c>
      <c r="C77" s="2">
        <v>43928.083333333336</v>
      </c>
      <c r="D77">
        <v>2.0833333333333356E-2</v>
      </c>
    </row>
    <row r="78" spans="1:4" x14ac:dyDescent="0.35">
      <c r="A78">
        <v>473685</v>
      </c>
      <c r="B78" t="s">
        <v>241</v>
      </c>
      <c r="C78" s="2">
        <v>43928.104166666672</v>
      </c>
      <c r="D78">
        <v>2.9166666666666664E-2</v>
      </c>
    </row>
    <row r="79" spans="1:4" x14ac:dyDescent="0.35">
      <c r="A79">
        <v>475548</v>
      </c>
      <c r="B79" t="s">
        <v>265</v>
      </c>
      <c r="C79" s="2">
        <v>43928.133333333339</v>
      </c>
      <c r="D79">
        <v>0.18055555555555555</v>
      </c>
    </row>
    <row r="80" spans="1:4" x14ac:dyDescent="0.35">
      <c r="A80">
        <v>475564</v>
      </c>
      <c r="B80" t="s">
        <v>265</v>
      </c>
      <c r="C80" s="2">
        <v>43928.313888888893</v>
      </c>
      <c r="D80">
        <v>9.0277777777777776E-2</v>
      </c>
    </row>
    <row r="81" spans="1:4" x14ac:dyDescent="0.35">
      <c r="A81">
        <v>476027</v>
      </c>
      <c r="B81" t="s">
        <v>244</v>
      </c>
      <c r="C81" s="2">
        <v>43928.404166666674</v>
      </c>
      <c r="D81">
        <v>1.2499999989813659E-2</v>
      </c>
    </row>
    <row r="82" spans="1:4" x14ac:dyDescent="0.35">
      <c r="A82" t="s">
        <v>198</v>
      </c>
      <c r="B82" t="s">
        <v>198</v>
      </c>
      <c r="C82" s="2">
        <v>43928.416666666664</v>
      </c>
      <c r="D82">
        <v>2.0833333333333356E-2</v>
      </c>
    </row>
    <row r="83" spans="1:4" x14ac:dyDescent="0.35">
      <c r="A83">
        <v>476027</v>
      </c>
      <c r="B83" t="s">
        <v>244</v>
      </c>
      <c r="C83" s="2">
        <v>43928.4375</v>
      </c>
      <c r="D83">
        <v>0.12638888888888888</v>
      </c>
    </row>
    <row r="84" spans="1:4" x14ac:dyDescent="0.35">
      <c r="A84">
        <v>476028</v>
      </c>
      <c r="B84" t="s">
        <v>245</v>
      </c>
      <c r="C84" s="2">
        <v>43928.563888888886</v>
      </c>
      <c r="D84">
        <v>0.1111111111111111</v>
      </c>
    </row>
    <row r="85" spans="1:4" x14ac:dyDescent="0.35">
      <c r="A85">
        <v>471521</v>
      </c>
      <c r="B85" t="s">
        <v>225</v>
      </c>
      <c r="C85" s="2">
        <v>43928.674999999996</v>
      </c>
      <c r="D85">
        <v>7.5000000004365575E-2</v>
      </c>
    </row>
    <row r="86" spans="1:4" x14ac:dyDescent="0.35">
      <c r="A86" t="s">
        <v>198</v>
      </c>
      <c r="B86" t="s">
        <v>198</v>
      </c>
      <c r="C86" s="2">
        <v>43928.75</v>
      </c>
      <c r="D86">
        <v>2.0833333333333356E-2</v>
      </c>
    </row>
    <row r="87" spans="1:4" x14ac:dyDescent="0.35">
      <c r="A87">
        <v>471521</v>
      </c>
      <c r="B87" t="s">
        <v>225</v>
      </c>
      <c r="C87" s="2">
        <v>43928.770833333336</v>
      </c>
      <c r="D87">
        <v>1.1805555555555555E-2</v>
      </c>
    </row>
    <row r="88" spans="1:4" x14ac:dyDescent="0.35">
      <c r="A88">
        <v>473534</v>
      </c>
      <c r="B88" t="s">
        <v>254</v>
      </c>
      <c r="C88" s="2">
        <v>43928.782638888893</v>
      </c>
      <c r="D88">
        <v>3.8194444444444448E-2</v>
      </c>
    </row>
    <row r="89" spans="1:4" x14ac:dyDescent="0.35">
      <c r="A89">
        <v>473535</v>
      </c>
      <c r="B89" t="s">
        <v>255</v>
      </c>
      <c r="C89" s="2">
        <v>43928.820833333339</v>
      </c>
      <c r="D89">
        <v>3.8194444444444448E-2</v>
      </c>
    </row>
    <row r="90" spans="1:4" x14ac:dyDescent="0.35">
      <c r="A90">
        <v>473539</v>
      </c>
      <c r="B90" t="s">
        <v>316</v>
      </c>
      <c r="C90" s="2">
        <v>43928.859027777784</v>
      </c>
      <c r="D90">
        <v>0.125</v>
      </c>
    </row>
    <row r="91" spans="1:4" x14ac:dyDescent="0.35">
      <c r="A91">
        <v>473665</v>
      </c>
      <c r="B91" t="s">
        <v>347</v>
      </c>
      <c r="C91" s="2">
        <v>43928.984027777784</v>
      </c>
      <c r="D91">
        <v>1.3888888888888888E-2</v>
      </c>
    </row>
    <row r="92" spans="1:4" x14ac:dyDescent="0.35">
      <c r="A92">
        <v>473670</v>
      </c>
      <c r="B92" t="s">
        <v>252</v>
      </c>
      <c r="C92" s="2">
        <v>43928.997916666674</v>
      </c>
      <c r="D92">
        <v>6.9444444444444441E-3</v>
      </c>
    </row>
    <row r="93" spans="1:4" x14ac:dyDescent="0.35">
      <c r="A93">
        <v>473677</v>
      </c>
      <c r="B93" t="s">
        <v>226</v>
      </c>
      <c r="C93" s="2">
        <v>43929.00486111112</v>
      </c>
      <c r="D93">
        <v>1.0416666666666666E-2</v>
      </c>
    </row>
    <row r="94" spans="1:4" x14ac:dyDescent="0.35">
      <c r="A94">
        <v>473678</v>
      </c>
      <c r="B94" t="s">
        <v>227</v>
      </c>
      <c r="C94" s="2">
        <v>43929.015277777784</v>
      </c>
      <c r="D94">
        <v>6.8055555551836733E-2</v>
      </c>
    </row>
    <row r="95" spans="1:4" x14ac:dyDescent="0.35">
      <c r="A95" t="s">
        <v>198</v>
      </c>
      <c r="B95" t="s">
        <v>198</v>
      </c>
      <c r="C95" s="2">
        <v>43929.083333333336</v>
      </c>
      <c r="D95">
        <v>2.0833333333333356E-2</v>
      </c>
    </row>
    <row r="96" spans="1:4" x14ac:dyDescent="0.35">
      <c r="A96">
        <v>473678</v>
      </c>
      <c r="B96" t="s">
        <v>227</v>
      </c>
      <c r="C96" s="2">
        <v>43929.104166666672</v>
      </c>
      <c r="D96">
        <v>6.5277777777777782E-2</v>
      </c>
    </row>
    <row r="97" spans="1:4" x14ac:dyDescent="0.35">
      <c r="A97">
        <v>474052</v>
      </c>
      <c r="B97" t="s">
        <v>349</v>
      </c>
      <c r="C97" s="2">
        <v>43929.169444444451</v>
      </c>
      <c r="D97">
        <v>0.125</v>
      </c>
    </row>
    <row r="98" spans="1:4" x14ac:dyDescent="0.35">
      <c r="A98">
        <v>476001</v>
      </c>
      <c r="B98" t="s">
        <v>344</v>
      </c>
      <c r="C98" s="2">
        <v>43929.294444444451</v>
      </c>
      <c r="D98">
        <v>6.25E-2</v>
      </c>
    </row>
    <row r="99" spans="1:4" x14ac:dyDescent="0.35">
      <c r="A99">
        <v>476932</v>
      </c>
      <c r="B99" t="s">
        <v>340</v>
      </c>
      <c r="C99" s="2">
        <v>43929.356944444451</v>
      </c>
      <c r="D99">
        <v>5.9722222213167697E-2</v>
      </c>
    </row>
    <row r="100" spans="1:4" x14ac:dyDescent="0.35">
      <c r="A100" t="s">
        <v>198</v>
      </c>
      <c r="B100" t="s">
        <v>198</v>
      </c>
      <c r="C100" s="2">
        <v>43929.416666666664</v>
      </c>
      <c r="D100">
        <v>2.0833333333333356E-2</v>
      </c>
    </row>
    <row r="101" spans="1:4" x14ac:dyDescent="0.35">
      <c r="A101">
        <v>476932</v>
      </c>
      <c r="B101" t="s">
        <v>340</v>
      </c>
      <c r="C101" s="2">
        <v>43929.4375</v>
      </c>
      <c r="D101">
        <v>0.19027777777777777</v>
      </c>
    </row>
    <row r="102" spans="1:4" x14ac:dyDescent="0.35">
      <c r="A102">
        <v>473579</v>
      </c>
      <c r="B102" t="s">
        <v>230</v>
      </c>
      <c r="C102" s="2">
        <v>43929.62777777778</v>
      </c>
      <c r="D102">
        <v>0.10416666666666667</v>
      </c>
    </row>
    <row r="103" spans="1:4" x14ac:dyDescent="0.35">
      <c r="A103">
        <v>473615</v>
      </c>
      <c r="B103" t="s">
        <v>249</v>
      </c>
      <c r="C103" s="2">
        <v>43929.731944444444</v>
      </c>
      <c r="D103">
        <v>1.8055555556202307E-2</v>
      </c>
    </row>
    <row r="104" spans="1:4" x14ac:dyDescent="0.35">
      <c r="A104" t="s">
        <v>198</v>
      </c>
      <c r="B104" t="s">
        <v>198</v>
      </c>
      <c r="C104" s="2">
        <v>43929.75</v>
      </c>
      <c r="D104">
        <v>2.0833333333333356E-2</v>
      </c>
    </row>
    <row r="105" spans="1:4" x14ac:dyDescent="0.35">
      <c r="A105">
        <v>473615</v>
      </c>
      <c r="B105" t="s">
        <v>249</v>
      </c>
      <c r="C105" s="2">
        <v>43929.770833333336</v>
      </c>
      <c r="D105">
        <v>2.013888888888889E-2</v>
      </c>
    </row>
    <row r="106" spans="1:4" x14ac:dyDescent="0.35">
      <c r="A106">
        <v>473616</v>
      </c>
      <c r="B106" t="s">
        <v>231</v>
      </c>
      <c r="C106" s="2">
        <v>43929.790972222225</v>
      </c>
      <c r="D106">
        <v>3.8194444444444448E-2</v>
      </c>
    </row>
    <row r="107" spans="1:4" x14ac:dyDescent="0.35">
      <c r="A107">
        <v>473625</v>
      </c>
      <c r="B107" t="s">
        <v>232</v>
      </c>
      <c r="C107" s="2">
        <v>43929.82916666667</v>
      </c>
      <c r="D107">
        <v>0.14583333333333334</v>
      </c>
    </row>
    <row r="108" spans="1:4" x14ac:dyDescent="0.35">
      <c r="A108">
        <v>474121</v>
      </c>
      <c r="B108" t="s">
        <v>307</v>
      </c>
      <c r="C108" s="2">
        <v>43929.975000000006</v>
      </c>
      <c r="D108">
        <v>5.2083333333333336E-2</v>
      </c>
    </row>
    <row r="109" spans="1:4" x14ac:dyDescent="0.35">
      <c r="A109">
        <v>475257</v>
      </c>
      <c r="B109" t="s">
        <v>228</v>
      </c>
      <c r="C109" s="2">
        <v>43930.027083333342</v>
      </c>
      <c r="D109">
        <v>6.9444444444444441E-3</v>
      </c>
    </row>
    <row r="110" spans="1:4" x14ac:dyDescent="0.35">
      <c r="A110">
        <v>475992</v>
      </c>
      <c r="B110" t="s">
        <v>344</v>
      </c>
      <c r="C110" s="2">
        <v>43930.034027777787</v>
      </c>
      <c r="D110">
        <v>4.930555554892635E-2</v>
      </c>
    </row>
    <row r="111" spans="1:4" x14ac:dyDescent="0.35">
      <c r="A111" t="s">
        <v>198</v>
      </c>
      <c r="B111" t="s">
        <v>198</v>
      </c>
      <c r="C111" s="2">
        <v>43930.083333333336</v>
      </c>
      <c r="D111">
        <v>2.0833333333333356E-2</v>
      </c>
    </row>
    <row r="112" spans="1:4" x14ac:dyDescent="0.35">
      <c r="A112">
        <v>475992</v>
      </c>
      <c r="B112" t="s">
        <v>344</v>
      </c>
      <c r="C112" s="2">
        <v>43930.104166666672</v>
      </c>
      <c r="D112">
        <v>1.3194444444444444E-2</v>
      </c>
    </row>
    <row r="113" spans="1:4" x14ac:dyDescent="0.35">
      <c r="A113">
        <v>472369</v>
      </c>
      <c r="B113" t="s">
        <v>320</v>
      </c>
      <c r="C113" s="2">
        <v>43930.117361111115</v>
      </c>
      <c r="D113">
        <v>0.1875</v>
      </c>
    </row>
    <row r="114" spans="1:4" x14ac:dyDescent="0.35">
      <c r="A114">
        <v>473997</v>
      </c>
      <c r="B114" t="s">
        <v>352</v>
      </c>
      <c r="C114" s="2">
        <v>43930.304861111115</v>
      </c>
      <c r="D114">
        <v>3.125E-2</v>
      </c>
    </row>
    <row r="115" spans="1:4" x14ac:dyDescent="0.35">
      <c r="A115">
        <v>474020</v>
      </c>
      <c r="B115" t="s">
        <v>353</v>
      </c>
      <c r="C115" s="2">
        <v>43930.336111111115</v>
      </c>
      <c r="D115">
        <v>2.0833333333333332E-2</v>
      </c>
    </row>
    <row r="116" spans="1:4" x14ac:dyDescent="0.35">
      <c r="A116">
        <v>475385</v>
      </c>
      <c r="B116" t="s">
        <v>219</v>
      </c>
      <c r="C116" s="2">
        <v>43930.356944444451</v>
      </c>
      <c r="D116">
        <v>1.3888888888888888E-2</v>
      </c>
    </row>
    <row r="117" spans="1:4" x14ac:dyDescent="0.35">
      <c r="A117">
        <v>475386</v>
      </c>
      <c r="B117" t="s">
        <v>314</v>
      </c>
      <c r="C117" s="2">
        <v>43930.370833333342</v>
      </c>
      <c r="D117">
        <v>1.3888888888888888E-2</v>
      </c>
    </row>
    <row r="118" spans="1:4" x14ac:dyDescent="0.35">
      <c r="A118">
        <v>475387</v>
      </c>
      <c r="B118" t="s">
        <v>220</v>
      </c>
      <c r="C118" s="2">
        <v>43930.384722222232</v>
      </c>
      <c r="D118">
        <v>4.8611111111111112E-3</v>
      </c>
    </row>
    <row r="119" spans="1:4" x14ac:dyDescent="0.35">
      <c r="A119">
        <v>475402</v>
      </c>
      <c r="B119" t="s">
        <v>236</v>
      </c>
      <c r="C119" s="2">
        <v>43930.389583333344</v>
      </c>
      <c r="D119">
        <v>5.5555555555555558E-3</v>
      </c>
    </row>
    <row r="120" spans="1:4" x14ac:dyDescent="0.35">
      <c r="A120">
        <v>475403</v>
      </c>
      <c r="B120" t="s">
        <v>221</v>
      </c>
      <c r="C120" s="2">
        <v>43930.395138888904</v>
      </c>
      <c r="D120">
        <v>5.5555555555555558E-3</v>
      </c>
    </row>
    <row r="121" spans="1:4" x14ac:dyDescent="0.35">
      <c r="A121">
        <v>475404</v>
      </c>
      <c r="B121" t="s">
        <v>218</v>
      </c>
      <c r="C121" s="2">
        <v>43930.400694444463</v>
      </c>
      <c r="D121">
        <v>5.5555555555555558E-3</v>
      </c>
    </row>
    <row r="122" spans="1:4" x14ac:dyDescent="0.35">
      <c r="A122">
        <v>475475</v>
      </c>
      <c r="B122" t="s">
        <v>348</v>
      </c>
      <c r="C122" s="2">
        <v>43930.406250000022</v>
      </c>
      <c r="D122">
        <v>1.0416666642413475E-2</v>
      </c>
    </row>
    <row r="123" spans="1:4" x14ac:dyDescent="0.35">
      <c r="A123" t="s">
        <v>198</v>
      </c>
      <c r="B123" t="s">
        <v>198</v>
      </c>
      <c r="C123" s="2">
        <v>43930.416666666664</v>
      </c>
      <c r="D123">
        <v>2.0833333333333356E-2</v>
      </c>
    </row>
    <row r="124" spans="1:4" x14ac:dyDescent="0.35">
      <c r="A124">
        <v>475475</v>
      </c>
      <c r="B124" t="s">
        <v>348</v>
      </c>
      <c r="C124" s="2">
        <v>43930.4375</v>
      </c>
      <c r="D124">
        <v>6.9444444444444441E-3</v>
      </c>
    </row>
    <row r="125" spans="1:4" x14ac:dyDescent="0.35">
      <c r="A125">
        <v>475479</v>
      </c>
      <c r="B125" t="s">
        <v>346</v>
      </c>
      <c r="C125" s="2">
        <v>43930.444444444445</v>
      </c>
      <c r="D125">
        <v>3.125E-2</v>
      </c>
    </row>
    <row r="126" spans="1:4" x14ac:dyDescent="0.35">
      <c r="A126">
        <v>476666</v>
      </c>
      <c r="B126" t="s">
        <v>265</v>
      </c>
      <c r="C126" s="2">
        <v>43930.475694444445</v>
      </c>
      <c r="D126">
        <v>9.0277777777777776E-2</v>
      </c>
    </row>
    <row r="127" spans="1:4" x14ac:dyDescent="0.35">
      <c r="A127">
        <v>476684</v>
      </c>
      <c r="B127" t="s">
        <v>339</v>
      </c>
      <c r="C127" s="2">
        <v>43930.565972222226</v>
      </c>
      <c r="D127">
        <v>4.1666666666666664E-2</v>
      </c>
    </row>
    <row r="128" spans="1:4" x14ac:dyDescent="0.35">
      <c r="A128">
        <v>477762</v>
      </c>
      <c r="B128" t="s">
        <v>371</v>
      </c>
      <c r="C128" s="2">
        <v>43930.607638888891</v>
      </c>
      <c r="D128">
        <v>1.3888888888888888E-2</v>
      </c>
    </row>
    <row r="129" spans="1:4" x14ac:dyDescent="0.35">
      <c r="A129">
        <v>477835</v>
      </c>
      <c r="B129" t="s">
        <v>306</v>
      </c>
      <c r="C129" s="2">
        <v>43930.621527777781</v>
      </c>
      <c r="D129">
        <v>6.9444444444444448E-2</v>
      </c>
    </row>
    <row r="130" spans="1:4" x14ac:dyDescent="0.35">
      <c r="A130">
        <v>477836</v>
      </c>
      <c r="B130" t="s">
        <v>222</v>
      </c>
      <c r="C130" s="2">
        <v>43930.690972222226</v>
      </c>
      <c r="D130">
        <v>4.1666666666666664E-2</v>
      </c>
    </row>
    <row r="131" spans="1:4" x14ac:dyDescent="0.35">
      <c r="A131">
        <v>477837</v>
      </c>
      <c r="B131" t="s">
        <v>307</v>
      </c>
      <c r="C131" s="2">
        <v>43930.732638888891</v>
      </c>
      <c r="D131">
        <v>1.7361111109494232E-2</v>
      </c>
    </row>
    <row r="132" spans="1:4" x14ac:dyDescent="0.35">
      <c r="A132" t="s">
        <v>198</v>
      </c>
      <c r="B132" t="s">
        <v>198</v>
      </c>
      <c r="C132" s="2">
        <v>43930.75</v>
      </c>
      <c r="D132">
        <v>2.0833333333333356E-2</v>
      </c>
    </row>
    <row r="133" spans="1:4" x14ac:dyDescent="0.35">
      <c r="A133">
        <v>477837</v>
      </c>
      <c r="B133" t="s">
        <v>307</v>
      </c>
      <c r="C133" s="2">
        <v>43930.770833333336</v>
      </c>
      <c r="D133">
        <v>5.2083333333333336E-2</v>
      </c>
    </row>
    <row r="134" spans="1:4" x14ac:dyDescent="0.35">
      <c r="A134">
        <v>477839</v>
      </c>
      <c r="B134" t="s">
        <v>223</v>
      </c>
      <c r="C134" s="2">
        <v>43930.822916666672</v>
      </c>
      <c r="D134">
        <v>1.3888888888888888E-2</v>
      </c>
    </row>
    <row r="135" spans="1:4" x14ac:dyDescent="0.35">
      <c r="A135">
        <v>477840</v>
      </c>
      <c r="B135" t="s">
        <v>308</v>
      </c>
      <c r="C135" s="2">
        <v>43930.836805555562</v>
      </c>
      <c r="D135">
        <v>5.5555555555555552E-2</v>
      </c>
    </row>
    <row r="136" spans="1:4" x14ac:dyDescent="0.35">
      <c r="A136">
        <v>477848</v>
      </c>
      <c r="B136" t="s">
        <v>224</v>
      </c>
      <c r="C136" s="2">
        <v>43930.892361111117</v>
      </c>
      <c r="D136">
        <v>2.2222222222222223E-2</v>
      </c>
    </row>
    <row r="137" spans="1:4" x14ac:dyDescent="0.35">
      <c r="A137">
        <v>476198</v>
      </c>
      <c r="B137" t="s">
        <v>365</v>
      </c>
      <c r="C137" s="2">
        <v>43930.914583333339</v>
      </c>
      <c r="D137">
        <v>2.7777777777777776E-2</v>
      </c>
    </row>
    <row r="138" spans="1:4" x14ac:dyDescent="0.35">
      <c r="A138">
        <v>476564</v>
      </c>
      <c r="B138" t="s">
        <v>367</v>
      </c>
      <c r="C138" s="2">
        <v>43930.94236111112</v>
      </c>
      <c r="D138">
        <v>4.1666666666666664E-2</v>
      </c>
    </row>
    <row r="139" spans="1:4" x14ac:dyDescent="0.35">
      <c r="A139">
        <v>476585</v>
      </c>
      <c r="B139" t="s">
        <v>177</v>
      </c>
      <c r="C139" s="2">
        <v>43930.984027777784</v>
      </c>
      <c r="D139">
        <v>9.9305555551836733E-2</v>
      </c>
    </row>
    <row r="140" spans="1:4" x14ac:dyDescent="0.35">
      <c r="A140" t="s">
        <v>198</v>
      </c>
      <c r="B140" t="s">
        <v>198</v>
      </c>
      <c r="C140" s="2">
        <v>43931.083333333336</v>
      </c>
      <c r="D140">
        <v>2.0833333333333356E-2</v>
      </c>
    </row>
    <row r="141" spans="1:4" x14ac:dyDescent="0.35">
      <c r="A141">
        <v>476585</v>
      </c>
      <c r="B141" t="s">
        <v>177</v>
      </c>
      <c r="C141" s="2">
        <v>43931.104166666672</v>
      </c>
      <c r="D141">
        <v>6.7361111111111108E-2</v>
      </c>
    </row>
    <row r="142" spans="1:4" x14ac:dyDescent="0.35">
      <c r="A142">
        <v>472357</v>
      </c>
      <c r="B142" t="s">
        <v>320</v>
      </c>
      <c r="C142" s="2">
        <v>43931.171527777784</v>
      </c>
      <c r="D142">
        <v>0.1875</v>
      </c>
    </row>
    <row r="143" spans="1:4" x14ac:dyDescent="0.35">
      <c r="A143">
        <v>475710</v>
      </c>
      <c r="B143" t="s">
        <v>366</v>
      </c>
      <c r="C143" s="2">
        <v>43931.359027777784</v>
      </c>
      <c r="D143">
        <v>4.1666666666666664E-2</v>
      </c>
    </row>
    <row r="144" spans="1:4" x14ac:dyDescent="0.35">
      <c r="A144">
        <v>476599</v>
      </c>
      <c r="B144" t="s">
        <v>177</v>
      </c>
      <c r="C144" s="2">
        <v>43931.400694444448</v>
      </c>
      <c r="D144">
        <v>1.597222221607808E-2</v>
      </c>
    </row>
    <row r="145" spans="1:4" x14ac:dyDescent="0.35">
      <c r="A145" t="s">
        <v>198</v>
      </c>
      <c r="B145" t="s">
        <v>198</v>
      </c>
      <c r="C145" s="2">
        <v>43931.416666666664</v>
      </c>
      <c r="D145">
        <v>2.0833333333333356E-2</v>
      </c>
    </row>
    <row r="146" spans="1:4" x14ac:dyDescent="0.35">
      <c r="A146">
        <v>476599</v>
      </c>
      <c r="B146" t="s">
        <v>177</v>
      </c>
      <c r="C146" s="2">
        <v>43931.4375</v>
      </c>
      <c r="D146">
        <v>5.347222222222222E-2</v>
      </c>
    </row>
    <row r="147" spans="1:4" x14ac:dyDescent="0.35">
      <c r="A147">
        <v>476608</v>
      </c>
      <c r="B147" t="s">
        <v>280</v>
      </c>
      <c r="C147" s="2">
        <v>43931.490972222222</v>
      </c>
      <c r="D147">
        <v>2.0833333333333332E-2</v>
      </c>
    </row>
    <row r="148" spans="1:4" x14ac:dyDescent="0.35">
      <c r="A148">
        <v>476613</v>
      </c>
      <c r="B148" t="s">
        <v>281</v>
      </c>
      <c r="C148" s="2">
        <v>43931.511805555558</v>
      </c>
      <c r="D148">
        <v>1.7361111111111112E-2</v>
      </c>
    </row>
    <row r="149" spans="1:4" x14ac:dyDescent="0.35">
      <c r="A149">
        <v>477773</v>
      </c>
      <c r="B149" t="s">
        <v>342</v>
      </c>
      <c r="C149" s="2">
        <v>43931.529166666667</v>
      </c>
      <c r="D149">
        <v>4.1666666666666664E-2</v>
      </c>
    </row>
    <row r="150" spans="1:4" x14ac:dyDescent="0.35">
      <c r="A150">
        <v>477861</v>
      </c>
      <c r="B150" t="s">
        <v>343</v>
      </c>
      <c r="C150" s="2">
        <v>43931.570833333331</v>
      </c>
      <c r="D150">
        <v>3.125E-2</v>
      </c>
    </row>
    <row r="151" spans="1:4" x14ac:dyDescent="0.35">
      <c r="A151">
        <v>476639</v>
      </c>
      <c r="B151" t="s">
        <v>229</v>
      </c>
      <c r="C151" s="2">
        <v>43931.602083333331</v>
      </c>
      <c r="D151">
        <v>0.125</v>
      </c>
    </row>
    <row r="152" spans="1:4" x14ac:dyDescent="0.35">
      <c r="A152">
        <v>474867</v>
      </c>
      <c r="B152" t="s">
        <v>345</v>
      </c>
      <c r="C152" s="2">
        <v>43931.727083333331</v>
      </c>
      <c r="D152">
        <v>1.0416666666666666E-2</v>
      </c>
    </row>
    <row r="153" spans="1:4" x14ac:dyDescent="0.35">
      <c r="A153">
        <v>474867</v>
      </c>
      <c r="B153" t="s">
        <v>345</v>
      </c>
      <c r="C153" s="2">
        <v>43931.737499999996</v>
      </c>
      <c r="D153">
        <v>1.0416666666666666E-2</v>
      </c>
    </row>
    <row r="154" spans="1:4" x14ac:dyDescent="0.35">
      <c r="A154">
        <v>474867</v>
      </c>
      <c r="B154" t="s">
        <v>345</v>
      </c>
      <c r="C154" s="2">
        <v>43931.74791666666</v>
      </c>
      <c r="D154">
        <v>2.0833333401242271E-3</v>
      </c>
    </row>
    <row r="155" spans="1:4" x14ac:dyDescent="0.35">
      <c r="A155" t="s">
        <v>198</v>
      </c>
      <c r="B155" t="s">
        <v>198</v>
      </c>
      <c r="C155" s="2">
        <v>43931.75</v>
      </c>
      <c r="D155">
        <v>2.0833333333333356E-2</v>
      </c>
    </row>
    <row r="156" spans="1:4" x14ac:dyDescent="0.35">
      <c r="A156">
        <v>474867</v>
      </c>
      <c r="B156" t="s">
        <v>345</v>
      </c>
      <c r="C156" s="2">
        <v>43931.770833333336</v>
      </c>
      <c r="D156">
        <v>8.3333333333333332E-3</v>
      </c>
    </row>
    <row r="157" spans="1:4" x14ac:dyDescent="0.35">
      <c r="A157">
        <v>474868</v>
      </c>
      <c r="B157" t="s">
        <v>217</v>
      </c>
      <c r="C157" s="2">
        <v>43931.779166666667</v>
      </c>
      <c r="D157">
        <v>3.125E-2</v>
      </c>
    </row>
    <row r="158" spans="1:4" x14ac:dyDescent="0.35">
      <c r="A158">
        <v>474868</v>
      </c>
      <c r="B158" t="s">
        <v>217</v>
      </c>
      <c r="C158" s="2">
        <v>43931.810416666667</v>
      </c>
      <c r="D158">
        <v>3.125E-2</v>
      </c>
    </row>
    <row r="159" spans="1:4" x14ac:dyDescent="0.35">
      <c r="A159">
        <v>474868</v>
      </c>
      <c r="B159" t="s">
        <v>217</v>
      </c>
      <c r="C159" s="2">
        <v>43931.841666666667</v>
      </c>
      <c r="D159">
        <v>3.125E-2</v>
      </c>
    </row>
    <row r="160" spans="1:4" x14ac:dyDescent="0.35">
      <c r="A160">
        <v>476970</v>
      </c>
      <c r="B160" t="s">
        <v>368</v>
      </c>
      <c r="C160" s="2">
        <v>43931.872916666667</v>
      </c>
      <c r="D160">
        <v>4.1666666666666664E-2</v>
      </c>
    </row>
    <row r="161" spans="1:4" x14ac:dyDescent="0.35">
      <c r="A161">
        <v>474867</v>
      </c>
      <c r="B161" t="s">
        <v>345</v>
      </c>
      <c r="C161" s="2">
        <v>43931.914583333331</v>
      </c>
      <c r="D161">
        <v>1.0416666666666666E-2</v>
      </c>
    </row>
    <row r="162" spans="1:4" x14ac:dyDescent="0.35">
      <c r="A162">
        <v>474868</v>
      </c>
      <c r="B162" t="s">
        <v>217</v>
      </c>
      <c r="C162" s="2">
        <v>43931.924999999996</v>
      </c>
      <c r="D162">
        <v>3.125E-2</v>
      </c>
    </row>
    <row r="163" spans="1:4" x14ac:dyDescent="0.35">
      <c r="A163">
        <v>471978</v>
      </c>
      <c r="B163" t="s">
        <v>246</v>
      </c>
      <c r="C163" s="2">
        <v>43931.956249999996</v>
      </c>
      <c r="D163">
        <v>8.3333333333333332E-3</v>
      </c>
    </row>
    <row r="164" spans="1:4" x14ac:dyDescent="0.35">
      <c r="A164">
        <v>471987</v>
      </c>
      <c r="B164" t="s">
        <v>247</v>
      </c>
      <c r="C164" s="2">
        <v>43931.964583333327</v>
      </c>
      <c r="D164">
        <v>1.7361111111111112E-2</v>
      </c>
    </row>
    <row r="165" spans="1:4" x14ac:dyDescent="0.35">
      <c r="A165">
        <v>471990</v>
      </c>
      <c r="B165" t="s">
        <v>248</v>
      </c>
      <c r="C165" s="2">
        <v>43931.981944444437</v>
      </c>
      <c r="D165">
        <v>1.3888888888888888E-2</v>
      </c>
    </row>
    <row r="166" spans="1:4" x14ac:dyDescent="0.35">
      <c r="A166">
        <v>474480</v>
      </c>
      <c r="B166" t="s">
        <v>246</v>
      </c>
      <c r="C166" s="2">
        <v>43931.995833333327</v>
      </c>
      <c r="D166">
        <v>8.3333333333333332E-3</v>
      </c>
    </row>
    <row r="167" spans="1:4" x14ac:dyDescent="0.35">
      <c r="A167">
        <v>474489</v>
      </c>
      <c r="B167" t="s">
        <v>247</v>
      </c>
      <c r="C167" s="2">
        <v>43932.004166666658</v>
      </c>
      <c r="D167">
        <v>1.7361111111111112E-2</v>
      </c>
    </row>
    <row r="168" spans="1:4" x14ac:dyDescent="0.35">
      <c r="A168">
        <v>474492</v>
      </c>
      <c r="B168" t="s">
        <v>248</v>
      </c>
      <c r="C168" s="2">
        <v>43932.021527777768</v>
      </c>
      <c r="D168">
        <v>1.3888888888888888E-2</v>
      </c>
    </row>
    <row r="169" spans="1:4" x14ac:dyDescent="0.35">
      <c r="A169">
        <v>474915</v>
      </c>
      <c r="B169" t="s">
        <v>246</v>
      </c>
      <c r="C169" s="2">
        <v>43932.035416666658</v>
      </c>
      <c r="D169">
        <v>8.3333333333333332E-3</v>
      </c>
    </row>
    <row r="170" spans="1:4" x14ac:dyDescent="0.35">
      <c r="A170">
        <v>474924</v>
      </c>
      <c r="B170" t="s">
        <v>247</v>
      </c>
      <c r="C170" s="2">
        <v>43932.04374999999</v>
      </c>
      <c r="D170">
        <v>1.7361111111111112E-2</v>
      </c>
    </row>
    <row r="171" spans="1:4" x14ac:dyDescent="0.35">
      <c r="A171">
        <v>474927</v>
      </c>
      <c r="B171" t="s">
        <v>248</v>
      </c>
      <c r="C171" s="2">
        <v>43932.061111111099</v>
      </c>
      <c r="D171">
        <v>1.3888888888888888E-2</v>
      </c>
    </row>
    <row r="172" spans="1:4" x14ac:dyDescent="0.35">
      <c r="A172">
        <v>478213</v>
      </c>
      <c r="B172" t="s">
        <v>372</v>
      </c>
      <c r="C172" s="2">
        <v>43932.07499999999</v>
      </c>
      <c r="D172">
        <v>6.9444444444444441E-3</v>
      </c>
    </row>
    <row r="173" spans="1:4" x14ac:dyDescent="0.35">
      <c r="A173">
        <v>478214</v>
      </c>
      <c r="B173" t="s">
        <v>373</v>
      </c>
      <c r="C173" s="2">
        <v>43932.081944444435</v>
      </c>
      <c r="D173">
        <v>1.388888900692109E-3</v>
      </c>
    </row>
    <row r="174" spans="1:4" x14ac:dyDescent="0.35">
      <c r="A174" t="s">
        <v>198</v>
      </c>
      <c r="B174" t="s">
        <v>198</v>
      </c>
      <c r="C174" s="2">
        <v>43932.083333333336</v>
      </c>
      <c r="D174">
        <v>2.0833333333333356E-2</v>
      </c>
    </row>
    <row r="175" spans="1:4" x14ac:dyDescent="0.35">
      <c r="A175">
        <v>478214</v>
      </c>
      <c r="B175" t="s">
        <v>373</v>
      </c>
      <c r="C175" s="2">
        <v>43932.104166666672</v>
      </c>
      <c r="D175">
        <v>5.5555555555555558E-3</v>
      </c>
    </row>
    <row r="176" spans="1:4" x14ac:dyDescent="0.35">
      <c r="A176">
        <v>474367</v>
      </c>
      <c r="B176" t="s">
        <v>312</v>
      </c>
      <c r="C176" s="2">
        <v>43932.109722222231</v>
      </c>
      <c r="D176">
        <v>2.0833333333333332E-2</v>
      </c>
    </row>
    <row r="177" spans="1:4" x14ac:dyDescent="0.35">
      <c r="A177">
        <v>474696</v>
      </c>
      <c r="B177" t="s">
        <v>243</v>
      </c>
      <c r="C177" s="2">
        <v>43932.130555555566</v>
      </c>
      <c r="D177">
        <v>2.0833333333333332E-2</v>
      </c>
    </row>
    <row r="178" spans="1:4" x14ac:dyDescent="0.35">
      <c r="A178">
        <v>474698</v>
      </c>
      <c r="B178" t="s">
        <v>237</v>
      </c>
      <c r="C178" s="2">
        <v>43932.151388888902</v>
      </c>
      <c r="D178">
        <v>4.1666666666666664E-2</v>
      </c>
    </row>
    <row r="179" spans="1:4" x14ac:dyDescent="0.35">
      <c r="A179">
        <v>474699</v>
      </c>
      <c r="B179" t="s">
        <v>238</v>
      </c>
      <c r="C179" s="2">
        <v>43932.193055555566</v>
      </c>
      <c r="D179">
        <v>0.125</v>
      </c>
    </row>
    <row r="180" spans="1:4" x14ac:dyDescent="0.35">
      <c r="A180">
        <v>474710</v>
      </c>
      <c r="B180" t="s">
        <v>239</v>
      </c>
      <c r="C180" s="2">
        <v>43932.318055555566</v>
      </c>
      <c r="D180">
        <v>2.0833333333333332E-2</v>
      </c>
    </row>
    <row r="181" spans="1:4" x14ac:dyDescent="0.35">
      <c r="A181">
        <v>477289</v>
      </c>
      <c r="B181" t="s">
        <v>236</v>
      </c>
      <c r="C181" s="2">
        <v>43932.338888888902</v>
      </c>
      <c r="D181">
        <v>5.5555555555555558E-3</v>
      </c>
    </row>
    <row r="182" spans="1:4" x14ac:dyDescent="0.35">
      <c r="A182">
        <v>477290</v>
      </c>
      <c r="B182" t="s">
        <v>221</v>
      </c>
      <c r="C182" s="2">
        <v>43932.344444444461</v>
      </c>
      <c r="D182">
        <v>5.5555555555555558E-3</v>
      </c>
    </row>
    <row r="183" spans="1:4" x14ac:dyDescent="0.35">
      <c r="A183">
        <v>477291</v>
      </c>
      <c r="B183" t="s">
        <v>218</v>
      </c>
      <c r="C183" s="2">
        <v>43932.35000000002</v>
      </c>
      <c r="D183">
        <v>5.5555555555555558E-3</v>
      </c>
    </row>
    <row r="184" spans="1:4" x14ac:dyDescent="0.35">
      <c r="A184">
        <v>474367</v>
      </c>
      <c r="B184" t="s">
        <v>312</v>
      </c>
      <c r="C184" s="2">
        <v>43932.355555555579</v>
      </c>
      <c r="D184">
        <v>2.0833333333333332E-2</v>
      </c>
    </row>
    <row r="185" spans="1:4" x14ac:dyDescent="0.35">
      <c r="A185">
        <v>474367</v>
      </c>
      <c r="B185" t="s">
        <v>312</v>
      </c>
      <c r="C185" s="2">
        <v>43932.376388888915</v>
      </c>
      <c r="D185">
        <v>2.0833333333333332E-2</v>
      </c>
    </row>
    <row r="186" spans="1:4" x14ac:dyDescent="0.35">
      <c r="A186">
        <v>477272</v>
      </c>
      <c r="B186" t="s">
        <v>219</v>
      </c>
      <c r="C186" s="2">
        <v>43932.397222222251</v>
      </c>
      <c r="D186">
        <v>1.3888888888888888E-2</v>
      </c>
    </row>
    <row r="187" spans="1:4" x14ac:dyDescent="0.35">
      <c r="A187">
        <v>477273</v>
      </c>
      <c r="B187" t="s">
        <v>314</v>
      </c>
      <c r="C187" s="2">
        <v>43932.411111111142</v>
      </c>
      <c r="D187">
        <v>5.5555555227329023E-3</v>
      </c>
    </row>
    <row r="188" spans="1:4" x14ac:dyDescent="0.35">
      <c r="A188" t="s">
        <v>198</v>
      </c>
      <c r="B188" t="s">
        <v>198</v>
      </c>
      <c r="C188" s="2">
        <v>43932.416666666664</v>
      </c>
      <c r="D188">
        <v>2.0833333333333356E-2</v>
      </c>
    </row>
    <row r="189" spans="1:4" x14ac:dyDescent="0.35">
      <c r="A189">
        <v>477273</v>
      </c>
      <c r="B189" t="s">
        <v>314</v>
      </c>
      <c r="C189" s="2">
        <v>43932.4375</v>
      </c>
      <c r="D189">
        <v>8.3333333333333332E-3</v>
      </c>
    </row>
    <row r="190" spans="1:4" x14ac:dyDescent="0.35">
      <c r="A190">
        <v>477274</v>
      </c>
      <c r="B190" t="s">
        <v>220</v>
      </c>
      <c r="C190" s="2">
        <v>43932.445833333331</v>
      </c>
      <c r="D190">
        <v>4.8611111111111112E-3</v>
      </c>
    </row>
    <row r="191" spans="1:4" x14ac:dyDescent="0.35">
      <c r="A191">
        <v>477594</v>
      </c>
      <c r="B191" t="s">
        <v>305</v>
      </c>
      <c r="C191" s="2">
        <v>43932.450694444444</v>
      </c>
      <c r="D191">
        <v>6.9444444444444441E-3</v>
      </c>
    </row>
    <row r="192" spans="1:4" x14ac:dyDescent="0.35">
      <c r="A192">
        <v>474367</v>
      </c>
      <c r="B192" t="s">
        <v>312</v>
      </c>
      <c r="C192" s="2">
        <v>43932.457638888889</v>
      </c>
      <c r="D192">
        <v>3.125E-2</v>
      </c>
    </row>
    <row r="193" spans="1:4" x14ac:dyDescent="0.35">
      <c r="A193">
        <v>474664</v>
      </c>
      <c r="B193" t="s">
        <v>246</v>
      </c>
      <c r="C193" s="2">
        <v>43932.488888888889</v>
      </c>
      <c r="D193">
        <v>8.3333333333333332E-3</v>
      </c>
    </row>
    <row r="194" spans="1:4" x14ac:dyDescent="0.35">
      <c r="A194">
        <v>474673</v>
      </c>
      <c r="B194" t="s">
        <v>247</v>
      </c>
      <c r="C194" s="2">
        <v>43932.49722222222</v>
      </c>
      <c r="D194">
        <v>1.7361111111111112E-2</v>
      </c>
    </row>
    <row r="195" spans="1:4" x14ac:dyDescent="0.35">
      <c r="A195">
        <v>474676</v>
      </c>
      <c r="B195" t="s">
        <v>248</v>
      </c>
      <c r="C195" s="2">
        <v>43932.51458333333</v>
      </c>
      <c r="D195">
        <v>1.3888888888888888E-2</v>
      </c>
    </row>
    <row r="196" spans="1:4" x14ac:dyDescent="0.35">
      <c r="A196">
        <v>474733</v>
      </c>
      <c r="B196" t="s">
        <v>335</v>
      </c>
      <c r="C196" s="2">
        <v>43932.52847222222</v>
      </c>
      <c r="D196">
        <v>3.4722222222222224E-2</v>
      </c>
    </row>
    <row r="197" spans="1:4" x14ac:dyDescent="0.35">
      <c r="A197">
        <v>474758</v>
      </c>
      <c r="B197" t="s">
        <v>171</v>
      </c>
      <c r="C197" s="2">
        <v>43932.563194444439</v>
      </c>
      <c r="D197">
        <v>1.7361111111111112E-2</v>
      </c>
    </row>
    <row r="198" spans="1:4" x14ac:dyDescent="0.35">
      <c r="A198">
        <v>477671</v>
      </c>
      <c r="B198" t="s">
        <v>370</v>
      </c>
      <c r="C198" s="2">
        <v>43932.580555555549</v>
      </c>
      <c r="D198">
        <v>0.10416666666666667</v>
      </c>
    </row>
    <row r="199" spans="1:4" x14ac:dyDescent="0.35">
      <c r="A199">
        <v>477738</v>
      </c>
      <c r="B199" t="s">
        <v>322</v>
      </c>
      <c r="C199" s="2">
        <v>43932.684722222213</v>
      </c>
      <c r="D199">
        <v>6.5277777786832303E-2</v>
      </c>
    </row>
    <row r="200" spans="1:4" x14ac:dyDescent="0.35">
      <c r="A200" t="s">
        <v>198</v>
      </c>
      <c r="B200" t="s">
        <v>198</v>
      </c>
      <c r="C200" s="2">
        <v>43932.75</v>
      </c>
      <c r="D200">
        <v>2.0833333333333356E-2</v>
      </c>
    </row>
    <row r="201" spans="1:4" x14ac:dyDescent="0.35">
      <c r="A201">
        <v>477738</v>
      </c>
      <c r="B201" t="s">
        <v>322</v>
      </c>
      <c r="C201" s="2">
        <v>43932.770833333336</v>
      </c>
      <c r="D201">
        <v>3.888888888888889E-2</v>
      </c>
    </row>
    <row r="202" spans="1:4" x14ac:dyDescent="0.35">
      <c r="A202">
        <v>474506</v>
      </c>
      <c r="B202" t="s">
        <v>311</v>
      </c>
      <c r="C202" s="2">
        <v>43932.809722222228</v>
      </c>
      <c r="D202">
        <v>3.4722222222222224E-2</v>
      </c>
    </row>
    <row r="203" spans="1:4" x14ac:dyDescent="0.35">
      <c r="A203">
        <v>477552</v>
      </c>
      <c r="B203" t="s">
        <v>319</v>
      </c>
      <c r="C203" s="2">
        <v>43932.844444444447</v>
      </c>
      <c r="D203">
        <v>1.3888888888888888E-2</v>
      </c>
    </row>
    <row r="204" spans="1:4" x14ac:dyDescent="0.35">
      <c r="A204">
        <v>472274</v>
      </c>
      <c r="B204" t="s">
        <v>172</v>
      </c>
      <c r="C204" s="2">
        <v>43932.858333333337</v>
      </c>
      <c r="D204">
        <v>2.4305555555555556E-2</v>
      </c>
    </row>
    <row r="205" spans="1:4" x14ac:dyDescent="0.35">
      <c r="A205">
        <v>472278</v>
      </c>
      <c r="B205" t="s">
        <v>174</v>
      </c>
      <c r="C205" s="2">
        <v>43932.882638888892</v>
      </c>
      <c r="D205">
        <v>3.4722222222222224E-2</v>
      </c>
    </row>
    <row r="206" spans="1:4" x14ac:dyDescent="0.35">
      <c r="A206">
        <v>477511</v>
      </c>
      <c r="B206" t="s">
        <v>317</v>
      </c>
      <c r="C206" s="2">
        <v>43932.917361111111</v>
      </c>
      <c r="D206">
        <v>4.1666666666666664E-2</v>
      </c>
    </row>
    <row r="207" spans="1:4" x14ac:dyDescent="0.35">
      <c r="A207">
        <v>477512</v>
      </c>
      <c r="B207" t="s">
        <v>318</v>
      </c>
      <c r="C207" s="2">
        <v>43932.959027777775</v>
      </c>
      <c r="D207">
        <v>1.7361111111111112E-2</v>
      </c>
    </row>
    <row r="208" spans="1:4" x14ac:dyDescent="0.35">
      <c r="A208">
        <v>473140</v>
      </c>
      <c r="B208" t="s">
        <v>172</v>
      </c>
      <c r="C208" s="2">
        <v>43932.976388888885</v>
      </c>
      <c r="D208">
        <v>1.2152777777777778E-2</v>
      </c>
    </row>
    <row r="209" spans="1:4" x14ac:dyDescent="0.35">
      <c r="A209">
        <v>473140</v>
      </c>
      <c r="B209" t="s">
        <v>172</v>
      </c>
      <c r="C209" s="2">
        <v>43932.988541666666</v>
      </c>
      <c r="D209">
        <v>1.2152777777777778E-2</v>
      </c>
    </row>
    <row r="210" spans="1:4" x14ac:dyDescent="0.35">
      <c r="A210">
        <v>473144</v>
      </c>
      <c r="B210" t="s">
        <v>174</v>
      </c>
      <c r="C210" s="2">
        <v>43933.000694444447</v>
      </c>
      <c r="D210">
        <v>1.7361111111111112E-2</v>
      </c>
    </row>
    <row r="211" spans="1:4" x14ac:dyDescent="0.35">
      <c r="A211">
        <v>473144</v>
      </c>
      <c r="B211" t="s">
        <v>174</v>
      </c>
      <c r="C211" s="2">
        <v>43933.018055555556</v>
      </c>
      <c r="D211">
        <v>1.7361111111111112E-2</v>
      </c>
    </row>
    <row r="212" spans="1:4" x14ac:dyDescent="0.35">
      <c r="A212">
        <v>473140</v>
      </c>
      <c r="B212" t="s">
        <v>172</v>
      </c>
      <c r="C212" s="2">
        <v>43933.035416666666</v>
      </c>
      <c r="D212">
        <v>1.2152777777777778E-2</v>
      </c>
    </row>
    <row r="213" spans="1:4" x14ac:dyDescent="0.35">
      <c r="A213">
        <v>473144</v>
      </c>
      <c r="B213" t="s">
        <v>174</v>
      </c>
      <c r="C213" s="2">
        <v>43933.047569444447</v>
      </c>
      <c r="D213">
        <v>1.7361111111111112E-2</v>
      </c>
    </row>
    <row r="214" spans="1:4" x14ac:dyDescent="0.35">
      <c r="A214">
        <v>477472</v>
      </c>
      <c r="B214" t="s">
        <v>336</v>
      </c>
      <c r="C214" s="2">
        <v>43933.064930555556</v>
      </c>
      <c r="D214">
        <v>1.7361111111111112E-2</v>
      </c>
    </row>
    <row r="215" spans="1:4" x14ac:dyDescent="0.35">
      <c r="A215">
        <v>477488</v>
      </c>
      <c r="B215" t="s">
        <v>337</v>
      </c>
      <c r="C215" s="2">
        <v>43933.082291666666</v>
      </c>
      <c r="D215">
        <v>1.0416666700621136E-3</v>
      </c>
    </row>
    <row r="216" spans="1:4" x14ac:dyDescent="0.35">
      <c r="A216" t="s">
        <v>198</v>
      </c>
      <c r="B216" t="s">
        <v>198</v>
      </c>
      <c r="C216" s="2">
        <v>43933.083333333336</v>
      </c>
      <c r="D216">
        <v>2.0833333333333356E-2</v>
      </c>
    </row>
    <row r="217" spans="1:4" x14ac:dyDescent="0.35">
      <c r="A217">
        <v>477488</v>
      </c>
      <c r="B217" t="s">
        <v>337</v>
      </c>
      <c r="C217" s="2">
        <v>43933.104166666672</v>
      </c>
      <c r="D217">
        <v>1.2847222222222223E-2</v>
      </c>
    </row>
    <row r="218" spans="1:4" x14ac:dyDescent="0.35">
      <c r="A218">
        <v>477401</v>
      </c>
      <c r="B218" t="s">
        <v>246</v>
      </c>
      <c r="C218" s="2">
        <v>43933.117013888892</v>
      </c>
      <c r="D218">
        <v>1.6666666666666666E-2</v>
      </c>
    </row>
    <row r="219" spans="1:4" x14ac:dyDescent="0.35">
      <c r="A219">
        <v>477410</v>
      </c>
      <c r="B219" t="s">
        <v>247</v>
      </c>
      <c r="C219" s="2">
        <v>43933.133680555562</v>
      </c>
      <c r="D219">
        <v>3.4722222222222224E-2</v>
      </c>
    </row>
    <row r="220" spans="1:4" x14ac:dyDescent="0.35">
      <c r="A220">
        <v>477413</v>
      </c>
      <c r="B220" t="s">
        <v>248</v>
      </c>
      <c r="C220" s="2">
        <v>43933.168402777781</v>
      </c>
      <c r="D220">
        <v>2.7777777777777776E-2</v>
      </c>
    </row>
    <row r="221" spans="1:4" x14ac:dyDescent="0.35">
      <c r="A221">
        <v>477466</v>
      </c>
      <c r="B221" t="s">
        <v>365</v>
      </c>
      <c r="C221" s="2">
        <v>43933.196180555562</v>
      </c>
      <c r="D221">
        <v>1.3888888888888888E-2</v>
      </c>
    </row>
    <row r="222" spans="1:4" x14ac:dyDescent="0.35">
      <c r="A222">
        <v>477366</v>
      </c>
      <c r="B222" t="s">
        <v>171</v>
      </c>
      <c r="C222" s="2">
        <v>43933.210069444453</v>
      </c>
      <c r="D222">
        <v>5.2083333333333336E-2</v>
      </c>
    </row>
    <row r="223" spans="1:4" x14ac:dyDescent="0.35">
      <c r="A223">
        <v>477374</v>
      </c>
      <c r="B223" t="s">
        <v>336</v>
      </c>
      <c r="C223" s="2">
        <v>43933.262152777788</v>
      </c>
      <c r="D223">
        <v>2.9513888875953853E-2</v>
      </c>
    </row>
    <row r="224" spans="1:4" x14ac:dyDescent="0.35">
      <c r="A224" t="s">
        <v>321</v>
      </c>
      <c r="B224" t="s">
        <v>321</v>
      </c>
      <c r="C224" s="2">
        <v>43933.291666666664</v>
      </c>
      <c r="D224">
        <v>0.33333333333333331</v>
      </c>
    </row>
    <row r="225" spans="1:4" x14ac:dyDescent="0.35">
      <c r="A225" t="s">
        <v>321</v>
      </c>
      <c r="B225" t="s">
        <v>321</v>
      </c>
      <c r="C225" s="2">
        <v>43933.625</v>
      </c>
      <c r="D225">
        <v>0.33333333333333331</v>
      </c>
    </row>
    <row r="226" spans="1:4" x14ac:dyDescent="0.35">
      <c r="A226" t="s">
        <v>321</v>
      </c>
      <c r="B226" t="s">
        <v>321</v>
      </c>
      <c r="C226" s="2">
        <v>43933.958333333336</v>
      </c>
      <c r="D226">
        <v>0.33333333333333331</v>
      </c>
    </row>
    <row r="227" spans="1:4" x14ac:dyDescent="0.35">
      <c r="A227">
        <v>477374</v>
      </c>
      <c r="B227" t="s">
        <v>336</v>
      </c>
      <c r="C227" s="2">
        <v>43934.291666666672</v>
      </c>
      <c r="D227">
        <v>9.2013888888888895E-2</v>
      </c>
    </row>
    <row r="228" spans="1:4" x14ac:dyDescent="0.35">
      <c r="A228">
        <v>477390</v>
      </c>
      <c r="B228" t="s">
        <v>337</v>
      </c>
      <c r="C228" s="2">
        <v>43934.383680555562</v>
      </c>
      <c r="D228">
        <v>3.2986111102218274E-2</v>
      </c>
    </row>
    <row r="229" spans="1:4" x14ac:dyDescent="0.35">
      <c r="A229" t="s">
        <v>198</v>
      </c>
      <c r="B229" t="s">
        <v>198</v>
      </c>
      <c r="C229" s="2">
        <v>43934.416666666664</v>
      </c>
      <c r="D229">
        <v>2.0833333333333356E-2</v>
      </c>
    </row>
    <row r="230" spans="1:4" x14ac:dyDescent="0.35">
      <c r="A230">
        <v>477390</v>
      </c>
      <c r="B230" t="s">
        <v>337</v>
      </c>
      <c r="C230" s="2">
        <v>43934.4375</v>
      </c>
      <c r="D230">
        <v>6.4236111111111105E-2</v>
      </c>
    </row>
    <row r="231" spans="1:4" x14ac:dyDescent="0.35">
      <c r="A231">
        <v>477329</v>
      </c>
      <c r="B231" t="s">
        <v>336</v>
      </c>
      <c r="C231" s="2">
        <v>43934.501736111109</v>
      </c>
      <c r="D231">
        <v>1.7361111111111112E-2</v>
      </c>
    </row>
    <row r="232" spans="1:4" x14ac:dyDescent="0.35">
      <c r="A232">
        <v>477345</v>
      </c>
      <c r="B232" t="s">
        <v>337</v>
      </c>
      <c r="C232" s="2">
        <v>43934.519097222219</v>
      </c>
      <c r="D232">
        <v>1.3888888888888888E-2</v>
      </c>
    </row>
  </sheetData>
  <pageMargins left="0.7" right="0.7" top="0.75" bottom="0.75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90ED4D9F-871E-48FC-B0FF-D748944DF60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1</vt:i4>
      </vt:variant>
    </vt:vector>
  </HeadingPairs>
  <TitlesOfParts>
    <vt:vector size="11" baseType="lpstr">
      <vt:lpstr>PRINT</vt:lpstr>
      <vt:lpstr>QUERY</vt:lpstr>
      <vt:lpstr>NOVO</vt:lpstr>
      <vt:lpstr>KALENDAR MASINA</vt:lpstr>
      <vt:lpstr>MASINE</vt:lpstr>
      <vt:lpstr>KVAR MASINE</vt:lpstr>
      <vt:lpstr>PROMJENA</vt:lpstr>
      <vt:lpstr>REDOSLIJED</vt:lpstr>
      <vt:lpstr>TIME</vt:lpstr>
      <vt:lpstr>GANT</vt:lpstr>
      <vt:lpstr>PRINT!Print_Area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MladenKarivan</dc:creator>
  <cp:keywords>Planiranje</cp:keywords>
  <cp:lastModifiedBy>Almir Hrvanović Business</cp:lastModifiedBy>
  <cp:lastPrinted>2025-05-21T10:56:30Z</cp:lastPrinted>
  <dcterms:created xsi:type="dcterms:W3CDTF">2019-03-07T09:34:12Z</dcterms:created>
  <dcterms:modified xsi:type="dcterms:W3CDTF">2025-05-28T08:19:29Z</dcterms:modified>
</cp:coreProperties>
</file>